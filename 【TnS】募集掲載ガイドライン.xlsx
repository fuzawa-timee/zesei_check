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掲載NG表現等" sheetId="1" r:id="rId5"/>
    <sheet state="visible" name="【B】掲載時条件や注意が必須な業務" sheetId="2" r:id="rId6"/>
    <sheet state="visible" name="【C】掲載NG業種業務" sheetId="3" r:id="rId7"/>
    <sheet state="visible" name="【D】闇バイト" sheetId="4" r:id="rId8"/>
    <sheet state="visible" name="顧客対応での見せ方" sheetId="5" r:id="rId9"/>
    <sheet state="visible" name="ガイドライン更新履歴" sheetId="6" r:id="rId10"/>
    <sheet state="hidden" name="【TnS専用】ナレッジ更新履歴" sheetId="7" r:id="rId11"/>
    <sheet state="hidden" name="【DB元】HSの業界一覧" sheetId="8" r:id="rId12"/>
    <sheet state="hidden" name="【未使用】業種可否一覧" sheetId="9" r:id="rId13"/>
    <sheet state="hidden" name="【HS原本】FORCAS産業分類表" sheetId="10" r:id="rId14"/>
    <sheet state="hidden" name="【挫折・未使用】日本標準産業分類表" sheetId="11" r:id="rId15"/>
  </sheets>
  <definedNames>
    <definedName hidden="1" localSheetId="2" name="_xlnm._FilterDatabase">'【C】掲載NG業種業務'!$A$1:$AA$997</definedName>
    <definedName hidden="1" localSheetId="8" name="_xlnm._FilterDatabase">'【未使用】業種可否一覧'!$A$5:$Z$956</definedName>
    <definedName hidden="1" localSheetId="9" name="_xlnm._FilterDatabase">'【HS原本】FORCAS産業分類表'!$A$1:$Z$554</definedName>
  </definedNames>
  <calcPr/>
</workbook>
</file>

<file path=xl/sharedStrings.xml><?xml version="1.0" encoding="utf-8"?>
<sst xmlns="http://schemas.openxmlformats.org/spreadsheetml/2006/main" count="16097" uniqueCount="4246">
  <si>
    <t>カテゴリ</t>
  </si>
  <si>
    <t>業種</t>
  </si>
  <si>
    <t>法律</t>
  </si>
  <si>
    <t>概要</t>
  </si>
  <si>
    <t>利用規約</t>
  </si>
  <si>
    <t>NG例</t>
  </si>
  <si>
    <t>業界</t>
  </si>
  <si>
    <t>業種・業務内容</t>
  </si>
  <si>
    <t>理由</t>
  </si>
  <si>
    <t>参考URL</t>
  </si>
  <si>
    <t>職種</t>
  </si>
  <si>
    <t>OK例</t>
  </si>
  <si>
    <t>雇用形態</t>
  </si>
  <si>
    <t>特記事項</t>
  </si>
  <si>
    <t>業務内容</t>
  </si>
  <si>
    <t>必須資格/持ち物</t>
  </si>
  <si>
    <t>掲載条件・注意事項(前提：掲載NG表現等を含まない)</t>
  </si>
  <si>
    <t>労働基準法</t>
  </si>
  <si>
    <r>
      <rPr/>
      <t xml:space="preserve">A列と下記画像は以前の条が記載されているので下記リンクをご参考ください
</t>
    </r>
    <r>
      <rPr>
        <color rgb="FF1155CC"/>
        <u/>
      </rPr>
      <t>https://help.timee.co.jp/ja/knowledge/timee%E4%BA%8B%E6%A5%AD%E8%80%85%E5%88%A9%E7%94%A8%E8%A6%8F%E7%B4%84%E4%BA%8B%E6%A5%AD%E8%80%85%E6%A7%98%E5%90%91%E3%81%91-2022%E5%B9%B410%E6%9C%881%E6%97%A5%E6%94%B9%E5%AE%9A%E7%89%88</t>
    </r>
    <r>
      <rPr/>
      <t xml:space="preserve">                                                                                                                                                                                                     </t>
    </r>
  </si>
  <si>
    <t>備考</t>
  </si>
  <si>
    <t>闇バイト</t>
  </si>
  <si>
    <t>労働条件(通知書)の明示内容</t>
  </si>
  <si>
    <t xml:space="preserve">
業務内容や住所が不明瞭(複数ケース有)
・業務内容が客観的にみてイメージできない
・住所の記載がないなど
労働条件通知書で明示した内容と実態が異なる
・仕事内容：記載にない業務が行われた
・給与：時給が異なる
・就業地：明示している場所と異なる場所での勤務
・勤務時間：勤務時間よりも早く集合or業務をはじめた
</t>
  </si>
  <si>
    <t>※事前に詳細に記載いただく</t>
  </si>
  <si>
    <t>飲食</t>
  </si>
  <si>
    <t>男女雇用機会均等法
(違法)</t>
  </si>
  <si>
    <t>レストランスタッフ</t>
  </si>
  <si>
    <t>直雇用</t>
  </si>
  <si>
    <t>ホール・キッチン業務等</t>
  </si>
  <si>
    <t>特になし</t>
  </si>
  <si>
    <r>
      <rPr>
        <rFont val="Arial"/>
        <color rgb="FF000000"/>
        <sz val="10.0"/>
      </rPr>
      <t xml:space="preserve">求人サイトで闇バイトが告発され、Timeeの領域にも影響が出ている
・ニュースリンク
https://www.yomiuri.co.jp/national/20230315-OYT1T50410
</t>
    </r>
    <r>
      <rPr>
        <rFont val="Arial"/>
        <color rgb="FF1155CC"/>
        <sz val="10.0"/>
        <u/>
      </rPr>
      <t>https://www.sankei.com/article/20230317-N6QQQRLYBVJMLPUNIYSZ2WPK3E</t>
    </r>
    <r>
      <rPr>
        <rFont val="Arial"/>
        <color rgb="FF000000"/>
        <sz val="10.0"/>
      </rPr>
      <t xml:space="preserve">
・闇バイトについて、閣僚会議を経て、業界に対して協力要請がなされた
・Timeeも闇バイトの検知、排除に向けてTnSの検知項目を追加する</t>
    </r>
  </si>
  <si>
    <t>大分類</t>
  </si>
  <si>
    <t>第13条3項 (第4条3項)</t>
  </si>
  <si>
    <t>飲食サービス</t>
  </si>
  <si>
    <t>性風俗店</t>
  </si>
  <si>
    <t>居酒屋</t>
  </si>
  <si>
    <t>公序良俗に反する</t>
  </si>
  <si>
    <t>建設</t>
  </si>
  <si>
    <t>求人対象から男性もしくは女性などの性別を排除する表現</t>
  </si>
  <si>
    <t>第4条7項</t>
  </si>
  <si>
    <t>バー</t>
  </si>
  <si>
    <t>ガールズバー</t>
  </si>
  <si>
    <t>公序良俗に反する可能性がある</t>
  </si>
  <si>
    <t>金融</t>
  </si>
  <si>
    <t>男性限定、女性のみ</t>
  </si>
  <si>
    <t>スナック</t>
  </si>
  <si>
    <t>エネルギー</t>
  </si>
  <si>
    <t>男性活躍中、女性スタッフ多数在籍
※現場の状況を示す事実表現なのでOK</t>
  </si>
  <si>
    <t>喫茶店・カフェ店員</t>
  </si>
  <si>
    <t>ラウンジ(書き方要検討)</t>
  </si>
  <si>
    <t>医薬・バイオ</t>
  </si>
  <si>
    <t>キャバクラ</t>
  </si>
  <si>
    <t>ファーストフード</t>
  </si>
  <si>
    <t>機械・電気製品</t>
  </si>
  <si>
    <t>時給が2000円以上</t>
  </si>
  <si>
    <t>ナイトクラブ</t>
  </si>
  <si>
    <t>お父さんにおすすめ、ママ限定</t>
  </si>
  <si>
    <t>消費財</t>
  </si>
  <si>
    <t>ケータリング</t>
  </si>
  <si>
    <t>ホストクラブ</t>
  </si>
  <si>
    <t>石炭・鉱石採掘</t>
  </si>
  <si>
    <t>子育て中の方におすすめ</t>
  </si>
  <si>
    <t>第13条20項 (第4条3項)</t>
  </si>
  <si>
    <t>その他</t>
  </si>
  <si>
    <t>配達や荷物を受け取る仕事である</t>
  </si>
  <si>
    <t>モデル撮影業務</t>
  </si>
  <si>
    <t>製菓屋</t>
  </si>
  <si>
    <t>公序良俗に反する、性被害にあう可能性がある</t>
  </si>
  <si>
    <t>https://taimee.slack.com/archives/C01PZEG7XDG/p1615804824060500</t>
  </si>
  <si>
    <t>業務内容が詳細に記載されていない</t>
  </si>
  <si>
    <t>営業マン、カメラマン</t>
  </si>
  <si>
    <t>営業スタッフ、カメラマン( 男女)・撮影スタッフ</t>
  </si>
  <si>
    <t>看護婦、女性秘書、仲居、保母</t>
  </si>
  <si>
    <t>看護師、秘書、仲居（男女）</t>
  </si>
  <si>
    <t>所在地と固定電話番号にズレがある または住所が存在しない</t>
  </si>
  <si>
    <t>ウエイター、ウェイトレス</t>
  </si>
  <si>
    <t>ホールスタッフ、フロアスタッフ</t>
  </si>
  <si>
    <t>MNP</t>
  </si>
  <si>
    <t>素材・素材加工品</t>
  </si>
  <si>
    <t>スマホレディ</t>
  </si>
  <si>
    <t>ハンドキャリー</t>
  </si>
  <si>
    <t>抽選代行業務</t>
  </si>
  <si>
    <t>高額商品の購入代行(*)</t>
  </si>
  <si>
    <t>違法ではないが、転売などの不当な行為が行われる可能性がある</t>
  </si>
  <si>
    <t>中間流通</t>
  </si>
  <si>
    <t>事務職以外</t>
  </si>
  <si>
    <t>有料職業紹介事業では掲載できない</t>
  </si>
  <si>
    <t>https://xn--xmq28ju4vf9rm0o.com/kinshi/</t>
  </si>
  <si>
    <t>接客</t>
  </si>
  <si>
    <t>パチンコ・スロット・麻雀</t>
  </si>
  <si>
    <t>力持ちな男性にオススメの業務です
女性向きの仕事</t>
  </si>
  <si>
    <t>ホール・清掃業務等</t>
  </si>
  <si>
    <t>力持ちな方にオススメの業務です
細かい作業が得意の方向けの仕事</t>
  </si>
  <si>
    <t>ホテル</t>
  </si>
  <si>
    <t>ホール・キッチン・フロント業務等</t>
  </si>
  <si>
    <t>性別で異なる条件を記載した表現</t>
  </si>
  <si>
    <t>法人サービス</t>
  </si>
  <si>
    <t>ラブホテル</t>
  </si>
  <si>
    <t>港湾運送</t>
  </si>
  <si>
    <t>全般</t>
  </si>
  <si>
    <t>男性は長髪不可（※女性への言及なし）</t>
  </si>
  <si>
    <t>＜対応方法＞
① サービスの導入希望を受ける（担当への問い合わせ/アカウント作成申請フォームへの入力と送信）
② 特定のポータルサイト（ハッピーホテル）への掲載があるか否かの確認。
③ ②の掲載が認められる場合、過去の別業態での取引が1年以上あるか否かの確認。取引がない場合は風営法であるか否か関わらずお断り。
④ ③がある場合は、風営法業上の施設であるか否かの確認のため要件のヒアリング（チェックリスト参照）を実施する。それらに回答いただけない。もしくは風営法に該当する項目がある場合はお断り（フロントの仕組みが対面でない等）、要件に該当するか否かについて判断に迷うケースは必要に応じて法務部、顧問弁護士の見解も仰いだ上で判断する。
⑤ 該当の施設に対して、「アダルトグッズの有無」や「非対面での受付が可能か」などチェックリストの内容と齟齬がないか電話により確認する。
⑥ 旅館業法上の施設の場合は免許の有無を最終確認（写真等での提示）し、開始の手続きを取る。
＜チェックリスト＞
1,個室で異性が専ら休憩するための施設である
2,調理室を含む食堂とロビーの床面積は、どちらかが一定の規模未満である
3,施設に出入りする者を見えにくくする設備（例　壁・カーテン）がある
4,フロントは客との面接を妨げる状態にある
5,客は従業員と会わずに個室を利用できる
6,客との面接に適するフロントで宿泊者名簿の記載をせず、又は料金・鍵の受渡をしない
7,自動車の車庫には天井又は屋根があり、かつ、２以上の壁・カーテンを有している
8,車庫と個室が面しており、個室の車庫側に出入り口があるか
9,回転ベッドやベッドを写す鏡など、性的好奇心に応ずるための設備がある
10,アダルトグッズが置いてある
11,長椅子等異性を同伴する客の休憩のための設備はあるか</t>
  </si>
  <si>
    <t>輸送機械</t>
  </si>
  <si>
    <t>長期雇用限定とした業務</t>
  </si>
  <si>
    <t>日雇い雇用のマッチングプラットフォームのため</t>
  </si>
  <si>
    <t>ブライダル</t>
  </si>
  <si>
    <t>https://www.notion.so/timee/810e0c907b6443d0aeca7195f03f96c4</t>
  </si>
  <si>
    <t>髪の長さが肩にかかるくらいの方
※「女性は髪を結んできてください」は業務指示にあたるためOK</t>
  </si>
  <si>
    <t>広告・情報通信サービス</t>
  </si>
  <si>
    <t>第13条13項、20項 (第4条3項)</t>
  </si>
  <si>
    <t>男性はスーツ着用</t>
  </si>
  <si>
    <t>アプリの登録を前提とした業務や、事前に容認していない登録会等の募集</t>
  </si>
  <si>
    <t>男性はスーツ着用、女性のみ制服貸与
※両性別に対して条件を明記する</t>
  </si>
  <si>
    <t>スキマバイトアプリの特性に反するため</t>
  </si>
  <si>
    <t>公共サービス</t>
  </si>
  <si>
    <t>SNS</t>
  </si>
  <si>
    <t>ライブ配信アプリ関連</t>
  </si>
  <si>
    <t>女性ワーカーさんにはお茶出しや電話応対などもお願いします！</t>
  </si>
  <si>
    <t>公序良俗に反する可能性やサービスの勧誘行為が行われるため</t>
  </si>
  <si>
    <t>https://www.notion.so/timee/a4af94d4b4c3452f8d2456794ec58ab5</t>
  </si>
  <si>
    <t>受付</t>
  </si>
  <si>
    <t>フロント業務等</t>
  </si>
  <si>
    <t>営業スタッフ（男性：法人営業経験あり、女性：未経験可）</t>
  </si>
  <si>
    <t>営業スタッフ（法人営業経験者歓迎。未経験可）</t>
  </si>
  <si>
    <t>性別でいずれかを優先する表現</t>
  </si>
  <si>
    <t>運輸サービス</t>
  </si>
  <si>
    <t>第13条13項</t>
  </si>
  <si>
    <t>企業のサービス・製品などを用いた営利目的でのPR活動</t>
  </si>
  <si>
    <t xml:space="preserve">募集人数：男性5名、女性3名        </t>
  </si>
  <si>
    <t>勧誘行為によるトラブルや他社サービスの利用規約に違反する可能性の防止、タイミーのサービス目的から外れる可能性があるため</t>
  </si>
  <si>
    <t>https://www.nta.go.jp/law/shitsugi/inshi/19/01.htm</t>
  </si>
  <si>
    <t>募集人数：8名</t>
  </si>
  <si>
    <t>販売</t>
  </si>
  <si>
    <t>男性歓迎、主婦歓迎、プレママ歓迎、イクメン歓迎</t>
  </si>
  <si>
    <t>「主婦(夫)歓迎」はOK</t>
  </si>
  <si>
    <t>試食販売</t>
  </si>
  <si>
    <t>販売、清掃等</t>
  </si>
  <si>
    <t>女性が主役の職場、女性がメインの職場、女子大生・女子高生が活躍中の華やかな職場</t>
  </si>
  <si>
    <t>男性が活躍中の職場です</t>
  </si>
  <si>
    <t>https://taimee.slack.com/archives/CECP4KLCX/p1649900201959019</t>
  </si>
  <si>
    <t>店舗軽作業</t>
  </si>
  <si>
    <t>清掃、品出管理等</t>
  </si>
  <si>
    <t>性別で異なる取り扱いをする表現</t>
  </si>
  <si>
    <t>男性が活躍できる職場です
※「男性/女性のみが活躍できる」と同義になる</t>
  </si>
  <si>
    <t>コンビニ・スーパー・ドラックストア</t>
  </si>
  <si>
    <t>レジ、清掃、品出管理等</t>
  </si>
  <si>
    <t>男性が活躍している職場です、男性も活躍できる職場です
※「活躍している」という事実を表現するのはOK</t>
  </si>
  <si>
    <t>小売</t>
  </si>
  <si>
    <t>第13条1項 (第4条3項)</t>
  </si>
  <si>
    <t>警備業</t>
  </si>
  <si>
    <t>警備会社</t>
  </si>
  <si>
    <t>携帯販売</t>
  </si>
  <si>
    <t>警備業法より法定研修が必要なため弊社では掲載できない</t>
  </si>
  <si>
    <t>販売、清掃、品出管理等</t>
  </si>
  <si>
    <t>https://www.notion.so/timee/b3ff33bc00e8480685aa2f5875209530</t>
  </si>
  <si>
    <t>※契約の代行・買取等を含む場合は、闇バイトという区分で対応</t>
  </si>
  <si>
    <t>男性歓迎、女性歓迎
※優遇することを示す</t>
  </si>
  <si>
    <t>アパレル・雑貨</t>
  </si>
  <si>
    <t>女性活躍中、男性スタッフ多数在籍
※現場の状況を示す事実表現なのでOK</t>
  </si>
  <si>
    <t>食品</t>
  </si>
  <si>
    <t>第13条1項、20項 (第4条3項)</t>
  </si>
  <si>
    <t>配送・運送サービス</t>
  </si>
  <si>
    <t>ワーカーの車、125CCを超えるバイクを使用する業務</t>
  </si>
  <si>
    <t>貨物自動車運送業法等より、法律違反や掲載時のリスクが高いため</t>
  </si>
  <si>
    <t>https://www.notion.so/timee/e27a16fa309c49dfa70815b786d88d49</t>
  </si>
  <si>
    <t>男女雇用機会均等法
(間接差別の禁止)</t>
  </si>
  <si>
    <t>合理的理由がなく、条件に身長・体重・体力を記載した募集</t>
  </si>
  <si>
    <t>身長170cm以上〜
体重60キロ以下〜
ウエスト〇cm以下
握力40kg以上の方（※女性の平均握力は20〜30kgなので間接的に男性に限定されている）</t>
  </si>
  <si>
    <t>オフィスワーク</t>
  </si>
  <si>
    <t>消費者サービス</t>
  </si>
  <si>
    <t>第13条16項、20項 (第4条3項)</t>
  </si>
  <si>
    <t>編集・ライター</t>
  </si>
  <si>
    <t>▼合理的理由があると判定される例
・着ぐるみ着用の仕事であるため155cm〜165cmのみ
※着用いただく着ぐるみの適正サイズが155cm〜165cmで、この身長を超えると着ぐるみ自体の着用が難しく155cm〜165cmで条件を設定しております。
・車高の都合により身長150センチ以上の方限定
※業務で使用するバイクのシート高が〇〇cmであり、安全な停車（両足設置）を確保するために身長150cm以上の方に限定しております。
・キッチンカーの高さにより身長170センチ以下の方限定
※業務をおこなうキッチンカーの天井高が最大〇〇cmとなっており、身体への負担や頭部等の負傷が発生しないよう、安全に作業いただける身体サイズの上限を設定しております。</t>
  </si>
  <si>
    <t>ECサイトでの購入代行業務</t>
  </si>
  <si>
    <t>他社サービスの利用規約に違反する可能性があるため</t>
  </si>
  <si>
    <t>ライター業務</t>
  </si>
  <si>
    <t>例）amazonでは「金銭的な報酬を受け取って投稿されるレビュー」はNG
https://www.amazon.co.jp/gp/help/customer/display.html?nodeId=G3UA5WC5S5UUKB5G</t>
  </si>
  <si>
    <t>不動産</t>
  </si>
  <si>
    <t>男女雇用機会均等法
(例外事由)</t>
  </si>
  <si>
    <t>タイミー方針</t>
  </si>
  <si>
    <t>障害者手帳持っている人限定の業務</t>
  </si>
  <si>
    <t>違法ではないが要配慮個人情報であることなどの懸念があり現状はNG</t>
  </si>
  <si>
    <t>外食・中食</t>
  </si>
  <si>
    <t>配送業者以外の事業者が、物の運搬のみをワーカーに依頼する業務の取り扱いNG</t>
  </si>
  <si>
    <t>芸能・芸術の分野において、役柄のイメージを損なわず、芸術的なリアリティを追求するために性別が指定されている業務</t>
  </si>
  <si>
    <t>違法薬物などの運び屋に利用される恐れがあり、ワーカーが犯罪に巻き込まれるなどのリスクがある</t>
  </si>
  <si>
    <t>https://www.notion.so/timee/ffc80a7e0e11490181e53c28eff4f7cd</t>
  </si>
  <si>
    <t>テスター</t>
  </si>
  <si>
    <t>アプリ・商品テスター等</t>
  </si>
  <si>
    <t>※タイミーでの掲載においては、モデル等の撮影を伴う業務について別途基準があり、右記を満たす場合も別軸で掲載NGとなる可能性がある</t>
  </si>
  <si>
    <t>俳優（男優・女優）、モデル（紳士服・婦人服）、歌手、舞台演劇のキャスト、歌舞伎など</t>
  </si>
  <si>
    <t>・アプリテスターの場合、ワーカー様の携帯にアプリDLが必須となるため
あらかじめ個人情報の取り扱いなど企業に確認し、募集内容に個人情報の取り扱いを明示、PDFを添付を推奨</t>
  </si>
  <si>
    <t>守衛、警備員等の防犯上の理由から男性が必要である業務</t>
  </si>
  <si>
    <t>受付・秘書</t>
  </si>
  <si>
    <t>主に軽作業</t>
  </si>
  <si>
    <t>特殊清掃</t>
  </si>
  <si>
    <t>受付、秘書業務等</t>
  </si>
  <si>
    <t>違法ではないが、特殊技能かつワーカーがリスクを負うことになってしまうため原則NG</t>
  </si>
  <si>
    <t>身辺警護（ボディーガード）、施設巡回</t>
  </si>
  <si>
    <t>https://taimee.slack.com/archives/CECP4KLCX/p1662449346505169</t>
  </si>
  <si>
    <t>風紀維持の理由から性別の限定が必要である業務</t>
  </si>
  <si>
    <t>お手洗いの清掃
営業時間外の更衣室等の清掃</t>
  </si>
  <si>
    <t>事務・アシスタント</t>
  </si>
  <si>
    <t>営業時間中の女性用サウナのスタッフ(女性)、女子更衣室(営業時間中)の清掃員、入浴・排泄の介助
※主業務として、特定の裸体に触れる必要性がある業務は性別の限定可能</t>
  </si>
  <si>
    <t>事務作業、データ入力等</t>
  </si>
  <si>
    <t>※健康診断の補助など医療目的で裸体に接しうる場面においては、風紀上の理由は適用されない。
（助産師を除く）</t>
  </si>
  <si>
    <t>・名簿のデータ入力や書き換えの場合、以下目的(用途)と方法を明確にした上で掲載可
　「情報管理のために、紙で集めた署名/名簿の内容をエクセル等に打ち込む場合」
・書類の代理投函は以下目的(用途)と方法を明確にした上で掲載可
　「投函を代行する理由」
　「投函する書類の種別」</t>
  </si>
  <si>
    <t>宗教・風俗の教義、伝統において性別が指定されている業務</t>
  </si>
  <si>
    <t>巫女（女性）、僧侶（男性）、神主（男性）</t>
  </si>
  <si>
    <t>コールセンター・テレアポ</t>
  </si>
  <si>
    <t>顧客対応、事務作業等</t>
  </si>
  <si>
    <t>法律の規定により一方の性を就業させることができない業務(女性労働基準規則等)</t>
  </si>
  <si>
    <t>企画・営業職</t>
  </si>
  <si>
    <t>継続的に20kg以上の荷物を運搬する求人
断続的に30kg以上の荷物を運搬する求人
※求人に上記業務であると明記されている必要がある</t>
  </si>
  <si>
    <t>労働施策総合推進法</t>
  </si>
  <si>
    <t>教育・指導</t>
  </si>
  <si>
    <t>事務作業等</t>
  </si>
  <si>
    <t>見守り</t>
  </si>
  <si>
    <t>面接等</t>
  </si>
  <si>
    <t>軽作業</t>
  </si>
  <si>
    <t>特定の年齢層を排除する表現</t>
  </si>
  <si>
    <t>現地調査</t>
  </si>
  <si>
    <t>20~30歳、50歳以下、18歳以上</t>
  </si>
  <si>
    <t>水質調査等</t>
  </si>
  <si>
    <t>※年齢の記載は原則NG
社会人経験3年以上 (3年以上〜5年未満といった表現はおk)
20代〜30代活躍中</t>
  </si>
  <si>
    <t>事前の集合時間（労働基準法）</t>
  </si>
  <si>
    <t>特定の年齢層で異なる取り扱いをする表現</t>
  </si>
  <si>
    <t>若い方歓迎、20代歓迎</t>
  </si>
  <si>
    <t>20代活躍中
30代以上のスタッフが多数在籍
※企業や現場の現状を表す事実表現であればOK</t>
  </si>
  <si>
    <t>引っ越しスタッフ</t>
  </si>
  <si>
    <t xml:space="preserve">
特定の年齢層にのみ条件を記載した表現
</t>
  </si>
  <si>
    <t>引っ越し業務</t>
  </si>
  <si>
    <t>30歳以上の方は事前にアンケートに回答…</t>
  </si>
  <si>
    <t>・業務のメインが20kg以上の重量物を継続して運搬する場合、
女性労働基準規則より女性を就業させていけないため、企業に勤務内容を確認の上
募集掲載時の「注意事項」に以下記載をしてください。
「継続的に20kg以上の重量物を運搬するため、男性限定の募集(男女雇用機会均等法適用除外)」</t>
  </si>
  <si>
    <t>事前にアンケートに回答…</t>
  </si>
  <si>
    <t>性別限定（男女雇用機会均等法）</t>
  </si>
  <si>
    <r>
      <rPr>
        <rFont val="Arial"/>
        <color rgb="FF1155CC"/>
        <sz val="18.0"/>
        <u/>
      </rPr>
      <t>職業安定法</t>
    </r>
    <r>
      <rPr>
        <rFont val="Arial"/>
        <strike/>
        <color rgb="FFFF0000"/>
        <sz val="18.0"/>
        <u/>
      </rPr>
      <t xml:space="preserve">
</t>
    </r>
    <r>
      <rPr>
        <rFont val="Arial"/>
        <color rgb="FF1155CC"/>
        <sz val="18.0"/>
        <u/>
      </rPr>
      <t>（公正採用選考ルール）</t>
    </r>
  </si>
  <si>
    <t>梱包</t>
  </si>
  <si>
    <t>年齢限定（雇用対策法）</t>
  </si>
  <si>
    <t>梱包作業等</t>
  </si>
  <si>
    <t>長期雇用前提（利用規約+公正な採用選考の基本）</t>
  </si>
  <si>
    <t>仕分け</t>
  </si>
  <si>
    <t>建設業（職業安定法３２条の１２）</t>
  </si>
  <si>
    <t>仕分け作業等</t>
  </si>
  <si>
    <t>ナイト系（利用規約）</t>
  </si>
  <si>
    <t>直接の金銭手渡し（利用規約）</t>
  </si>
  <si>
    <t>仕入れ</t>
  </si>
  <si>
    <t>仕入れ作業等</t>
  </si>
  <si>
    <t>自家用車NG（利用規約）</t>
  </si>
  <si>
    <t>警備（警備業法）</t>
  </si>
  <si>
    <t>清掃</t>
  </si>
  <si>
    <t>清掃業務等</t>
  </si>
  <si>
    <t>モデル（利用規約）</t>
  </si>
  <si>
    <t>面接案件（利用規約）</t>
  </si>
  <si>
    <t>作業補助</t>
  </si>
  <si>
    <t>梱包・仕分け作業等</t>
  </si>
  <si>
    <t>心身の障害や身体的特徴を記載した表現</t>
  </si>
  <si>
    <t>飲酒（トラブル回避）</t>
  </si>
  <si>
    <t>心身ともに健康な方、容姿端麗な方</t>
  </si>
  <si>
    <t>※原則記載はNG
※求める人材に合わせて業務内容をより詳細に記載する</t>
  </si>
  <si>
    <t>サクラ案件（利用規約）</t>
  </si>
  <si>
    <t>性格を限定する表現</t>
  </si>
  <si>
    <t>明るい方、コミュ力高い方歓迎、体力に自信のある方</t>
  </si>
  <si>
    <t>明るくお客さまにあいさつできる方
お客様とコミュニケーションを取りながら接客できる方歓迎
※仕事への取り組む姿勢を表現するのでOK
1つ10kgの荷物を運ぶ仕事です。
※扱うものの重さや形状を記載し求職者に判断させる</t>
  </si>
  <si>
    <t>雇用主の不明瞭（職業安定法）</t>
  </si>
  <si>
    <t>特定の地域(出身地・居住地・通勤時間)を排除や限定する表現</t>
  </si>
  <si>
    <t>東京都出身の方、豊島区にお住まいの方、1時間以内で通勤できる方</t>
  </si>
  <si>
    <t>防疫業務</t>
  </si>
  <si>
    <t>住所不明瞭（労働基準法）</t>
  </si>
  <si>
    <t>※原則特定の地域を限定しない</t>
  </si>
  <si>
    <t>国籍や人種を記載した表現</t>
  </si>
  <si>
    <t>仕事内容不明瞭（労働基準法）</t>
  </si>
  <si>
    <t>日本国籍の方歓迎、外人の方〜</t>
  </si>
  <si>
    <t>※原則記載はNG
お客様とコミュニケーションを取りながら接客できる方歓迎</t>
  </si>
  <si>
    <t>※専用PDFの添付が必須</t>
  </si>
  <si>
    <t xml:space="preserve">家庭環境に関する表現       
</t>
  </si>
  <si>
    <t>・求人のひな形の【注意事項】欄に以下2点を明記 + 専用PDFの添付が必須
    - 衛生面を徹底するため、就業時は必ず企業の指示に従って動く必要があること
    - 就業前に、添付のPDFに必ず目を通していただくこと</t>
  </si>
  <si>
    <t xml:space="preserve">お子さんのいらっしゃる方歓迎、未婚の方歓迎、子育て経験ある方
</t>
  </si>
  <si>
    <t>主婦(夫)歓迎
子ども好きの方</t>
  </si>
  <si>
    <t>https://www.notion.so/timee/1e3c5579d2b880f5854cda45bc096db6</t>
  </si>
  <si>
    <t>喫煙者はご遠慮ください、
煙草を吸われる方のご応募はお控えください
高校生不可
※業務に必要な能力を問うものではないため</t>
  </si>
  <si>
    <t>地域限定（公正な採用選考の基本）</t>
  </si>
  <si>
    <t>仕事場は全室禁煙です。
喫煙可能な場所は用意しておりません。
※事実として記載する
高卒以上
※高卒程度の能力を問うものとしてOK</t>
  </si>
  <si>
    <t>学生限定（公正な採用選考の基本）</t>
  </si>
  <si>
    <t xml:space="preserve">職業安定法
（労働者供給）
</t>
  </si>
  <si>
    <t>主観的な条件（公正な採用選考の基本）</t>
  </si>
  <si>
    <t>初回限定（公正な採用選考の基本）</t>
  </si>
  <si>
    <t>ひな形への個人名表記（個人情報保護法）</t>
  </si>
  <si>
    <t>掲載目的以外でのひな形作成（トラブル回避）</t>
  </si>
  <si>
    <t>見張り</t>
  </si>
  <si>
    <t>警備員や交通誘導等</t>
  </si>
  <si>
    <t>※警備会社の委託業務の場合
法定研修必須</t>
  </si>
  <si>
    <t>・警備業法により法定研修が必要になるため、他社のための警備・交通誘導は掲載NG
（自社のための警備・誘導は掲載OK）</t>
  </si>
  <si>
    <t>複数日での募集（公正な採用選考の基本）</t>
  </si>
  <si>
    <t>マッサージ業務（利用規約）</t>
  </si>
  <si>
    <t>サンプル画像の利用（著作権法）</t>
  </si>
  <si>
    <t>「〜から来ました」と社名を名乗らせる</t>
  </si>
  <si>
    <t>現場に到着したら「株式会社⚪︎⚪︎から来ました」と名乗ってください</t>
  </si>
  <si>
    <t>「タイミーから申し込みました」</t>
  </si>
  <si>
    <t>タトゥー（公正な採用選考の基本）</t>
  </si>
  <si>
    <r>
      <rPr>
        <rFont val="Arial"/>
        <color rgb="FF1155CC"/>
        <sz val="18.0"/>
        <u/>
      </rPr>
      <t>職業安定法</t>
    </r>
    <r>
      <rPr>
        <rFont val="Arial"/>
        <color rgb="FF000000"/>
        <sz val="18.0"/>
        <u/>
      </rPr>
      <t xml:space="preserve">
</t>
    </r>
    <r>
      <rPr>
        <rFont val="Arial"/>
        <color rgb="FF000000"/>
        <sz val="18.0"/>
        <u/>
      </rPr>
      <t>（</t>
    </r>
    <r>
      <rPr>
        <rFont val="Arial"/>
        <color rgb="FF1155CC"/>
        <sz val="18.0"/>
        <u/>
      </rPr>
      <t>参考：</t>
    </r>
    <r>
      <rPr>
        <rFont val="Arial"/>
        <color rgb="FF1155CC"/>
        <sz val="18.0"/>
        <u/>
      </rPr>
      <t>景品表示</t>
    </r>
    <r>
      <rPr>
        <rFont val="Arial"/>
        <color rgb="FF1155CC"/>
        <sz val="18.0"/>
        <u/>
      </rPr>
      <t>法</t>
    </r>
    <r>
      <rPr>
        <rFont val="Arial"/>
        <color rgb="FF000000"/>
        <sz val="18.0"/>
        <u/>
      </rPr>
      <t>）</t>
    </r>
  </si>
  <si>
    <t>身だしなみ（男女雇用機会均等法）</t>
  </si>
  <si>
    <t>雑工・その他（建設）</t>
  </si>
  <si>
    <t>NG</t>
  </si>
  <si>
    <t>建設業務・港湾業務</t>
  </si>
  <si>
    <t>掲載不可</t>
  </si>
  <si>
    <t>・有料職業紹介事業では、掲載不可</t>
  </si>
  <si>
    <t>キャンセルをしない方（公正な採用選考の基本）</t>
  </si>
  <si>
    <t>トップ表現の使用</t>
  </si>
  <si>
    <t xml:space="preserve">国内No.1、一番、日本初、最大、大手、トップ、有名トップクラス、最大級、最上位、業界トップの待遇、仲の良さならNo.1、最大の明るさなど
</t>
  </si>
  <si>
    <t>※客観的事実が証明できる根拠を明示しなければならない
※根拠が他社調べのものの場合、掲載許可が必要</t>
  </si>
  <si>
    <t>国籍などの条件</t>
  </si>
  <si>
    <t>イベント
キャンペーン</t>
  </si>
  <si>
    <t>唯一の表現使用</t>
  </si>
  <si>
    <t>イベントスタッフ</t>
  </si>
  <si>
    <t>唯一、当社だけ</t>
  </si>
  <si>
    <t>身体的特徴の条件</t>
  </si>
  <si>
    <t>他社と比較した表現</t>
  </si>
  <si>
    <t>トップ表現（景品表示法）</t>
  </si>
  <si>
    <t>小規模な倉庫なので、大規模な倉庫よりも移動が少なく作業ができます、
架電業務ですが、スクリプトが充実していて他社よりも安心して業務できます</t>
  </si>
  <si>
    <t>・顧客の誘導等、警備業法に該当する内容があれば前述の「交通誘導」を参照</t>
  </si>
  <si>
    <t>高額交通費</t>
  </si>
  <si>
    <t xml:space="preserve">小規模な倉庫なので、移動が少なく楽に作業ができます
スクリプトを見ながら架電業務をします
※比較表現はその比較が客観的に実証されており、その根拠が引用されていない限り原則NG
</t>
  </si>
  <si>
    <t>著作権法</t>
  </si>
  <si>
    <t>キャンペーン</t>
  </si>
  <si>
    <t>代打ち・打ち子</t>
  </si>
  <si>
    <t>ポスティング・ビラ配り</t>
  </si>
  <si>
    <t>調査員・覆面調査</t>
  </si>
  <si>
    <t>モニター調査</t>
  </si>
  <si>
    <t>・転職や就職活動の支援を目的とした面接主体の求人においては、モニター調査を含むものであっても掲載NG</t>
  </si>
  <si>
    <t>https://www.notion.so/timee/70729b4d71ee46c18706a4a738e6c553</t>
  </si>
  <si>
    <t>事前に許可を得ずに記載または使用した表現や画像</t>
  </si>
  <si>
    <r>
      <rPr>
        <rFont val="Arial"/>
        <color rgb="FF000000"/>
        <sz val="10.0"/>
      </rPr>
      <t>フリー素材ではない</t>
    </r>
    <r>
      <rPr>
        <rFont val="Arial"/>
        <color rgb="FF000000"/>
        <sz val="10.0"/>
      </rPr>
      <t>画像や書籍など</t>
    </r>
  </si>
  <si>
    <t>フリー素材の画像等
※フリー素材でないものは、著作権主に許可をいただくことで掲載可能</t>
  </si>
  <si>
    <t>モデル</t>
  </si>
  <si>
    <t>タイミーのルール</t>
  </si>
  <si>
    <t>・オフラインの撮影を伴う求人は原則NG
※以下の条件を複合的に検討し、掲載許容とする場合もあります。
　(1)企業のHP/SNSはあるか
　(2)撮影した内容はどこに掲載されるのか
　(3)現場で着替える必要はあるか
　(4)性別・年齢の制限があるか
　(5)ワーカーと企業担当者が何名ずつ同席しての撮影になるか</t>
  </si>
  <si>
    <t>名簿の書き換え</t>
  </si>
  <si>
    <t>エキストラ</t>
  </si>
  <si>
    <t>撮影アシスタント</t>
  </si>
  <si>
    <t>アンケート</t>
  </si>
  <si>
    <t>登録会等</t>
  </si>
  <si>
    <t>・派遣会社の登録を目的とした募集の場合、登録会へ参加された際に別途紹介料を徴収する
※金額は要相談
・外部サービスへの登録やアプリなどの登録をするものは、
安全性があるのか事前に確認の上、募集内容にURLやHPを載せてもらう
※ユーザーリスクの可能性が高いため、迷ったら法務に確認をお願いします。</t>
  </si>
  <si>
    <t>名簿の書き換えに準ずる業務</t>
  </si>
  <si>
    <t>なし</t>
  </si>
  <si>
    <t>配達・運転</t>
  </si>
  <si>
    <t>フードデリバリー</t>
  </si>
  <si>
    <t>ラブホテル、キャバレー、風俗</t>
  </si>
  <si>
    <t xml:space="preserve">　直雇用</t>
  </si>
  <si>
    <t>タイミーとしてご遠慮いただいている。
また、接客業務ではなくとも同業態の店舗での業務はNG</t>
  </si>
  <si>
    <t xml:space="preserve"> 運転免許証</t>
  </si>
  <si>
    <t>ナイトワーク（キャバクラ・ホスト・スナック等）</t>
  </si>
  <si>
    <t>・フードデリバリー
貨物自動車運送事業法が適用され、普通乗用車を使用する場合は黒ナンバーが必要になるので、ワーカーの自家用車（白ナンバー）を使用する場合は、自転車または125CC以下のバイクであれば掲載可（もっとも、事故発生時のリスクを考慮し推奨はしない）
ただし、デリバリー業者自らが弁当などを調理しており、かつ、宅配専門で行っており、注文者から配送料などを徴収していない場合は、貨物自動車運送事業法が適用されず白ナンバーの使用が可能なので、自転車やバイクだけでなく普通乗用車でもワーカーの自家用車の使用が可能（ただし、事故発生時のリスクを考慮し推奨はしない）</t>
  </si>
  <si>
    <t>バー、居酒屋はOK
※ナイトワークかどうかは「接待行為を含むか」で判断している</t>
  </si>
  <si>
    <t>マルチビジネス、ネズミ講</t>
  </si>
  <si>
    <t>以下の流れで検知
１、ワーカーが『マルチだった』と通報がある
２、マルチ商法をやっている会社の一覧があればパッチを当てて機械的に検知？
３、投資（関係）のセミナーを検知して法務に確認
上記流れでマルチ等に該当すると判断した場合、掲載NG</t>
  </si>
  <si>
    <t>名刺の代理交換</t>
  </si>
  <si>
    <t>タイミーとしてご遠慮いただいている。</t>
  </si>
  <si>
    <t>サクラ行為</t>
  </si>
  <si>
    <t>送迎</t>
  </si>
  <si>
    <t>代打ち・打ち子（パチンコ・スロット等での代打ち）</t>
  </si>
  <si>
    <t>・送迎
送迎料金など対価を得て送迎を行っている事業者の場合、道路運送法が適用され、車の種類にかかわらず、日雇い労働者の運転が禁止されるので、企業所有の車を使うとしても掲載不可
送迎料金など対価を得ずに送迎を行う場合は、道路運送法が適用されないので、掲載可。ワーカーの自家用車の使用も可能だが、事故発生時のリスクを考慮し推奨はしない</t>
  </si>
  <si>
    <t>https://drive.google.com/file/d/1nktA_Z3ZWaBYAlgNoj8t2Oc_5TpDinSx/view</t>
  </si>
  <si>
    <t>覆面調査</t>
  </si>
  <si>
    <t>探偵</t>
  </si>
  <si>
    <t>業務内容により掲載OK/NGの判断が変わる。
・業務詳細が不明瞭な場合（求人に明記できない場合）はNG
・求人に明記された場合も、ワーカーリスクが高いと判断する業務はNG
 （過去例: 監視カメラの設置・回収、調査のための張り込み・撮影）</t>
  </si>
  <si>
    <t>並び代行、買い物代行</t>
  </si>
  <si>
    <t>https://docs.google.com/spreadsheets/d/1Lyvt9k5v29f1oazrHmn1WdAvk6Dsn3GtuVu_KFfZg2E/edit#gid=0</t>
  </si>
  <si>
    <t>購入の代行を目的とした業務は全てNG
※購入代行が目的でなくとも、10万円を超える高額商品の購入を代行（高級時計、限定品の商品等）する場合も内容によりNG
・チケットの購入代行業務に関しても、法務観点で一律掲載NG</t>
  </si>
  <si>
    <t>（飲食店等での）少額のお使いは、就業するワーカーの合意の下であれば許容</t>
  </si>
  <si>
    <t>待機（スタンバイ）</t>
  </si>
  <si>
    <t>＜前提＞
・「スタンバイ」「待機」であると明記されている求人が対象
　　+
＜以下いずれかに該当すればNG＞
・実働時間分の賃金を払わない記載がある
・待機に関する3情報が明記されていない（待機場所 / 待機時間 / 待機分の報酬）
・本稼働に関する4情報が明記されていない（本稼働場所 / 本稼働の業務内容 / 本稼働の勤務時間 / 本稼働した場合の報酬）
※待機場所、本稼働場所については詳細な住所までは不要。ただし、一般的にワーカーが双方の場所を特定できる程度には明確である必要がある。
例として、「池袋駅周辺で待機していてください」といった内容はNG基準に抵触するとみなす。</t>
  </si>
  <si>
    <t>選挙活動に関連する求人</t>
  </si>
  <si>
    <t>公職選挙法を考慮して、特定の候補者や政治団体の選挙のための案件、並びに政治活動に関する案件は一律NG
※選挙期間や直接的な選挙運動であるかに関わらず、政治上の目的をもって行われるいっさいの活動に関する求人が対象</t>
  </si>
  <si>
    <t>選挙会場の設置など、特定の候補者や政治団体のためではない求人は掲載OK</t>
  </si>
  <si>
    <t>全文が外国語の求人</t>
  </si>
  <si>
    <t>タイミーとしてご遠慮いただいている。
※英語以外の外国語においては、読み取れるワーカーが限定的であるため</t>
  </si>
  <si>
    <t>日本語・英語のみ許容</t>
  </si>
  <si>
    <t>駐車禁止回避の横乗り</t>
  </si>
  <si>
    <t>公序良俗に反するためNG</t>
  </si>
  <si>
    <t>ペナルティポイントを条件とした申込の制限</t>
  </si>
  <si>
    <t>＜2025/09/01以降 適用＞
休業手当に関する運営方針の変更に伴い、ペナルティポイントを条件とした申込の制限を禁止</t>
  </si>
  <si>
    <t>異常な交通費、および時給</t>
  </si>
  <si>
    <t>・合理的な金額を超える時給・交通費設定　（参考：国税庁）
（TnSでは、2001円以上を検知）
・目的が交通費以外で支払われている（タクシーチケット等）</t>
  </si>
  <si>
    <t>エンタメ</t>
  </si>
  <si>
    <t>カラオケ</t>
  </si>
  <si>
    <t>映画館</t>
  </si>
  <si>
    <t>専門職</t>
  </si>
  <si>
    <t>美容</t>
  </si>
  <si>
    <t>美容師・アイリスト</t>
  </si>
  <si>
    <t>美容師資格</t>
  </si>
  <si>
    <t>・アイリスト（まつげエクステの施術等）は美容師免許所持の上で掲載可</t>
  </si>
  <si>
    <t>マッサージに関する業務</t>
  </si>
  <si>
    <t>医師又はあん摩マッサージ指圧師免許必須</t>
  </si>
  <si>
    <t>・マッサージと揉みほぐしは法律上異なる業務であり、マッサージの場合は資格が必要である。
しかし、前者と後者の境界は曖昧で、後者において実態としてマッサージ行為にあたるものをした場合、違法となる可能性が高いため、全般的に資格を必須とする。</t>
  </si>
  <si>
    <t>https://www.notion.so/timee/e773e90b88bb4c36bc2e3ab4d439175d</t>
  </si>
  <si>
    <t>エステに関する業務</t>
  </si>
  <si>
    <t>掲載NG</t>
  </si>
  <si>
    <t>補助業務を含め、ワーカーが施術室に立ち入る必要がある業務は掲載NG。
以前は、①施術行為ではないこと ②医療資格等に限定すること 左記2点を満たすことで掲載が許容されていたが、就業先における施術トラブル発生時に、ワーカーがその一端を担ったと見なされるリスクを回避するため、今後、施術室への立ち入りを要するエステ関連の業務は掲載NGとする。</t>
  </si>
  <si>
    <t>https://www.notion.so/timee/27f039169f714572a34e3cd4998faccd</t>
  </si>
  <si>
    <t>DB更新日</t>
  </si>
  <si>
    <t>更新箇所</t>
  </si>
  <si>
    <t>タイプ</t>
  </si>
  <si>
    <t>着手日</t>
  </si>
  <si>
    <t>after</t>
  </si>
  <si>
    <t>保育士等</t>
  </si>
  <si>
    <t>before</t>
  </si>
  <si>
    <t>保育士の場合：保育資格</t>
  </si>
  <si>
    <t>現場に保育資格を有するスタッフがおり、その補助としてワーカーを集めるということであれば、無資格のワーカーでも掲載可能です。
上記に該当しない場合、保育資格を有する方に限定する必要がある</t>
  </si>
  <si>
    <t>slack URL</t>
  </si>
  <si>
    <t>担当者</t>
  </si>
  <si>
    <t>探偵（調査員）</t>
  </si>
  <si>
    <t>業務内容により掲載OK/NGを判断
・業務詳細が不明瞭な場合（求人に明記できない場合）はNG
・求人に明記された場合も、ワーカーリスクが高いと判断する業務はNG
 （過去例: 監視カメラの設置・回収、調査のための張り込み・撮影）</t>
  </si>
  <si>
    <t>【C】掲載NG業種業務</t>
  </si>
  <si>
    <t>新規</t>
  </si>
  <si>
    <t>弊社が事前に許諾しない本サービス上での宣伝、広告、勧誘、又は営業行為
＞勧誘行為によるトラブルや他社サービスの利用規約に違反する可能性の防止、タイミーのサービス目的から外れる可能性があるため</t>
  </si>
  <si>
    <t>サービスの勧誘行為が行われるため、他社サービスの利用規約に違反する可能性があるため</t>
  </si>
  <si>
    <t>https://taimee.slack.com/archives/CECP4KLCX/p1632034587344300</t>
  </si>
  <si>
    <t>宮崎, 渡辺</t>
  </si>
  <si>
    <t>【B】掲載時条件や注意が必須な業務</t>
  </si>
  <si>
    <t>追加</t>
  </si>
  <si>
    <t>直雇用　業務委託</t>
  </si>
  <si>
    <t>面接案件は直雇用に限らないため</t>
  </si>
  <si>
    <t>宮崎</t>
  </si>
  <si>
    <t>NO</t>
  </si>
  <si>
    <t>元スレ</t>
  </si>
  <si>
    <t>ステータス</t>
  </si>
  <si>
    <t>割り当て日時</t>
  </si>
  <si>
    <t>特殊清掃
&gt;違法ではないが、特殊技能かつワーカーがリスクを負うことになってしまうため原則NG</t>
  </si>
  <si>
    <t>完了日時</t>
  </si>
  <si>
    <t>種別</t>
  </si>
  <si>
    <t>作成内容</t>
  </si>
  <si>
    <t>URL</t>
  </si>
  <si>
    <t>ガイドライン更新有無</t>
  </si>
  <si>
    <t>https://taimee.slack.com/archives/C02D2DUAH2M/p1630203893000500</t>
  </si>
  <si>
    <t>新井</t>
  </si>
  <si>
    <t>「タイミーのルール」に以下を追加・修正
・ラブホテル、キャバレー、風俗
・ナイトワーク（キャバクラ・ホスト・スナック等）
・マルチビジネス、ネズミ講
・名刺の代理交換
・サクラ行為
・並び代行、買い物代行
・異常な交通費、および時給</t>
  </si>
  <si>
    <t>「名簿の書き換え」のみ</t>
  </si>
  <si>
    <t>CS部長より口頭で相談があり対応</t>
  </si>
  <si>
    <t>深栖, 柴田</t>
  </si>
  <si>
    <t>柴田裕輝/shibata yukiと夏の楓</t>
  </si>
  <si>
    <t>削除</t>
  </si>
  <si>
    <t>完了</t>
  </si>
  <si>
    <t>「オフィスワーク&gt;面接等」の掲載条件・注意事項を削除</t>
  </si>
  <si>
    <t>現在は実施していない</t>
  </si>
  <si>
    <t>柴田</t>
  </si>
  <si>
    <t>訂正</t>
  </si>
  <si>
    <t>「専門職&gt;美容師・アイリスト」を追記</t>
  </si>
  <si>
    <t>「美容師」のみ</t>
  </si>
  <si>
    <t>【D】闇バイト</t>
  </si>
  <si>
    <t>作成</t>
  </si>
  <si>
    <t>っっっっっっっs</t>
  </si>
  <si>
    <t>あああああ</t>
  </si>
  <si>
    <t>無</t>
  </si>
  <si>
    <t>ああああああ</t>
  </si>
  <si>
    <t>【A】掲載NG表現等</t>
  </si>
  <si>
    <t>「タイミーのルール&gt;並び代行・購入代行」のOK例に以下を追記
（飲食店等での）</t>
  </si>
  <si>
    <t>https://taimee.slack.com/archives/C02D2DUAH2M/p1630208516003000</t>
  </si>
  <si>
    <t>https://taimee.slack.com/archives/C0247BB4DNW/p1686127243203299</t>
  </si>
  <si>
    <t>顧客対応での見せ方</t>
  </si>
  <si>
    <t>顧客対応での見せ方について、CSでの案内文言を新設</t>
  </si>
  <si>
    <t>更新</t>
  </si>
  <si>
    <t>s</t>
  </si>
  <si>
    <t>https://taimee.slack.com/archives/CECP4KLCX/p1687918796535029</t>
  </si>
  <si>
    <t>雇用対策法</t>
  </si>
  <si>
    <t>平成30年に「雇用対策法」から「労働施策総合推進法」に改名されたことを受け変更</t>
  </si>
  <si>
    <t>「職業安定法（公正採用選考ルール）」のOK例/NG例に以下を追記
NG例「高校生不可」
OK例「高卒以上　※高卒程度の能力を問うものとしてOK」</t>
  </si>
  <si>
    <t>https://taimee.slack.com/archives/CECP4KLCX/p1710751611113069</t>
  </si>
  <si>
    <t>「接客」に「ラブホテル」を新設</t>
  </si>
  <si>
    <t>現行のタイミーのサービスでは、業務委託契約を扱っていないことより、ガイドラインから「業務委託」の表記を削除</t>
  </si>
  <si>
    <r>
      <rPr>
        <rFont val="Arial"/>
        <color theme="1"/>
      </rPr>
      <t>取り消し線を含め「</t>
    </r>
    <r>
      <rPr>
        <rFont val="Arial"/>
        <strike/>
        <color theme="1"/>
      </rPr>
      <t>業務委託</t>
    </r>
    <r>
      <rPr>
        <rFont val="Arial"/>
        <color theme="1"/>
      </rPr>
      <t>」で表記されていた</t>
    </r>
  </si>
  <si>
    <t>「配達・運転&gt;送迎」の掲載条件・注意事項を以下に変更
・ワーカーの自家用車を使用するデリバリー・運送業務は「貨物自動車運送業事業法」の諸条件を満たす必要があるため、自転車or125CC以下のバイクで以下条件を満たす場合は掲載可能。
※上記に当てはまらない場合、「貨物自動車運送業事業法」の諸条件を満たす必要がある(以下２種類のうちどちらかを満たす）
　- 他人の需要に応じるものでない場合（クライアント自身の需要で運送する場合）
　- 無償の場合
※NGの判断が難しいため、迷ったら法務に確認をお願いします。</t>
  </si>
  <si>
    <t>・ワーカーの自家用車を使用する募集はNG
・日雇い雇用においてドライバーがNGなケースがあるので要注意(整理中)</t>
  </si>
  <si>
    <t>「配達・運転&gt;その他」に「駐車禁止回避の横乗り」を新設</t>
  </si>
  <si>
    <t>「専門職&gt;その他&gt;保育士等」の掲載条件・注意事項に以下を追加
現場に保育資格を有するスタッフがおり、その補助としてワーカーを集めるということであれば、無資格のワーカーでも掲載可能です。
上記に該当しない場合、保育資格を有する方に限定する必要がある。</t>
  </si>
  <si>
    <t>「タイミーのルール」内に「全文が外国語の求人」を追加</t>
  </si>
  <si>
    <t>https://taimee.slack.com/archives/CECP4KLCX/p1716174930730639</t>
  </si>
  <si>
    <t>・チケットの購入代行業務に関しても、法務観点で一律掲載NG</t>
  </si>
  <si>
    <t>「タイミーのルール」内に「待機（スタンバイ）」を追加</t>
  </si>
  <si>
    <t>https://www.notion.so/timee/181c5579d2b8807fa73cd5d0dfc57213</t>
  </si>
  <si>
    <t>「職業安定法（労働者供給）」の項目を追加</t>
  </si>
  <si>
    <t>https://www.notion.so/timee/181c5579d2b880729738c58275399fc2</t>
  </si>
  <si>
    <t>「タイミーのルール」内に「覆面調査」を追加</t>
  </si>
  <si>
    <t>https://www.notion.so/timee/1adc5579d2b8806d8b7ccc4cddf43da7</t>
  </si>
  <si>
    <t>「タイミーのルール」内の「並び代行、買い物代行」の備考から以下を削除
ミステリーショッパーは内容により許容</t>
  </si>
  <si>
    <t>「タイミーのルール」内の「サクラ行為」の備考から以下を削除
覆面調査は内容により許容</t>
  </si>
  <si>
    <t>「モデル」に以下を追記
※以下の条件を複合的に検討し、掲載許容とする場合もあります。
　(1)企業のHP/SNSはあるか
　(2)撮影した内容はどこに掲載されるのか
　(3)現場で着替える必要はあるか
　(4)性別・年齢の制限があるか
　(5)ワーカーと企業担当者が何名ずつ同席しての撮影になるか</t>
  </si>
  <si>
    <t>「エキストラ」を追加
※記載内容は「モデル」と同一</t>
  </si>
  <si>
    <t>「選挙活動に関連する求人」を追加</t>
  </si>
  <si>
    <t>https://taimee.slack.com/archives/CECP4KLCX/p1744597500200799</t>
  </si>
  <si>
    <t>「タイミーのルール」内に「探偵」を追加</t>
  </si>
  <si>
    <t>「専門職」&gt;「その他」&gt;「探偵（調査員）」を追加</t>
  </si>
  <si>
    <t>「軽作業」&gt;「その他」&gt;「防疫業務」を追加</t>
  </si>
  <si>
    <t>「軽作業」&gt;「見張り」&gt;「警備員・交通誘導」の記載を以下に修正
警備業法により法定研修が必要になるため、他社のための警備・交通誘導は掲載NG
（自社のための警備・誘導は掲載OK）</t>
  </si>
  <si>
    <t>警備業法により法定研修が必要になるため、現状掲載不可</t>
  </si>
  <si>
    <t>「職業安定法（労働者供給）」のOK例に以下を追記
「タイミーから申し込みました」</t>
  </si>
  <si>
    <t>https://taimee.slack.com/archives/C02FXSC397F/p1747876218609719</t>
  </si>
  <si>
    <t>「ペナルティポイントを条件とした申込の制限」を追加</t>
  </si>
  <si>
    <t>「男女雇用機会均等法(違法)」
「男女雇用機会均等法(間接差別の禁止)」
「男女雇用機会均等法(例外事由)」
のNG例/OK例を更新</t>
  </si>
  <si>
    <t>「男女雇用機会均等法(例外事由)」の特記事項を追記</t>
  </si>
  <si>
    <t>https://taimee.slack.com/archives/CECP4KLCX/p1698141209580119?thread_ts=1698134026.581079&amp;cid=CECP4KLCX</t>
  </si>
  <si>
    <t>「男女雇用機会均等法(違法)」&gt;「性別で異なる取り扱いをする表現
」のNG例/OK例を更新</t>
  </si>
  <si>
    <t>FORCAS_主要業界(小分類)</t>
  </si>
  <si>
    <t>主要業界(小分類)※FORCASの産業分類に従って入力してください。 - 個別の件数</t>
  </si>
  <si>
    <t>@@MISSING@@</t>
  </si>
  <si>
    <t>トラック（企業物流）</t>
  </si>
  <si>
    <t>カジュアルレストラン</t>
  </si>
  <si>
    <t>居酒屋・バー</t>
  </si>
  <si>
    <t>介護サービス</t>
  </si>
  <si>
    <t>美容・エステ</t>
  </si>
  <si>
    <t>オフィス・商業施設開発・賃貸</t>
  </si>
  <si>
    <t>食品スーパー</t>
  </si>
  <si>
    <t>酒類・食品卸</t>
  </si>
  <si>
    <t>テイクアウト・デリバリー</t>
  </si>
  <si>
    <t>ビルメンテナンス</t>
  </si>
  <si>
    <t>広告代理店</t>
  </si>
  <si>
    <t>倉庫</t>
  </si>
  <si>
    <t>国際貨物フォワーダー</t>
  </si>
  <si>
    <t>各種受託システム開発</t>
  </si>
  <si>
    <t>高級レストラン</t>
  </si>
  <si>
    <t>空調・衛生工事</t>
  </si>
  <si>
    <t>経営・財務アドバイザリーサービス</t>
  </si>
  <si>
    <t>アミューズメント施設</t>
  </si>
  <si>
    <t>土木工事</t>
  </si>
  <si>
    <t>自動車販売</t>
  </si>
  <si>
    <t>菓子</t>
  </si>
  <si>
    <t>製パン</t>
  </si>
  <si>
    <t>廃棄物処理</t>
  </si>
  <si>
    <t>建設コンサルティング</t>
  </si>
  <si>
    <t>不動産仲介</t>
  </si>
  <si>
    <t>中華麺</t>
  </si>
  <si>
    <t>商業・出版印刷</t>
  </si>
  <si>
    <t>燃料卸・販売</t>
  </si>
  <si>
    <t>ドラッグストア</t>
  </si>
  <si>
    <t>戸建住宅開発</t>
  </si>
  <si>
    <t>日用品卸</t>
  </si>
  <si>
    <t>ビル・住宅建築</t>
  </si>
  <si>
    <t>専門情報サイト</t>
  </si>
  <si>
    <t>人材派遣（製造業・IT等）</t>
  </si>
  <si>
    <t>化学品卸</t>
  </si>
  <si>
    <t>総合リース</t>
  </si>
  <si>
    <t>繊維商社</t>
  </si>
  <si>
    <t>健康食品</t>
  </si>
  <si>
    <t>焼肉</t>
  </si>
  <si>
    <t>スポーツ用品</t>
  </si>
  <si>
    <t>カジュアル衣料専門店</t>
  </si>
  <si>
    <t>宅配便</t>
  </si>
  <si>
    <t>レディースアパレル</t>
  </si>
  <si>
    <t>ファストフード</t>
  </si>
  <si>
    <t>保険代理店</t>
  </si>
  <si>
    <t>中古車ディーラー</t>
  </si>
  <si>
    <t>精密加工・組立</t>
  </si>
  <si>
    <t>人材派遣（事務・営業販売等）</t>
  </si>
  <si>
    <t>ホテル・旅館</t>
  </si>
  <si>
    <t>冷凍食品</t>
  </si>
  <si>
    <t>バス輸送</t>
  </si>
  <si>
    <t>水産加工品</t>
  </si>
  <si>
    <t>ゼネコン</t>
  </si>
  <si>
    <t>漬物・煮物・大豆</t>
  </si>
  <si>
    <t>喫茶・カフェ</t>
  </si>
  <si>
    <t>賃貸アパート・マンション</t>
  </si>
  <si>
    <t>専門食品卸（水産物卸）</t>
  </si>
  <si>
    <t>専門食品卸（農作物卸）</t>
  </si>
  <si>
    <t>電気工事</t>
  </si>
  <si>
    <t>病院・クリニック運営</t>
  </si>
  <si>
    <t>産業用機械・機器卸</t>
  </si>
  <si>
    <t>情報セキュリティ</t>
  </si>
  <si>
    <t>学習塾・予備校</t>
  </si>
  <si>
    <t>ネット広告（ネットマーケティング支援）</t>
  </si>
  <si>
    <t>カスタマーケアサービス</t>
  </si>
  <si>
    <t>農場運営・支援</t>
  </si>
  <si>
    <t>決済処理サービス</t>
  </si>
  <si>
    <t>卵加工品</t>
  </si>
  <si>
    <t>サーバーサービス</t>
  </si>
  <si>
    <t>建設仮設材リース・レンタル</t>
  </si>
  <si>
    <t>製粉</t>
  </si>
  <si>
    <t>ブライダル関連</t>
  </si>
  <si>
    <t>持ち帰り・回転寿司</t>
  </si>
  <si>
    <t>酒類専門店</t>
  </si>
  <si>
    <t>文房具・事務用品</t>
  </si>
  <si>
    <t>中古用品店</t>
  </si>
  <si>
    <t>GMS</t>
  </si>
  <si>
    <t>宝石・貴金属</t>
  </si>
  <si>
    <t>クリーニング</t>
  </si>
  <si>
    <t>プラント設備工事</t>
  </si>
  <si>
    <t>総合Eコマース</t>
  </si>
  <si>
    <t>人材紹介</t>
  </si>
  <si>
    <t>照明器具</t>
  </si>
  <si>
    <t>輸送機器用品製造・卸</t>
  </si>
  <si>
    <t>システムインテグレーター</t>
  </si>
  <si>
    <t>CAD・CAMシステム</t>
  </si>
  <si>
    <t>旅行代理店</t>
  </si>
  <si>
    <t>調剤薬局</t>
  </si>
  <si>
    <t>建材・住設卸</t>
  </si>
  <si>
    <t>バッグ・装飾品</t>
  </si>
  <si>
    <t>ディスカウントストア</t>
  </si>
  <si>
    <t>計量・計測機器</t>
  </si>
  <si>
    <t>福祉用具製造・レンタル卸</t>
  </si>
  <si>
    <t>トラック（引越）</t>
  </si>
  <si>
    <t>花き卸</t>
  </si>
  <si>
    <t>アパレル専門店</t>
  </si>
  <si>
    <t>鋼構造物工事</t>
  </si>
  <si>
    <t>玩具・ベビー用品専門店</t>
  </si>
  <si>
    <t>ベビー・子供服</t>
  </si>
  <si>
    <t>総合ディベロッパー</t>
  </si>
  <si>
    <t>金属卸</t>
  </si>
  <si>
    <t>ガソリンスタンド</t>
  </si>
  <si>
    <t>乳業・乳製品</t>
  </si>
  <si>
    <t>専門食品卸（食肉卸）</t>
  </si>
  <si>
    <t>写真制作・加工・販売</t>
  </si>
  <si>
    <t>建材・建築資材（樹脂系）</t>
  </si>
  <si>
    <t>包装資材（プラスチック類）</t>
  </si>
  <si>
    <t>楽器</t>
  </si>
  <si>
    <t>自動車シート</t>
  </si>
  <si>
    <t>清掃関連用具レンタル</t>
  </si>
  <si>
    <t>通信端末・回線販売</t>
  </si>
  <si>
    <t>林業・製材</t>
  </si>
  <si>
    <t>ポータルサイト</t>
  </si>
  <si>
    <t>芸能プロダクション</t>
  </si>
  <si>
    <t>語学学校</t>
  </si>
  <si>
    <t>自動車用電装品</t>
  </si>
  <si>
    <t>潤滑油</t>
  </si>
  <si>
    <t>業務用食品・食材卸</t>
  </si>
  <si>
    <t>電子部品製造・検査装置</t>
  </si>
  <si>
    <t>定食・そば・うどん</t>
  </si>
  <si>
    <t>モバイルコンテンツ制作・配信</t>
  </si>
  <si>
    <t>アセットマネジメント</t>
  </si>
  <si>
    <t>移動体通信</t>
  </si>
  <si>
    <t>書店</t>
  </si>
  <si>
    <t>建設機械リース・レンタル</t>
  </si>
  <si>
    <t>出版（総合）</t>
  </si>
  <si>
    <t>保育サービス</t>
  </si>
  <si>
    <t>医療用機器販売</t>
  </si>
  <si>
    <t>制服・作業服</t>
  </si>
  <si>
    <t>呉服販売</t>
  </si>
  <si>
    <t>ベンチャー・キャピタル</t>
  </si>
  <si>
    <t>時計</t>
  </si>
  <si>
    <t>インターネットサービスプロバイダー</t>
  </si>
  <si>
    <t>光学機器</t>
  </si>
  <si>
    <t>金属容器</t>
  </si>
  <si>
    <t>イベント企画・運営</t>
  </si>
  <si>
    <t>住宅リフォーム・修繕</t>
  </si>
  <si>
    <t>塗料・インキ</t>
  </si>
  <si>
    <t>化粧品</t>
  </si>
  <si>
    <t>ネットワークインテグレーター</t>
  </si>
  <si>
    <t>航空輸送</t>
  </si>
  <si>
    <t>景観地運営</t>
  </si>
  <si>
    <t>パイプ関連機材卸</t>
  </si>
  <si>
    <t>リノベーション</t>
  </si>
  <si>
    <t>新聞</t>
  </si>
  <si>
    <t>プラスチック容器</t>
  </si>
  <si>
    <t>建材・建築資材（コンクリート系）</t>
  </si>
  <si>
    <t>パワートレイン</t>
  </si>
  <si>
    <t>塗装機械</t>
  </si>
  <si>
    <t>天然繊維</t>
  </si>
  <si>
    <t>アウトソーシングサービス</t>
  </si>
  <si>
    <t>自動二輪車販売</t>
  </si>
  <si>
    <t>アニメ企画・制作</t>
  </si>
  <si>
    <t>スクラップリサイクル</t>
  </si>
  <si>
    <t>生活雑貨店</t>
  </si>
  <si>
    <t>製油</t>
  </si>
  <si>
    <t>医薬品卸</t>
  </si>
  <si>
    <t>電子回路基板</t>
  </si>
  <si>
    <t>米飯・惣菜ベンダー</t>
  </si>
  <si>
    <t>家具卸</t>
  </si>
  <si>
    <t>タイヤ</t>
  </si>
  <si>
    <t>道路舗装工事</t>
  </si>
  <si>
    <t>調味料類</t>
  </si>
  <si>
    <t>日用品・生活雑貨</t>
  </si>
  <si>
    <t>ファインセラミックス</t>
  </si>
  <si>
    <t>合成樹脂</t>
  </si>
  <si>
    <t>生命保険</t>
  </si>
  <si>
    <t>ホームセンター</t>
  </si>
  <si>
    <t>通信機器（有線）</t>
  </si>
  <si>
    <t>単圧（鋼板）</t>
  </si>
  <si>
    <t>家電量販店</t>
  </si>
  <si>
    <t>自転車</t>
  </si>
  <si>
    <t>空港施設・航空関連サービス</t>
  </si>
  <si>
    <t>トラック（低温物流）</t>
  </si>
  <si>
    <t>温浴施設</t>
  </si>
  <si>
    <t>紳士服専門店</t>
  </si>
  <si>
    <t>食肉</t>
  </si>
  <si>
    <t>包装資材（紙類）</t>
  </si>
  <si>
    <t>繊維機械</t>
  </si>
  <si>
    <t>毛髪関連サービス</t>
  </si>
  <si>
    <t>電子商取引システム</t>
  </si>
  <si>
    <t>ネット・複合カフェ</t>
  </si>
  <si>
    <t>調味・レトルト食品</t>
  </si>
  <si>
    <t>ソフトウェア（業務支援）</t>
  </si>
  <si>
    <t>家庭用浄水器</t>
  </si>
  <si>
    <t>毛紡績</t>
  </si>
  <si>
    <t>自動認識機器</t>
  </si>
  <si>
    <t>学校運営</t>
  </si>
  <si>
    <t>包装機械</t>
  </si>
  <si>
    <t>音楽レコード制作</t>
  </si>
  <si>
    <t>織布</t>
  </si>
  <si>
    <t>産業用空調機器</t>
  </si>
  <si>
    <t>資格・社会人教育</t>
  </si>
  <si>
    <t>皮革</t>
  </si>
  <si>
    <t>医療業務支援</t>
  </si>
  <si>
    <t>地上波放送（地方局）</t>
  </si>
  <si>
    <t>航空機器</t>
  </si>
  <si>
    <t>映画製作・配給</t>
  </si>
  <si>
    <t>専門Eコマース（B to C）</t>
  </si>
  <si>
    <t>旅行サイト</t>
  </si>
  <si>
    <t>水産業</t>
  </si>
  <si>
    <t>電子部品・半導体商社</t>
  </si>
  <si>
    <t>組込みシステム開発</t>
  </si>
  <si>
    <t>通信販売（文房具・事務用品）</t>
  </si>
  <si>
    <t>鋼線</t>
  </si>
  <si>
    <t>半導体・液晶製造装置（前工程）</t>
  </si>
  <si>
    <t>プライベート・エクイティ</t>
  </si>
  <si>
    <t>ビール</t>
  </si>
  <si>
    <t>スポーツチーム運営</t>
  </si>
  <si>
    <t>CATV・衛星放送</t>
  </si>
  <si>
    <t>メッキ・熱処理加工</t>
  </si>
  <si>
    <t>都市銀行</t>
  </si>
  <si>
    <t>ファクトリーオートメーション</t>
  </si>
  <si>
    <t>電力（火力・原子力）</t>
  </si>
  <si>
    <t>油脂化学</t>
  </si>
  <si>
    <t>地上波放送（民放キー局）</t>
  </si>
  <si>
    <t>電線・ケーブル</t>
  </si>
  <si>
    <t>石油精製</t>
  </si>
  <si>
    <t>事務用印刷</t>
  </si>
  <si>
    <t>証券取引所</t>
  </si>
  <si>
    <t>債権回収（サービサー）</t>
  </si>
  <si>
    <t>ガス</t>
  </si>
  <si>
    <t>運搬機械</t>
  </si>
  <si>
    <t>二次電池</t>
  </si>
  <si>
    <t>医療情報サービス</t>
  </si>
  <si>
    <t>レコード・楽器販売店</t>
  </si>
  <si>
    <t>防災・防犯機器</t>
  </si>
  <si>
    <t>玩具卸</t>
  </si>
  <si>
    <t>靴専門店</t>
  </si>
  <si>
    <t>清涼飲料</t>
  </si>
  <si>
    <t>医療用医薬品</t>
  </si>
  <si>
    <t>ボイラー・バーナー</t>
  </si>
  <si>
    <t>フィットネスクラブ</t>
  </si>
  <si>
    <t>造船</t>
  </si>
  <si>
    <t>電力（再生可能エネルギー）</t>
  </si>
  <si>
    <t>環境調査</t>
  </si>
  <si>
    <t>半導体（ディスクリート）</t>
  </si>
  <si>
    <t>ベビー用品</t>
  </si>
  <si>
    <t>多関節産業用ロボット</t>
  </si>
  <si>
    <t>自動販売機</t>
  </si>
  <si>
    <t>段ボール</t>
  </si>
  <si>
    <t>アルミ精錬・加工</t>
  </si>
  <si>
    <t>信託銀行</t>
  </si>
  <si>
    <t>Eコマース（B to B）</t>
  </si>
  <si>
    <t>ソフトウェア（会計）</t>
  </si>
  <si>
    <t>ステンレス</t>
  </si>
  <si>
    <t>化学機械</t>
  </si>
  <si>
    <t>車両組立</t>
  </si>
  <si>
    <t>電子材料</t>
  </si>
  <si>
    <t>カメラ</t>
  </si>
  <si>
    <t>紙・パルプ卸</t>
  </si>
  <si>
    <t>センサ</t>
  </si>
  <si>
    <t>電源</t>
  </si>
  <si>
    <t>アパレルOEM</t>
  </si>
  <si>
    <t>証券会社</t>
  </si>
  <si>
    <t>100円・1ドルショップ</t>
  </si>
  <si>
    <t>地方銀行</t>
  </si>
  <si>
    <t>出版（雑誌社）</t>
  </si>
  <si>
    <t>ソフトウェア（営業・マーケティング）</t>
  </si>
  <si>
    <t>出版（地図）</t>
  </si>
  <si>
    <t>バイオ燃料</t>
  </si>
  <si>
    <t>遺伝子検出・解析機器</t>
  </si>
  <si>
    <t>総合商社</t>
  </si>
  <si>
    <t>住宅設備（衛生機器）</t>
  </si>
  <si>
    <t>種苗</t>
  </si>
  <si>
    <t>駐車場管理・運営</t>
  </si>
  <si>
    <t>テイクアウト・デリバリー,高級レストラン</t>
  </si>
  <si>
    <t>切削工具</t>
  </si>
  <si>
    <t>耐火物</t>
  </si>
  <si>
    <t>警備保障サービス</t>
  </si>
  <si>
    <t>ポンプ</t>
  </si>
  <si>
    <t>香料</t>
  </si>
  <si>
    <t>医療用器具</t>
  </si>
  <si>
    <t>地盤改良工事</t>
  </si>
  <si>
    <t>ソーシャルゲーム</t>
  </si>
  <si>
    <t>事業者金融</t>
  </si>
  <si>
    <t>眼鏡・コンタクトレンズ販売</t>
  </si>
  <si>
    <t>即席めん</t>
  </si>
  <si>
    <t>ゲームソフト</t>
  </si>
  <si>
    <t>ゴルフ用品</t>
  </si>
  <si>
    <t>動力工具</t>
  </si>
  <si>
    <t>サスペンション</t>
  </si>
  <si>
    <t>肥料</t>
  </si>
  <si>
    <t>ワイン・清酒</t>
  </si>
  <si>
    <t>眼鏡・コンタクトレンズ</t>
  </si>
  <si>
    <t>家庭用家具</t>
  </si>
  <si>
    <t>パソコン専門店</t>
  </si>
  <si>
    <t>電設資材卸</t>
  </si>
  <si>
    <t>ブレーキ</t>
  </si>
  <si>
    <t>総合化学</t>
  </si>
  <si>
    <t>ディスクロージャー印刷・サービス</t>
  </si>
  <si>
    <t>建材・建築資材（木材系）</t>
  </si>
  <si>
    <t>カー用品店</t>
  </si>
  <si>
    <t>服飾資材</t>
  </si>
  <si>
    <t>カラオケボックス</t>
  </si>
  <si>
    <t>玩具</t>
  </si>
  <si>
    <t>工作機械</t>
  </si>
  <si>
    <t>ソフトウェア（一般消費者向け）</t>
  </si>
  <si>
    <t>外航海運</t>
  </si>
  <si>
    <t>寝具</t>
  </si>
  <si>
    <t>ベアリング</t>
  </si>
  <si>
    <t>防衛</t>
  </si>
  <si>
    <t>たばこ</t>
  </si>
  <si>
    <t>船舶機器</t>
  </si>
  <si>
    <t>ネット広告（アフィリエイト）</t>
  </si>
  <si>
    <t>産業用ランプ・光源</t>
  </si>
  <si>
    <t>海洋ゼネコン</t>
  </si>
  <si>
    <t>EMS</t>
  </si>
  <si>
    <t>民生用空調機器</t>
  </si>
  <si>
    <t>特殊車両</t>
  </si>
  <si>
    <t>高炉鉄鋼</t>
  </si>
  <si>
    <t>ネット広告（アドテクノロジー）</t>
  </si>
  <si>
    <t>テイクアウト・デリバリー,米飯・惣菜ベンダー</t>
  </si>
  <si>
    <t>炭素繊維</t>
  </si>
  <si>
    <t>化学繊維</t>
  </si>
  <si>
    <t>汎用コンピューター</t>
  </si>
  <si>
    <t>百貨店</t>
  </si>
  <si>
    <t>石炭・石灰石開発、販売</t>
  </si>
  <si>
    <t>テイクアウト・デリバリー,給食</t>
  </si>
  <si>
    <t>油圧・空圧機器</t>
  </si>
  <si>
    <t>試験機</t>
  </si>
  <si>
    <t>半導体（ロジック）</t>
  </si>
  <si>
    <t>LED素子</t>
  </si>
  <si>
    <t>毛髪関連サービス,テイクアウト・デリバリー</t>
  </si>
  <si>
    <t>カーナビゲーション</t>
  </si>
  <si>
    <t>自動車</t>
  </si>
  <si>
    <t>航空測量</t>
  </si>
  <si>
    <t>通信機器（基地局）</t>
  </si>
  <si>
    <t>ラジオ放送</t>
  </si>
  <si>
    <t>普通鋼電炉</t>
  </si>
  <si>
    <t>住宅設備（浴室関連）</t>
  </si>
  <si>
    <t>プラスチック成形機械</t>
  </si>
  <si>
    <t>化学薬品</t>
  </si>
  <si>
    <t>スプリング</t>
  </si>
  <si>
    <t>繊維加工（染色加工）</t>
  </si>
  <si>
    <t>パネル</t>
  </si>
  <si>
    <t>検査薬・試薬</t>
  </si>
  <si>
    <t>ネット広告（代理店）</t>
  </si>
  <si>
    <t>航空チャーター</t>
  </si>
  <si>
    <t>ペット用品</t>
  </si>
  <si>
    <t>ソフトウェア（インフラ系）</t>
  </si>
  <si>
    <t>エンジン部品</t>
  </si>
  <si>
    <t>企業研修</t>
  </si>
  <si>
    <t>農薬</t>
  </si>
  <si>
    <t>カーリース・レンタカー</t>
  </si>
  <si>
    <t>バイオテクノロジー</t>
  </si>
  <si>
    <t>鉄道工事</t>
  </si>
  <si>
    <t>OA機器サプライ</t>
  </si>
  <si>
    <t>金融情報サービス</t>
  </si>
  <si>
    <t>建材・建築資材（アルミサッシ）</t>
  </si>
  <si>
    <t>銅精錬・加工</t>
  </si>
  <si>
    <t>製紙・パルプ</t>
  </si>
  <si>
    <t>音楽配信サービス</t>
  </si>
  <si>
    <t>物流資材製造・レンタル</t>
  </si>
  <si>
    <t>ミシン</t>
  </si>
  <si>
    <t>宝石・貴金属販売</t>
  </si>
  <si>
    <t>臨床検査受託</t>
  </si>
  <si>
    <t>貴金属回収</t>
  </si>
  <si>
    <t>通信・訪問販売（化粧品）</t>
  </si>
  <si>
    <t>貨幣処理機</t>
  </si>
  <si>
    <t>緑化管理</t>
  </si>
  <si>
    <t>食器・キッチン用品</t>
  </si>
  <si>
    <t>中古車オークション</t>
  </si>
  <si>
    <t>包装・ラベル印刷</t>
  </si>
  <si>
    <t>通信工事</t>
  </si>
  <si>
    <t>ネット証券</t>
  </si>
  <si>
    <t>エアバッグ・シートベルト</t>
  </si>
  <si>
    <t>競輪・競馬</t>
  </si>
  <si>
    <t>水晶デバイス</t>
  </si>
  <si>
    <t>コンビニエンスストア</t>
  </si>
  <si>
    <t>建材・建築資材（金属系）</t>
  </si>
  <si>
    <t>パイプ・バルブ</t>
  </si>
  <si>
    <t>給食</t>
  </si>
  <si>
    <t>美術品販売</t>
  </si>
  <si>
    <t>総合電機</t>
  </si>
  <si>
    <t>販促支援サービス</t>
  </si>
  <si>
    <t>熱供給</t>
  </si>
  <si>
    <t>映画館・劇場運営</t>
  </si>
  <si>
    <t>半導体ウエハ</t>
  </si>
  <si>
    <t>ガラス繊維</t>
  </si>
  <si>
    <t>石油化学</t>
  </si>
  <si>
    <t>葬祭関連</t>
  </si>
  <si>
    <t>トラック・バス</t>
  </si>
  <si>
    <t>食品機械</t>
  </si>
  <si>
    <t>溶接機械</t>
  </si>
  <si>
    <t>工業ガス</t>
  </si>
  <si>
    <t>フォトマスク</t>
  </si>
  <si>
    <t>自動車・産業用ゴム製品</t>
  </si>
  <si>
    <t>合成ゴム</t>
  </si>
  <si>
    <t>半導体（メモリ）</t>
  </si>
  <si>
    <t>損害保険</t>
  </si>
  <si>
    <t>リスク保証サービス</t>
  </si>
  <si>
    <t>仮設建物販売・リース</t>
  </si>
  <si>
    <t>業務厨房関連機器</t>
  </si>
  <si>
    <t>家具・インテリア専門店</t>
  </si>
  <si>
    <t>一般用医薬品</t>
  </si>
  <si>
    <t>スポーツ用品店</t>
  </si>
  <si>
    <t>臨床試験受託</t>
  </si>
  <si>
    <t>IT機器商社</t>
  </si>
  <si>
    <t>火薬</t>
  </si>
  <si>
    <t>製糖</t>
  </si>
  <si>
    <t>採石</t>
  </si>
  <si>
    <t>スピリッツ・リキュール</t>
  </si>
  <si>
    <t>化粧品OEM</t>
  </si>
  <si>
    <t>燃料タンク建設・工事</t>
  </si>
  <si>
    <t>粘着素材・充填材</t>
  </si>
  <si>
    <t>プリンタ・複合機</t>
  </si>
  <si>
    <t>航空機</t>
  </si>
  <si>
    <t>チケット取次業</t>
  </si>
  <si>
    <t>鉄道車両</t>
  </si>
  <si>
    <t>ガラス容器</t>
  </si>
  <si>
    <t>単圧（鋼管）</t>
  </si>
  <si>
    <t>磁石・磁性材</t>
  </si>
  <si>
    <t>半導体（パワー）</t>
  </si>
  <si>
    <t>太陽電池</t>
  </si>
  <si>
    <t>持ち帰り・回転寿司,テイクアウト・デリバリー</t>
  </si>
  <si>
    <t>モーター</t>
  </si>
  <si>
    <t>エレベーター・エスカレーター</t>
  </si>
  <si>
    <t>建設機械</t>
  </si>
  <si>
    <t>避妊具</t>
  </si>
  <si>
    <t>石油・ガス開発</t>
  </si>
  <si>
    <t>ゴルフ場</t>
  </si>
  <si>
    <t>重電（電力設備）</t>
  </si>
  <si>
    <t>消費者金融</t>
  </si>
  <si>
    <t>電気製品販社</t>
  </si>
  <si>
    <t>機械部品卸</t>
  </si>
  <si>
    <t>印刷機械</t>
  </si>
  <si>
    <t>建材・建築資材（窯業系）</t>
  </si>
  <si>
    <t>総合重機</t>
  </si>
  <si>
    <t>コンデンサ</t>
  </si>
  <si>
    <t>農業機械</t>
  </si>
  <si>
    <t>フォークリフト</t>
  </si>
  <si>
    <t>無機基礎化学</t>
  </si>
  <si>
    <t>パーソナルコンピューター</t>
  </si>
  <si>
    <t>排気系部品</t>
  </si>
  <si>
    <t>後発医薬品</t>
  </si>
  <si>
    <t>鉄系鋳造</t>
  </si>
  <si>
    <t>医療用サプライ</t>
  </si>
  <si>
    <t>証券事務代行</t>
  </si>
  <si>
    <t>セメント</t>
  </si>
  <si>
    <t>乳業・乳製品,テイクアウト・デリバリー</t>
  </si>
  <si>
    <t>映像・CM制作</t>
  </si>
  <si>
    <t>機械式駐車場</t>
  </si>
  <si>
    <t>配合飼料</t>
  </si>
  <si>
    <t>配電・制御器</t>
  </si>
  <si>
    <t>市場調査サービス</t>
  </si>
  <si>
    <t>金融機関向けシステム開発</t>
  </si>
  <si>
    <t>クレジットカード</t>
  </si>
  <si>
    <t>通信販売（衣料・生活関連）</t>
  </si>
  <si>
    <t>業務用ヘア化粧品</t>
  </si>
  <si>
    <t>靴・履物</t>
  </si>
  <si>
    <t>オフィス家具</t>
  </si>
  <si>
    <t>マンション開発</t>
  </si>
  <si>
    <t>教材企画・制作</t>
  </si>
  <si>
    <t>その他金属精錬・加工</t>
  </si>
  <si>
    <t>トイレタリー</t>
  </si>
  <si>
    <t>畜産加工品</t>
  </si>
  <si>
    <t>ソフトウェア（ERP）</t>
  </si>
  <si>
    <t>ネット・ATM専業銀行</t>
  </si>
  <si>
    <t>自動車用金属加工部品</t>
  </si>
  <si>
    <t>医療用電子機器</t>
  </si>
  <si>
    <t>動力伝動装置</t>
  </si>
  <si>
    <t>バッグ専門店</t>
  </si>
  <si>
    <t>住宅設備（ガス・石油機器）</t>
  </si>
  <si>
    <t>茶・コーヒー農場</t>
  </si>
  <si>
    <t>繊維加工（不織布）</t>
  </si>
  <si>
    <t>金型</t>
  </si>
  <si>
    <t>メンズアパレル</t>
  </si>
  <si>
    <t>ICカード・チップ</t>
  </si>
  <si>
    <t>出版（フリーペーパー等）</t>
  </si>
  <si>
    <t>鉄道</t>
  </si>
  <si>
    <t>通信機器（無線）</t>
  </si>
  <si>
    <t>不動産投資</t>
  </si>
  <si>
    <t>専門ローン</t>
  </si>
  <si>
    <t>人事・人材コンサルティング</t>
  </si>
  <si>
    <t>ディスプレイ企画・施工・運営</t>
  </si>
  <si>
    <t>IT周辺機器</t>
  </si>
  <si>
    <t>飲料容器</t>
  </si>
  <si>
    <t>不動産投資信託（REIT）</t>
  </si>
  <si>
    <t>ガラス</t>
  </si>
  <si>
    <t>アミューズメント機器</t>
  </si>
  <si>
    <t>テレビ通販</t>
  </si>
  <si>
    <t>家事・台所用家電製品</t>
  </si>
  <si>
    <t>内航海運</t>
  </si>
  <si>
    <t>インテリア</t>
  </si>
  <si>
    <t>動物用医薬品</t>
  </si>
  <si>
    <t>砥石・研磨材</t>
  </si>
  <si>
    <t>水処理機械</t>
  </si>
  <si>
    <t>金具・作業工具</t>
  </si>
  <si>
    <t>信号・交通機器</t>
  </si>
  <si>
    <t>住宅設備（システムキッチン）</t>
  </si>
  <si>
    <t>有料道路運営</t>
  </si>
  <si>
    <t>API（医薬品原薬）</t>
  </si>
  <si>
    <t>半導体・液晶製造装置（後工程）</t>
  </si>
  <si>
    <t>石油・ガス開発サービス</t>
  </si>
  <si>
    <t>企業パブリシティ支援</t>
  </si>
  <si>
    <t>タクシー</t>
  </si>
  <si>
    <t>スイッチ・コネクタ</t>
  </si>
  <si>
    <t>ボディー・内装部品</t>
  </si>
  <si>
    <t>下着・靴下</t>
  </si>
  <si>
    <t>固定通信</t>
  </si>
  <si>
    <t>エンジン</t>
  </si>
  <si>
    <t>テーマパーク</t>
  </si>
  <si>
    <t>水道</t>
  </si>
  <si>
    <t>キノコ栽培・加工</t>
  </si>
  <si>
    <t>給食,テイクアウト・デリバリー</t>
  </si>
  <si>
    <t>動画配信サービス</t>
  </si>
  <si>
    <t>看板・電光表示器</t>
  </si>
  <si>
    <t>音響機器</t>
  </si>
  <si>
    <t>レンズ</t>
  </si>
  <si>
    <t>HSdate</t>
  </si>
  <si>
    <t>掲載可否</t>
  </si>
  <si>
    <t>担当カンパニー</t>
  </si>
  <si>
    <t>説明</t>
  </si>
  <si>
    <t>中分類</t>
  </si>
  <si>
    <t>小分類</t>
  </si>
  <si>
    <t>主要業界(大分類)※FORCASの産業分類に従って入力してください。</t>
  </si>
  <si>
    <t>主要業界(中分類)※FORCASの産業分類に従って入力してください。</t>
  </si>
  <si>
    <t>主要業界(小分類)※FORCASの産業分類に従って入力してください。</t>
  </si>
  <si>
    <t>Company - 個別の件数</t>
  </si>
  <si>
    <t>―</t>
  </si>
  <si>
    <t>インフラ建設</t>
  </si>
  <si>
    <t>道路、鉄道、電力、橋梁、港湾などのインフラ建設・工事に従事する企業群</t>
  </si>
  <si>
    <t>海洋土木工事および港湾施設建築工事の請け負い業者として主に従事している企業群。 波消ブロックの製造・リース・レンタルを行う企業を含む。 ただし、オフショアの石油・ガス関連の工事は除く</t>
  </si>
  <si>
    <t>Eコマース</t>
  </si>
  <si>
    <t>過去掲載無</t>
  </si>
  <si>
    <t>リテール</t>
  </si>
  <si>
    <t>証券</t>
  </si>
  <si>
    <t>証券業に関連する事業を行う企業群</t>
  </si>
  <si>
    <t>実店舗における対面販売などの形式ではなく、インターネットを利用した株式等の金融商品取引を主要業務とする企業群。外為証拠金取引（FX)を含む</t>
  </si>
  <si>
    <t>有価証券の売買を行うのに必要な取引市場を開設することを目的として設立された企業群</t>
  </si>
  <si>
    <t>資産運用</t>
  </si>
  <si>
    <t>株式、債券、不動産などの投資資産を管理・運用するための事業を行う企業群</t>
  </si>
  <si>
    <t>上場企業、未上場企業に対して、自己勘定、または自社が運営するファンドを通じて株式投資を行い、運用益から収益を得る企業群</t>
  </si>
  <si>
    <t>石油・ガス</t>
  </si>
  <si>
    <t>投資家から集めた資金をオフィスビルなどの不動産で運用し、賃貸収益や売却益などを配当金として投資家に分配する上場有価証券</t>
  </si>
  <si>
    <t>コンテンツ制作・配信</t>
  </si>
  <si>
    <t>石油、ガスの開発、精製、流通を担う企業群</t>
  </si>
  <si>
    <t>ガソリンや軽油をはじめとする「エンジン用燃料」を販売するガソリンスタンドを運営する企業群</t>
  </si>
  <si>
    <t>ロジ</t>
  </si>
  <si>
    <t>石油・ガス開発における、探鉱、掘削、パイプライン建設、海洋建設、調達、検層・分析、メンテナンスなどのサービスの全部、または一部を石油・ガス開発会社に対して提供する企業群</t>
  </si>
  <si>
    <t>不動産開発・流通</t>
  </si>
  <si>
    <t>石油、ＬＮＧタンクの設計、建設、保守、補修等一連の業務又は一部を主要業務とする企業群</t>
  </si>
  <si>
    <t>再生可能エネルギー源</t>
  </si>
  <si>
    <t>石油・ガスメジャー</t>
  </si>
  <si>
    <t>バイオ燃料、バイオマスなどの再生可能エネルギー源の生産と販売に従事する企業群</t>
  </si>
  <si>
    <t>石油・ガスに関わる上流（探査・採掘・生産）から中流（輸送・貯蔵）、下流（精製）までを垂直統合で展開し、国際的な事業基盤を有する企業群。</t>
  </si>
  <si>
    <t>バイオ燃料を製造する企業群。但し、電力向けを除く。</t>
  </si>
  <si>
    <t>石油・ガスに関わる上流（探査・採掘・生産）から中流（輸送・貯蔵）、下流（精製）までのうち、主に上流で展開する企業群。</t>
  </si>
  <si>
    <t>石油・ガス輸送・貯蔵</t>
  </si>
  <si>
    <t>バイオ・医薬品製造</t>
  </si>
  <si>
    <t>医療・一般用医薬品、検査薬、試薬等の研究、製造を行う企業群</t>
  </si>
  <si>
    <t>石油・ガスに関わる上流（探査・採掘・生産）から中流（輸送、貯蔵）、下流（精製）までのうち、主に中流で展開する企業群。</t>
  </si>
  <si>
    <t>家畜及びペット向けの医薬品を製造する企業群</t>
  </si>
  <si>
    <t>石油に関わる上流（探査・採掘）から中流（輸送、貯蔵）、下流（精製）までのうち、主に下流で原油を原料として、LPガス、ナフサ、ガソリンなどを製造する企業群。</t>
  </si>
  <si>
    <t>臨床検査や基礎研究用に用いる検査薬、試薬及び関連機器の製造、販売を行う企業群</t>
  </si>
  <si>
    <t>医療・福祉関連品製造</t>
  </si>
  <si>
    <t>医薬品開発または医療現場で使用される各種医療機器、器具、サプライ品、福祉現場で使用される各種福祉用具を製造する企業群</t>
  </si>
  <si>
    <t>石油、ＬＰＧ等の燃料の卸、販売を専門とする企業群。販売を行っていても精製事業を展開している企業は含まない</t>
  </si>
  <si>
    <t>コンドーム、ペッサリー、IUDなどの避妊具を製造する企業群</t>
  </si>
  <si>
    <t>人材関連サービス</t>
  </si>
  <si>
    <t>DNAチップ、DNAシーケンサー等、遺伝子の検出、解析を目的とした電子機器・装置を製造する企業群</t>
  </si>
  <si>
    <t>医療・福祉関連サービス</t>
  </si>
  <si>
    <t>病院、製薬会社等に対して、各種情報提供、新薬開発、治験業務支援、各種業務支援を行う企業、老人ホーム等の福祉サービスを提供する企業群</t>
  </si>
  <si>
    <t>医薬品、医師、病気等、医療分野におけるインターネット等を通した情報提供サービスを行う企業群</t>
  </si>
  <si>
    <t>半導体関連製造</t>
  </si>
  <si>
    <t>半導体または半導体製造装置を製造または設計する企業群</t>
  </si>
  <si>
    <t>DRAM、フラッシュメモリ等、各種情報の記録を目的とした半導体を製造する企業群</t>
  </si>
  <si>
    <t>病院、クリニックなど医療関連機関を運営する企業群</t>
  </si>
  <si>
    <t>住設・建設資材</t>
  </si>
  <si>
    <t>形成外科・美容クリニック</t>
  </si>
  <si>
    <t>形成外科や美容皮膚科、美容外科などを専門とするクリニックを運営する企業群。</t>
  </si>
  <si>
    <t>半導体（ファブレス）</t>
  </si>
  <si>
    <t>半導体の設計・販売を行う企業のうち、製造自体は外部委託している企業群</t>
  </si>
  <si>
    <t>医療事務、院内清掃、医療器材購買支援等、病院が日々の業務を遂行する上での各種間接業務を代行、または支援する企業群</t>
  </si>
  <si>
    <t>フォトマスク（半導体素子製造過程で用いる原板）を製造する企業群</t>
  </si>
  <si>
    <t>保険</t>
  </si>
  <si>
    <t>血液および体液などの病理検査、X線、超音波、MRIなどの画像診断などの臨床検査に従事する企業群</t>
  </si>
  <si>
    <t>電子部品・デバイス製造</t>
  </si>
  <si>
    <t>電子機器、電化製品、産業機械などを構成する各種受動部品、接続部品、機構部品等の各種部品を製造する企業群（パネル等も含む）</t>
  </si>
  <si>
    <t>電子回路構成部品のうち、制御系のセンサを製造または販売する企業群</t>
  </si>
  <si>
    <t>訪問介護や、有料老人ホームなどの介護施設の運営など、高齢者や障がい者を対象とした介護サービスを提供する企業群</t>
  </si>
  <si>
    <t>医薬品製造で使用されるAPI（医薬品原薬）を製造する企業群</t>
  </si>
  <si>
    <t>機能性受動部品のうち、水晶を用いた振動子、発振子等の各種デバイスを製造する企業群</t>
  </si>
  <si>
    <t>化学</t>
  </si>
  <si>
    <t>医療用医薬品（病院や診療所において医師、歯科医師が治療に使用し、または処方する医薬品）の研究、製造を行う企業群。バイオ医薬品は除く</t>
  </si>
  <si>
    <t>生産ライン、産業機械、プロジェクター等に組み込まれるランプ、光源を製造する企業群。自動車用のランプは本業界より除く</t>
  </si>
  <si>
    <t>一般用医薬品 （薬事法の対象となる医薬品のうち、医療用医薬品以外のものを指し、医師の処方せんを必要とせず、薬局や薬店で自由に買うことができる薬。大衆薬ともいう）の研究、製造を行う企業群</t>
  </si>
  <si>
    <t>後発医薬品または別名ジェネリック医薬品（新薬の独占的販売期間（有効性・安全性を検証する再審査期間及び特許期間）が終了した後に発売され、一般的に新薬と同じ有効成分で新薬に比べて低価格である医薬品）を製造・研究開発に携わる企業群</t>
  </si>
  <si>
    <t>IC・RFIDチップ（CPU含む）、IC・RFIDタグの製造、またはカード等、各部材を基にICカードを製造する企業群（ICカードベンダー）</t>
  </si>
  <si>
    <t>生産用機械製造</t>
  </si>
  <si>
    <t>主に工場内でモノを製造、検査するために利用される機械、装置を製造する企業群</t>
  </si>
  <si>
    <t>コンプレッサー</t>
  </si>
  <si>
    <t>運動エネルギーを気体に与え圧縮し送り出す機械で、圧縮機とも呼ばれるコンプレッサー及びその部品を製造する企業群。但し、エンジン、発電機器、エアコン、冷蔵庫などの最終商品における部品としてコンプレッサーを製造している企業群は除く。</t>
  </si>
  <si>
    <t>医療・福祉関連サービス,陸上輸送</t>
  </si>
  <si>
    <t>介護サービス,トラック（企業物流）</t>
  </si>
  <si>
    <t>半導体、液晶以外の中分類「電子部品・デバイス業界」で定義する各種電子部品の製造・検査を行うための装置を製造する企業群。電子部品実装機を含む</t>
  </si>
  <si>
    <t>遺伝子解析を基にしたゲノム創薬、遺伝子治療、再生医療等の医療分野を専門とする企業群。バイオ医薬品、バイオシミラーの製造・研究開発に携わる企業群を含む</t>
  </si>
  <si>
    <t>業務用機械製造</t>
  </si>
  <si>
    <t>CRO（製薬会社が新薬開発の際必要な業務を受託する企業）、SMO（医療機関で実施する治験業務を管理し、業務支援を行う組織）等、臨床試験（治験）を製薬会社からの依頼に基づき受託する企業群。医薬品、健康食品の品質評価試験の受託も含む</t>
  </si>
  <si>
    <t>工場以外での用途が主となる法人向けの各種機械を製造する企業群</t>
  </si>
  <si>
    <t>道路や鉄道において、交通安全の確保、流れの円滑化を目的して進行・停止などの信号を示す装置を製造する企業群。その他、渋滞等の交通情報を知らせることを目的とした表示器を含む。また各種機器の保守業務を主業務とする企業も含む</t>
  </si>
  <si>
    <t>車いす、介護ベッド、松葉杖等、高齢者や障害者の生活や介護の支援のための用具を製造、またはその卸、レンタル卸を行う企業群</t>
  </si>
  <si>
    <t>研究、医療現場等で利用される内視鏡、顕微鏡等の光学機器を製造する企業群。カメラは本業界から除く</t>
  </si>
  <si>
    <t>民生用電子機器製造</t>
  </si>
  <si>
    <t>最終消費者向けの各種電子機器、機械を製造する企業群</t>
  </si>
  <si>
    <t>白衣、手術着、ガーゼ、脱脂綿、包帯等の衛生用繊維製品や医療用ゴム手袋製品などの体外使用の医療用消耗品を製造を行う企業群。カテーテル、注射器等の体内使用の治療材料は除く</t>
  </si>
  <si>
    <t>カーナビゲーション（GPS等を利用して、自動車の運行時に運転者に対して、ディスプレイ画面上に現在位置や目的地への走行経路案内を行なう電子機器）を製造する企業群</t>
  </si>
  <si>
    <t>印刷サービス</t>
  </si>
  <si>
    <t>カテーテル、注射器等のディスポーザブル医療器具、手術用針、メス等の体内使用の治療用材料を製造する企業群。ただし、医療用電子機器、人工器具・装具は除く</t>
  </si>
  <si>
    <t>ミシン（布、皮等を糸で縫うために利用される機械）を製造する企業群</t>
  </si>
  <si>
    <t>飲食店</t>
  </si>
  <si>
    <t>心電計、超音波診断装置、MRI、CT、検体検査用機器等、治療、検査の際に利用する電子機器を製造する企業群。ただし、内視鏡は本業界から除き、光学機器業界、レンズ業界に含む</t>
  </si>
  <si>
    <t>情報通信機器製造</t>
  </si>
  <si>
    <t>音、映像、テキストデータ等、各種情報の通信機能を主とする製品を製造する企業群</t>
  </si>
  <si>
    <t>企業の基幹業務等に利用されるサーバー、ストレージなどの大規模コンピュータを製造する企業群。プリンタ、PC本体は本業界から除く</t>
  </si>
  <si>
    <t>家電・OA小売</t>
  </si>
  <si>
    <t>衣服・装飾品製造</t>
  </si>
  <si>
    <t>衣服、バッグ、アクセサリー等、各種アパレル商品を製造する企業群</t>
  </si>
  <si>
    <t>ラグジュアリーブランド</t>
  </si>
  <si>
    <t>高級衣料品、バッグ、宝飾品等のラグジュアリーブランドを傘下に有し、多国籍に展開する企業群</t>
  </si>
  <si>
    <t>廃棄物・環境関連</t>
  </si>
  <si>
    <t>水運</t>
  </si>
  <si>
    <t>船による旅客、貨物輸送を主業務とする企業群。港湾運送業者を含む</t>
  </si>
  <si>
    <t>自らタンカー、バラ積み船等の船舶を保有し、外国との間における貨物、旅客の海上輸送を主要業務とする企業群</t>
  </si>
  <si>
    <t>金属採掘</t>
  </si>
  <si>
    <t>金属の探鉱、鉱山開発、生産を行う企業群</t>
  </si>
  <si>
    <t>資源メジャー</t>
  </si>
  <si>
    <t>鉄鉱石、銅、亜鉛・鉛、ニッケルなど非鉄金属の探鉱・鉱山開発・鉱石生産事業をグローバル展開する企業群。単一の鉱物のみ扱う企業、非鉄金属の製錬、金属加工、製錬を志向する企業は除く</t>
  </si>
  <si>
    <t>業務支援サービス</t>
  </si>
  <si>
    <t>自らフェリー、バラ積み船等の船舶を保有し、国内における貨物、旅客の海上輸送を主要業務とする企業群</t>
  </si>
  <si>
    <t>鉄鋼</t>
  </si>
  <si>
    <t>港湾自体の運営や、港湾地域内の陸海中継に伴う、港湾運送や荷役、検数、鑑定、検量などを行う企業群</t>
  </si>
  <si>
    <t>鉄鋼・鉄鋼二次加工品や合金鉄の製造を行う企業群</t>
  </si>
  <si>
    <t>自社、または他の高炉メーカーなどから一次加工製品を購入し、鋼管の製造を行う二次加工を主力とする企業群</t>
  </si>
  <si>
    <t>陸上輸送</t>
  </si>
  <si>
    <t>鉄道、バス、タクシー、トラックによる陸上での旅客輸送および貨物輸送に従事する企業群。倉庫運営・物流業務を主とする企業を含む。</t>
  </si>
  <si>
    <t>鉄道(レールを敷いた線路上を汽車・電車などを走らせ、旅客・貨物を輸送する運輸機関)の運営を主要業務とする企業群。路面電車も含む</t>
  </si>
  <si>
    <t>非鉄金属</t>
  </si>
  <si>
    <t>金属鉱石を金属製品に加工する企業群、およびメッキ、熱処理などの加工方法で加工する企業群</t>
  </si>
  <si>
    <t>銅鉱石から溶融・電解などによる精錬や、伸銅品などの一次加工製品の製造を行う企業群</t>
  </si>
  <si>
    <t>自動車、自動二輪車にて乗客の指定する目的地まで輸送することを主要業務とする企業群。</t>
  </si>
  <si>
    <t>エチレン、プロピレン等の基礎素材から合成ゴム、プラスチック原料等の石油化学誘導品、機能性化学製品（電子材料、医・農薬の中間体等）等、各種化学原料、製品を製造する企業群。但し、化粧品等、化学原料を主とした最終消費者向けの製品は除く</t>
  </si>
  <si>
    <t>石油化学、機能性化学、無機化学、樹脂加工等の化学事業を多角的に展開し、基礎原料から川下の化学製品まで一貫生産を行う企業群</t>
  </si>
  <si>
    <t>自社でバス（大量の旅客輸送を目的とする自動車）を保有し、その運営を主要事業とする企業群。</t>
  </si>
  <si>
    <t>輸送手段としてトラックを用いた、企業の調達物流、販売物流、社内物流、返品物流を担う企業群。荷主から物流業務の全てまたは一部の委託を受け持つ3PLを担う企業も含む</t>
  </si>
  <si>
    <t>鉱山開発や、土木工事等で爆破することを目的に利用される火薬や、火薬技術を活用した発炎筒、照明弾等を製造する企業群</t>
  </si>
  <si>
    <t>緻密な温度管理が可能な特殊車両を保有し、食品等、3温度帯（チルド帯・米飯帯・冷凍食品帯）のいずれかの管理が必要な物流を主要業務とする企業群</t>
  </si>
  <si>
    <t>繊維・織物・皮革</t>
  </si>
  <si>
    <t>天然繊維、化学繊維の製造、各種加工を行う企業群。衣料等、繊維を元に製造した最終消費者向けの製品を製造する企業は本業界から除く。繊維の他、皮革（天然、人工）を含む</t>
  </si>
  <si>
    <t>毛繊維から、毛紡績（純そ毛糸、混紡そ毛糸）、紡毛紡績（純紡毛糸、混紡紡毛糸）、落毛等の紡績糸を製造する企業群</t>
  </si>
  <si>
    <t>主として一般消費者を対象とし、陸上または海上輸送にて、比較的小さな荷物の配送業務を行う企業群。</t>
  </si>
  <si>
    <t>住居、あるいは企業・団体の事業所などが、他の場所へその機能を完全に移す際に伴う家具や荷物の移動を担う企業群</t>
  </si>
  <si>
    <t>炭素繊維（アクリル繊維または、ピッチを原料として高温で炭化して作った繊維）を製造する企業群</t>
  </si>
  <si>
    <t>水運,空運</t>
  </si>
  <si>
    <t>港湾運送,国際貨物フォワーダー</t>
  </si>
  <si>
    <t>自ら倉庫（個人向け収納用スペース等を含む）を保有し、施設のスペースと保管サービス（保管、荷役、場合、仕分けや輸送など）を他の会社に提供するサービスを主体とする企業群</t>
  </si>
  <si>
    <t>プリント基板や繊維強化プラスチック等に利用されるガラス繊維（ガラスを融解、牽引して繊維状にしたもの）を製造する企業群</t>
  </si>
  <si>
    <t>空運</t>
  </si>
  <si>
    <t>教育・学習支援</t>
  </si>
  <si>
    <t>航空機による旅客、貨物輸送を主業務とする企業群。荷主と航空会社の仲介を行う国際航空貨物フォワーダー、空港施設・航空関連サービス</t>
  </si>
  <si>
    <t>自ら航空機を保有し、利用者から対価（航空運賃）を徴収して、旅客や貨物を国内、海外の目的地まで輸送する企業群</t>
  </si>
  <si>
    <t>窯業・紙</t>
  </si>
  <si>
    <t>製紙・パルプを製造する企業、非金属原料を高熱処理して瓦、ガラス、セメント等を製造する企業の他、ファインセラミックス、ニューカーボンの製造を行う企業群。但し、衛生陶磁器等、最終消費者向けの製品を製造する企業は除く</t>
  </si>
  <si>
    <t>コンクリートの原料となるセメントの製造・販売の全てまたは一部を主要業務とする企業群</t>
  </si>
  <si>
    <t>生活用品専門卸</t>
  </si>
  <si>
    <t>荷主と航空会社、船舶会社、場合によっては自社保有輸送機器を結び付け、出発地点から目的地までの輸送を総合的に担う企業群。貨物代理店業務、通関業務、混載仕立業務、集配送業務等、多岐に渡る業務を行う</t>
  </si>
  <si>
    <t>空港施設の運営・賃貸や、その空港施設内の一部スペースを利用した売店等を運営する企業群。空港施設の建物、諸施設の整備を行う企業を含む</t>
  </si>
  <si>
    <t>レンガ等の耐火物（高温に耐え、熱による容積変化が少なく、機械的強度が充分で熱の急変に耐えうる非金属無機物質）の製造を主要業務とする企業群</t>
  </si>
  <si>
    <t>生活用品小売</t>
  </si>
  <si>
    <t>利用者からの個別依頼に応じて、航空機を用いて不定期輸送を行う企業群</t>
  </si>
  <si>
    <t>素材専門卸</t>
  </si>
  <si>
    <t>金属、化学品、繊維等に関わらず素材製品の卸売を主要業務とする企業群</t>
  </si>
  <si>
    <t>資源卸</t>
  </si>
  <si>
    <t>鉱物や石炭などの天然資源の輸出入貿易、販売、流通業務を行う企業群。但し石油専業企業を除く</t>
  </si>
  <si>
    <t>航空機から地上を撮影し、それを基に都市計画、河川測量、環境調査、道路調査等のために利用する様々な地物を計測する業務を行う企業群</t>
  </si>
  <si>
    <t>フード</t>
  </si>
  <si>
    <t>各種印刷サービスを提供する企業群</t>
  </si>
  <si>
    <t>投資信託、上場企業が発表、提出する投資家向けの各種書類（有価証券報告書、適時開示、株主召集通知、法定広告等、その他各種IR関連資料等）の印刷や電子開示（EDINET、TDnet）支援を行う企業群</t>
  </si>
  <si>
    <t>各種飲食店を運営する企業群。持ち帰り型や、宅配形式のサービスを主とする企業は除く</t>
  </si>
  <si>
    <t>低～中価格帯のレストランを運営する企業群</t>
  </si>
  <si>
    <t>輸送用機械製造</t>
  </si>
  <si>
    <t>自転車、二輪自動車、四輪自動車、船舶、鉄道等、ヒト、モノの輸送を目的とした機械を製造する企業群</t>
  </si>
  <si>
    <t>セルフサービス、前払いを基本とし、ハンバーガーなどの手軽な食事を安価かつ短時間で提供するフードサービスアウトレット</t>
  </si>
  <si>
    <t>航空機の設計及び製造の統括を担う企業群。エンジンや機体等、航空機の一部を製造する企業は除く</t>
  </si>
  <si>
    <t>コーヒー・紅茶等を主に一部軽食を供する喫茶・カフェを運営する企業群</t>
  </si>
  <si>
    <t>鉄道に関する線路やインフラ施設などの建設、保守・改修工事を行う企業群</t>
  </si>
  <si>
    <t>ITインフラサービス</t>
  </si>
  <si>
    <t>ラーメンを始めとする低価格の中華料理を主とする飲食チェーンを運営する企業群</t>
  </si>
  <si>
    <t>銀行・ノンバンク</t>
  </si>
  <si>
    <t>銀行、消費者金融、事業者金融のいずれかに属する企業群。各種ローン会社、クレジットカード会社を含む。</t>
  </si>
  <si>
    <t>金銭や不動産など財産権を管理代行する信託業務を行う銀行群</t>
  </si>
  <si>
    <t>インターネットメディア SNS</t>
  </si>
  <si>
    <t>回転寿司店・持ち帰り寿司店を主として低価格帯の寿司・鮮魚を供する飲食チェーンを運営する企業群</t>
  </si>
  <si>
    <t>焼肉を主とする飲食チェーンを運営する企業群。但し、ステーキ専門店は含まない</t>
  </si>
  <si>
    <t>放送・出版</t>
  </si>
  <si>
    <t>放送業務（地上波放送、CATV、衛生放送等）、書籍、雑誌等の出版業務を行う企業群</t>
  </si>
  <si>
    <t>地上波による放送を行う民放放送のうち、系列ネットワークの中心となる局を運営する企業群</t>
  </si>
  <si>
    <t>居酒屋やパブ（西洋風居酒屋）、バー（ダイニングバーを含む）など、酒類を主に提供する飲食店を運営する企業群</t>
  </si>
  <si>
    <t>インターネットメディア</t>
  </si>
  <si>
    <t>インターネット上で各種情報の、電子商取引、相互コミュニケーションを目的したWEBサイトを運営する企業群</t>
  </si>
  <si>
    <t>インターネット上で航空券、ツアー、宿泊施設などの予約・購入または情報提供を行う企業群。実店舗を持つ旅行代理店を除く</t>
  </si>
  <si>
    <t>定食屋、そば・うどん専門店など、低価格帯の和食を提供する飲食チェーン（ファミリーレストラン業態を除く）</t>
  </si>
  <si>
    <t>ソフトウェア開発</t>
  </si>
  <si>
    <t>高級レストランを運営する企業群</t>
  </si>
  <si>
    <t>システム開発</t>
  </si>
  <si>
    <t>サーバー、ネットワーク等のハードウェアの導入とそれに付随するソフトウェアの開発、またはソフトウェア単独の開発を行う企業群</t>
  </si>
  <si>
    <t>医療情報システム開発</t>
  </si>
  <si>
    <t>電子カルテを中心とした福祉施設、医療機関向けの業務系システム、臨床試験向けの支援管理システムを開発する企業群</t>
  </si>
  <si>
    <t>弁当・宅配</t>
  </si>
  <si>
    <t>宅配、持ち帰り形式を主とした各種料理、食材、飲料の販売を行う企業群。宅配形式以外に事業所、病院等の調理施設を利用する形で給食業務を請負う企業も含む</t>
  </si>
  <si>
    <t>弁当・惣菜等の調理済み食材の、持ち帰りを前提とした自店舗販売又は宅配による販売を行う企業群。但し、コンビニエンスストアは含まない</t>
  </si>
  <si>
    <t>事業所、教育機関、医療機関等を対象とした給食事業を受託・運営する企業群</t>
  </si>
  <si>
    <t>半導体や太陽電池の部材となるインゴット、ウエハなどを製造する企業群。半導体ウエハの原料となる多結晶シリコン等を製造する企業は本業界から除き、多結晶シリコン業界に含む</t>
  </si>
  <si>
    <t>半導体及び液晶製造に使用される装置及びその検査装置の内、後工程で使用される装置を製造する企業群。後工程とは、微細加工を終えた半製品の組立が中心</t>
  </si>
  <si>
    <t>公共インフラ</t>
  </si>
  <si>
    <t>リニア、ロジックIC等、「演算」することを目的とした半導体を製造する企業群。ICカード用のチップは本業界から除き、ICチップ・カード業界に含む</t>
  </si>
  <si>
    <t>受動部品のうち、コンデンサ（静電容量による電気エネルギーの蓄積、放出をする素子）を造する企業群</t>
  </si>
  <si>
    <t>ダイオード、トランジスタ等の汎用的な半導体を製造する企業群。ICカード用のチップは本業界から除き、ICチップ・カード業界に含む</t>
  </si>
  <si>
    <t>重工業機械製造</t>
  </si>
  <si>
    <t>重工業分野の機械を製造する企業群</t>
  </si>
  <si>
    <t>発電機、変圧器などの電力設備を総合的に製造している企業群。変圧器、配電盤等の製品を単体で製造している企業は本業界から除き、配電・制御器業界に含め、原子力発電所を製造している企業は本業界から除き、重電(原子力発電)に含める</t>
  </si>
  <si>
    <t>モーター駆動、バッテリー充電、またはマイコンやLSIを動作させるなど、電源(電力)の制御や供給を行うことを目的とした半導体を製造する企業群</t>
  </si>
  <si>
    <t>軍組織に対して兵器などを製造する、または諜報などのサービスを提供する企業群</t>
  </si>
  <si>
    <t>半導体テスト・後工程受託</t>
  </si>
  <si>
    <t>半導体製造プロセスにおいて、前工程は行わず、テスト・ボンディングなど後工程を専業で行う企業群</t>
  </si>
  <si>
    <t>プラスチック成形を目的とした機械のうち、射出成形機械、押出成形機械、中空成形機械を製造する企業群</t>
  </si>
  <si>
    <t>エレベーター（人や荷物を載せた箱を垂直に移動させる昇降機）を製造する企業群。エスカレーターを含む</t>
  </si>
  <si>
    <t>医薬品小売</t>
  </si>
  <si>
    <t>工場、大型ビル、商業施設等で利用される業務用の空調機器（暖房・冷房機を含む）を製造する企業群。空調機器のプロセス用熱源となる吸収冷温水機・冷凍機、クリーンエアーシステムも含む</t>
  </si>
  <si>
    <t>調剤薬局,ドラッグストア</t>
  </si>
  <si>
    <t>多結晶シリコン</t>
  </si>
  <si>
    <t>半導体ウエハや太陽電池用ウエハの原材料となる多結晶シリコンを製造する企業群</t>
  </si>
  <si>
    <t>ATM、両替機、現金計算機等、お金を数える、計算する、選別することを目的とした機械を製造する企業群</t>
  </si>
  <si>
    <t>医薬品小売,総合・食品小売</t>
  </si>
  <si>
    <t>ドラッグストア,食品スーパー</t>
  </si>
  <si>
    <t>電動工具など、主に手持ち型で、電動モーターなどを動力として作動する工具を製造する企業群。空圧工具、油圧工具を含む</t>
  </si>
  <si>
    <t>半導体及び液晶、太陽電池の製造に使用される装置及びその検査装置の内、前工程で使用される装置を製造する企業群。前工程とは、リソグラフィ技術を中心とした微細加工工程</t>
  </si>
  <si>
    <t>電気、ガス、水道等を家庭、企業等へ供給する企業群。交通インフラ、通信インフラを除く</t>
  </si>
  <si>
    <t>石油や石炭を燃焼するなどして発生させた熱や蒸気を提供する企業群。 機器のみを扱う企業は除く。</t>
  </si>
  <si>
    <t>容器・包装</t>
  </si>
  <si>
    <t>パーソナルケア</t>
  </si>
  <si>
    <t>テレビ、PCモニター、携帯用のディスプレイとして利用される、液晶パネル、プラズマパネル、有機EL等を製造する企業群</t>
  </si>
  <si>
    <t>基礎化粧品、仕上げ化粧品等の各種化粧品、シャンプー、洗剤等の各種日用品を製造する企業群</t>
  </si>
  <si>
    <t>美容室・美容サロン向け頭髪用化粧品（パーマ剤、染毛剤、育毛剤、洗髪剤等）を製造する企業群</t>
  </si>
  <si>
    <t>デリバリー</t>
  </si>
  <si>
    <t>接続部品のうちスイッチ、コネクタの製造を主要業務とする企業群。リレー、ソケットを製造する企業も含む</t>
  </si>
  <si>
    <t>抵抗器</t>
  </si>
  <si>
    <t>受動部品のうち、抵抗器（一定の電気抵抗値を得る目的で使用される素子）を製造する企業群</t>
  </si>
  <si>
    <t>その他生活用品製造</t>
  </si>
  <si>
    <t>食器、玩具、文具、楽器、スポーツ用品等、「衣服・装飾品」、「家具・装備品」以外の各種生活用品を製造する企業群</t>
  </si>
  <si>
    <t>ゴルフクラブシャフト、ゴルフウェア・シューズ、ゴルフボールや関連用品を製造する企業群</t>
  </si>
  <si>
    <t>コイル・トランス</t>
  </si>
  <si>
    <t>受動部品のうち、トランス（=変成器。交流電力を直流電力に変換する装置）、インバータ（直流力を交流電力に変換する装置）、またはコイル（電流制御、高電圧発生をする装置）を製造する企業群。電力変圧器は含まない</t>
  </si>
  <si>
    <t>石炭</t>
  </si>
  <si>
    <t>石炭の探鉱、鉱山開発、生産を行う企業群</t>
  </si>
  <si>
    <t>石炭・石灰石の開発、輸入、販売の全てまたは一部を展開している企業群</t>
  </si>
  <si>
    <t>機構部品のうち、電子機器で利用される各種モーターを製造する企業群。自動車、オートバイのエンジン始動のために利用されるモーターは除く</t>
  </si>
  <si>
    <t>鉄鉱石を原料とし、高炉、転炉、造塊（鋳造）工程や連続鋳造工程を経て最終製品の製造までを行う企業群</t>
  </si>
  <si>
    <t>プリント配線板等、電子回路基板(抵抗器、コンデンサー等の電子部品を実装し、その部品間を接続して電子回路を構成する配線を形成した板状またはフイルム)を製造する企業群。プリント基板用銅箔（CCL）を専業とする企業群も含む</t>
  </si>
  <si>
    <t>電機製品、携帯電話、電子部品等から貴金属（白金、金、銀、パラジウム、ロジウム、イリジウム、ルテニウム、オスミウム等）を回収し、精錬、再加工等を行う企業群</t>
  </si>
  <si>
    <t>機械・電気サービス</t>
  </si>
  <si>
    <t>各種電機製品等への電力供給の源となる電源装置を製造する企業群。オンボード、ユニット等形式は問わない</t>
  </si>
  <si>
    <t>回路最適化の機能を持つ配電盤、制御装置、変圧器等を製造する企業群。但し、トランス（変成器）は本業界より除く</t>
  </si>
  <si>
    <t>石油化学誘導品のうち、SBR、BR等の合成ゴムを製造する企業群。石油化学誘導品を基にタイヤ等の最終製品を製造する企業群は本業界から除く</t>
  </si>
  <si>
    <t>機械の歯車などを、効率よく潤滑させることを目的とした油を製造する企業群。但し、石油精製から一貫して潤滑油を製造する石油精製・元売企業は除く</t>
  </si>
  <si>
    <t>民生用電子機器製造,自動車部品製造</t>
  </si>
  <si>
    <t>照明器具,自動車用電装品</t>
  </si>
  <si>
    <t>綿花、麻、竹などの植物やシルクなど天然素材から紡績糸を製造する企業群。毛紡績を除く</t>
  </si>
  <si>
    <t>LED（発光ダイオード）最終製品となる工程のうち、ライセンス、チップを供給（開発・製造）する企業群。但し、これに係るデバイス、モジュール、器具等の製造企業は除く</t>
  </si>
  <si>
    <t>一次電池、二次電池（蓄電池）を製造する企業群。太陽電池・燃料電池は本業界より除く</t>
  </si>
  <si>
    <t>JR等の鉄道会社から依頼を受けて、鉄道車両を設計、製造する企業群。鉄道車両を構成する各種電動装置等を製造する企業を含む</t>
  </si>
  <si>
    <t>太陽電池（光起電力効果を利用し、光エネルギーを直接電力に変換する電力機器）を製造する企業群</t>
  </si>
  <si>
    <t>船舶・航空部品製造</t>
  </si>
  <si>
    <t>船舶、航空機を構成する各種電子機器、胴体部品等を製造する企業群。船舶等のエンジンを製造する企業から除き、はん用エンジン業界に含む</t>
  </si>
  <si>
    <t>航海計器、魚群探知機等の船舶用電子機器や、バルカー船に用いられるハッチカバー、カーデッキ等船体の一部を構成する部品を製造する企業群</t>
  </si>
  <si>
    <t>発電・送電機器、船舶、航空・宇宙、プラントから医療機器まで、産業機器を中心に多角的に事業展開する企業群</t>
  </si>
  <si>
    <t>胴体パネル、フェアリング、主脚ドア、主翼インスパーリブ等の航空機を構成する各種部品や航空機用内装品を製造する企業群</t>
  </si>
  <si>
    <t>重電（原子力発電）</t>
  </si>
  <si>
    <t>実店舗を配置せず、営業上必要な店舗のみを有し、主としてインターネットや電話等の通信端末を介した取引、またはコンビニエンスストア等に設置されている現金自動預け払い機 (ATM)による決済業務を主要事業としている企業群</t>
  </si>
  <si>
    <t>原子力発電所において、原子炉の設計及び製造を主として担う企業群</t>
  </si>
  <si>
    <t>インターネットメディア,飲食店</t>
  </si>
  <si>
    <t>専門情報サイト,高級レストラン</t>
  </si>
  <si>
    <t>風力発電機</t>
  </si>
  <si>
    <t>風車を用いて電力を発生させる機械装置を製造する企業群。機械装置にはナセル、タワーなどの構造物を含む</t>
  </si>
  <si>
    <t>銀行などの金融機関やノンバンクなどの貸金業者が、消費者個人に耐久消費財やサービスなどの購入資金を直接貸し付けたり、提携先企業を通じて信用供与を行ったりする企業群</t>
  </si>
  <si>
    <t>家具・インテリア・雑貨</t>
  </si>
  <si>
    <t>住宅や自動車、教育向けなど、特定分野への融資業務を行う企業群。預金業務を行う銀行業は除く</t>
  </si>
  <si>
    <t>水を用途に合わせた水質に処理する各種機械及びその主要部品を製造する企業群。用途は上下水道やその他産業用途を含む</t>
  </si>
  <si>
    <t>ボイラー（燃料を燃焼させて得た熱を水に伝え、水蒸気や温水に換える熱源機器）、バーナー（燃料を気体中に拡散させることにより混合して高温で燃焼させる装置）を製造する企業群</t>
  </si>
  <si>
    <t>各種ソフトウェアの開発、販売を行う企業群</t>
  </si>
  <si>
    <t>データベース、ネットワークなどのインフラ系ソフトウェア及びシステムの開発、関連Webサービスの提供などを行う企業群</t>
  </si>
  <si>
    <t>自動車用の溶接、塗装等で活用する多関節産業用ロボット（関節機構を駆動するアクチュエータ機能を持つ）を製造する企業群。関節を持たない電子部品自動装着装置等は本業界から除く</t>
  </si>
  <si>
    <t>主に金属の形状・寸法・表面を、フライス盤（マシニングセンタを含む）、ＮＣ（数値制御）旋盤、研削盤、研磨機、プレス機械、放電加工機等により加工する機械を製造する企業群。鋳造機械も本業界に含む</t>
  </si>
  <si>
    <t>金属、セラミック等を主要原料として、金型（同じ形のものを大量に生産する時に用いられるマザー・ツール）の製造を主要業務とする企業群</t>
  </si>
  <si>
    <t>塗装機械を製造する企業群。カラー塗装に留まらず、金属コーティングや真空蒸着機械も含む</t>
  </si>
  <si>
    <t>ポンプ（運動エネルギーを液体に与える流体機械）やその部品を製造する企業群</t>
  </si>
  <si>
    <t>溶接を目的とした機械を製造する企業群。溶接機械が多関節から構成される場合は、多関節産業用ロボットに含める</t>
  </si>
  <si>
    <t>船舶、航空機、特殊車両などの輸送機械におけるエンジンを製造する企業群。自動車用及びオートバイ用は除く。大型トラック用は含む</t>
  </si>
  <si>
    <t>エンドミルなど、主に工作機械などの機械装置へ取り付け、切削するために利用する工具を製造する企業群</t>
  </si>
  <si>
    <t>材料試験機（各種材料あるいは製品に負荷を与え、その経過として強度・剛性・弾性・硬さ・粘性・耐久性などの物理特性を数値として検出するための試験機）と環境試験装置（対象となる各種部品や製品に温度・湿度・振動あるいは塩水など、対象となる環境因子による影響を分析・評価）を製造する企業群。非破壊試験装置を含む</t>
  </si>
  <si>
    <t>繊維機械（繊維製品の製造・加工・処理などに用いられる機械）を製造する企業群。ミシンは本業界より除く</t>
  </si>
  <si>
    <t>農産物・畜産物・水産物・林産物等の原料を加工処理し、食品、飲料等の加工食品全般を製造するための機械を製造する企業群</t>
  </si>
  <si>
    <t>油圧ショベル、ホイールローダ、建設用クレーン等、土木・建設作業に使われる機械を製造する企業群。鉱山機械を含む。フォークリフト、動力工具、建設用途以外のクレーンは除く</t>
  </si>
  <si>
    <t>各種製品の内装・外装といった包装機械を製造する企業群。独立自動型、ライン組み込み型のいずれの形態も含む。衛生用品製造機も含む</t>
  </si>
  <si>
    <t>都市ガスをパイプラインやガスシリンダーを通じ、最終消費をする家庭・企業等へ供給を行う企業群。産業向けまたは発電向けの天然ガス輸送・供給を主としている企業は含まない。</t>
  </si>
  <si>
    <t>印刷所、製本所などにおいて使用される、業務用印刷機械を製造する企業群。写真ＤＰＥ用ラボ機器を含む。家庭用及び事務用プリンタ及び複写機は本業界より除く</t>
  </si>
  <si>
    <t>石油化学、有機合成化学、無機合成化学分野などの化学産業で使用される機械全般を製造する企業群</t>
  </si>
  <si>
    <t>眼鏡のフレーム、レンズ、その他の関連部品を製造・加工を行う企業群。コンタクトレンズを含む</t>
  </si>
  <si>
    <t>コンベヤ、クレーン等、特定の敷地内において、物の運搬を目的とした機械装置の製造を主とする企業群。但し、エレベータ、エスカレータ、機械式駐車場、建設用クレーン、フォークリフトは除く</t>
  </si>
  <si>
    <t>建物、インフラ等を構成する各種建材、建築材料と、衛生陶器、ガス石油機器、システムキッチン等、主として住宅の建設時に組み込まれる住宅設備を製造する企業群</t>
  </si>
  <si>
    <t>建材・建築資材のうち、瓦、レンガ、タイル等、非金属原料を高熱処理して製造する企業群。但し、衛生陶器、セメントを主原料とする建材を製造する企業は本業界から除く</t>
  </si>
  <si>
    <t>電炉または高炉から最終製品までの全てまたは一部の加工工程を担いステンレス製品を生産する企業群</t>
  </si>
  <si>
    <t>変速機、歯車、チェーン等、動力を伝動させるために必要な各種機械を製造する企業群。但し、ベアリングやその他自動車部品用に特化した製品（トランスミッションなど）は、本業界より除く</t>
  </si>
  <si>
    <t>自社、または他の高炉メーカーなどから一次加工製品を購入し、それを二次加工して鋼線を製造する企業群</t>
  </si>
  <si>
    <t>油や空気を媒介として動力の伝達・倍力、制御などの機能を担う油圧、空圧機器を製造する企業群</t>
  </si>
  <si>
    <t>除草剤、殺虫剤などの農薬を製造する企業群</t>
  </si>
  <si>
    <t>メーカーの製造工程などで使われる各種ガス（酸素、窒素、アルゴン、炭酸ガス、水素、電子材料用の特殊ガス等）を製造する企業群</t>
  </si>
  <si>
    <t>実在の状態や物体を計量・計測する（物理量、工業量等の様々な数体で表す）ための機器を製造する企業群。但し遺伝子解析等、DNAチップ等は遺伝子検出・解析機器企業群に含む</t>
  </si>
  <si>
    <t>フレーバー（食品に香りと味の一部を付与するもの）、フレグランス（食品以外のものに香りを付けるもの）等の香料を製造する企業群</t>
  </si>
  <si>
    <t>工場内で用いられる機械、装置のうち、制御技術による自動化システムを構成する製品群を製造する企業群</t>
  </si>
  <si>
    <t>綿繊維や合成繊維を仕入れて生地を製造する企業群。他社製造によるポリエステルチップから合成繊維を製造する企業を含む</t>
  </si>
  <si>
    <t>トラクタ、田植機、収穫調製するためのコンバイン等、酪農業、畜産業等、農作業の現場で利用される各種機械を製造する企業群</t>
  </si>
  <si>
    <t>ガラス、金属、プラスチック、紙等の原料を基に、容器・包装関連の製品を製造する企業群</t>
  </si>
  <si>
    <t>ペットボトル、アルミ缶、スチール缶などの飲料容器を製造する企業群</t>
  </si>
  <si>
    <t>立体式駐車場（立体的に自動車を駐車させるもの）、自走式立体駐車場（立体式駐車場のうち自動車が自走して駐車スペースに収まるもの）及び、平面駐車場（平面上に自動車の駐車スペースが設置されているもの）における機械システムを製造する企業群</t>
  </si>
  <si>
    <t>金融関連サービス</t>
  </si>
  <si>
    <t>証券事務代行、債権回収、金融情報提供サービス等、金融に関わる各種サービスを提供する企業群</t>
  </si>
  <si>
    <t>株投資に必要な企業、相場情報や、倒産リスクなどの与信情報の提供など、各種金融、与信情報を提供する企業群</t>
  </si>
  <si>
    <t>地上波による放送を行う放送局の内、系列ネットワークの中心となるキー局以外のローカル局を運営する企業群</t>
  </si>
  <si>
    <t>清涼飲料、タバコ、食品、乗車券等の自動販売機（硬貨・紙幣またはこれに代わるカードを差し入れると、自動的に目的の物品を得られる機械）を製造する企業群</t>
  </si>
  <si>
    <t>地図帳の出版、並びに地図データの配信を行う企業群</t>
  </si>
  <si>
    <t>カジノやパチンコなど、各種ゲームやエンターテイメント向けの機器を製造・販売する企業群</t>
  </si>
  <si>
    <t>商業用映像看板のＬＥＤ映像表示器、交通標識、広告看板等、各種看板（サインボード）の製造、販売、レンタルを行う企業群。但し、薄型ディスプレー看板を製造する総合電機メーカーは除く</t>
  </si>
  <si>
    <t>レストラン、ホテル等の業務用で利用される電気冷蔵庫、電磁調理器、食器乾燥器、食器洗い機等、調理を行うキッチン周辺機器を製造、販売する企業群</t>
  </si>
  <si>
    <t>電子部品、民生用、産業用電子機器から情報通信機器まで、機械、電子機器に関わる幅広い領域において事業を多角的に展開する企業群</t>
  </si>
  <si>
    <t>テレビ</t>
  </si>
  <si>
    <t>ブラウン管、液晶テレビ、プラズマテレビ等、各種テレビの最終製品を製造する企業群</t>
  </si>
  <si>
    <t>ビデオカメラ、カムコーダ、デジタルカメラ等、映像を撮影することを主目的とした装置を製造する企業群。監視カメラは防災・防犯機器業界に含む</t>
  </si>
  <si>
    <t>TVゲーム機器</t>
  </si>
  <si>
    <t>家庭用据え置き型、家庭用携帯型TVゲームのハードウェアを製造する企業群</t>
  </si>
  <si>
    <t>ホームオーディオ、カーオーディオ、ポータブルオーディオ等、音の録音・再生に関わる機器を製造する企業群。電子信号を音に変える受動音響部品も含む</t>
  </si>
  <si>
    <t>白物家電のうち炊飯器・冷蔵庫・洗濯機、電子レンジ等の家事現場で利用される家電を製造する企業群</t>
  </si>
  <si>
    <t>空気の温度・湿度を適度に保つ民生用冷房、暖房機器や不純物を除く民生用清浄機を製造する企業群。産業用空調機器は除く</t>
  </si>
  <si>
    <t>有線通信機器のうち、電話機、電話応用装置（インターホン等）、交換機、搬送装置、インターネット接続機器のいずれかを製造する企業群</t>
  </si>
  <si>
    <t>蛇口等に取り付け、水道水に含まれる残留塩素やトリハロメタン等の不純物質を除去（減少）させる家庭用の機器を製造する企業群</t>
  </si>
  <si>
    <t>メーカーから製造・検査工程の一部や、製造設備、製品等の維持、管理業務を請負う企業群</t>
  </si>
  <si>
    <t>電子機器の製造を一括受託する形態の企業群。部分的に加工・組立・検査を請け負う形態は除く</t>
  </si>
  <si>
    <t>住宅用室内照明、外部用照明（庭園灯、街灯等）器具を製造する企業群。自動車用の照明は本業界から除く</t>
  </si>
  <si>
    <t>電気時計を含む時計、時刻表示装置および時計部分品（ムーブメント、ぜんまい、文字盤バンド等）を製造する企業群</t>
  </si>
  <si>
    <t>アパレルブランドの企画した商品など、他社ブランドの衣料品を製造する企業群</t>
  </si>
  <si>
    <t>廃棄物・環境関連,陸上輸送</t>
  </si>
  <si>
    <t>廃棄物処理,トラック（企業物流）</t>
  </si>
  <si>
    <t>通信機器（携帯電話）</t>
  </si>
  <si>
    <t>無線通信機器のうち、携帯電話のハードウェアを製造する企業群</t>
  </si>
  <si>
    <t>自社、または他の鉄鋼メーカーから一次加工鋼材を購入し、鋼板の製造を行う二次加工を主力とする企業群</t>
  </si>
  <si>
    <t>主に個人が使用することを目的としたコンピューターを製造する企業群。外部記憶装置、スキャナ、プリンタ等の周辺機器は本業界から除く</t>
  </si>
  <si>
    <t>光ディスクドライブ、PC用メモリ、外部記憶装置、無線LAN、マウス等、パソコン本体や関連機器と接続、連携して使用する周辺機器（内臓、外付け両方含む）を専門に製造する企業群</t>
  </si>
  <si>
    <t>エチレン、プロピレン、ブタジエンなど石油化学品を主に製造する企業群</t>
  </si>
  <si>
    <t>カ性ソーダ、硫酸、アンモニア等の基礎化学品を製造する企業群。但し、エチレンなどの石油化学基礎製品を除く</t>
  </si>
  <si>
    <t>無線通信機器のうち、基地局、アンテナのほか、船舶、タクシー等で利用される業務用無線や、無線応用装置、トランシーバー、アマチュア用無線装置を製造する企業群</t>
  </si>
  <si>
    <t>通信機器（アンテナ）</t>
  </si>
  <si>
    <t>携帯電話基地局、および放送用、自動車用、携帯電話用の各種アンテナ（電波を送受信するための装置）の製造を主要業務とする企業群</t>
  </si>
  <si>
    <t>携帯電話を中心とした無線通信の基地局装置を製造する企業群。アンテナは除く</t>
  </si>
  <si>
    <t>不織布（繊維を織らずに絡み合わせたシート状のもの）を製造する企業群。革、プラスチックは本企業より除くが、フェルト（動物の毛を集めて圧縮して作るシート状製品）は含む</t>
  </si>
  <si>
    <t>リース・レンタル</t>
  </si>
  <si>
    <t>プリンタや複写機を製造する企業群。コピーやスキャナの機能を併せ持つ複合機を含む。出版社等が利用する印刷機械は本業界から除く</t>
  </si>
  <si>
    <t>自動認識機器（バーコード、RFID、生体認証システム等）とそれに付随するシステム（ハンディーターミナル等）を製造する企業群。情報読取技術を活用するIC・RFIDカードは、ICカード・チップ業界、防犯カメラは防災・防犯機器に含む</t>
  </si>
  <si>
    <t>瓶、医療用ガラス容器等、ガラスを主原料とた容器の製造を主要業務とする企業群</t>
  </si>
  <si>
    <t>消火設備や火災報知設備等の防災機器、及び監視カメラ、侵入者検知器・出入管理装置・映像監視装置等の防犯機器を製造する企業群</t>
  </si>
  <si>
    <t>工業製品の製造工程において、切削加工、研磨加工、成形加工（金属成形、プラスチック成形）、組立工程、検査工程を一部請け負う形態の企業群。完成品までの製造を一括して請け負う形態を除く</t>
  </si>
  <si>
    <t>その他素材加工品</t>
  </si>
  <si>
    <t>金属、プラスチック等の素材を基に、作業工具、スプリング、バイブ等の各種法人向け製品を製造する企業群</t>
  </si>
  <si>
    <t>スプリング（機械に伝わるまたは機械が発生する振動を吸収・増幅させたり、周期を遅らせたりするために用いられる部品、ばねとも言う）を製造する企業群。折り畳み携帯やノートパソコンで利用されるヒンジ、ショックアブソーバなども含む。自動車用のサスペンションなどは除く</t>
  </si>
  <si>
    <t>全国的にまたは数地方にまたがる広域的営業基盤を持つ企業群</t>
  </si>
  <si>
    <t>特定の地域において銀行業務を扱う企業群</t>
  </si>
  <si>
    <t>自動車部品製造</t>
  </si>
  <si>
    <t>自動車を構成するエンジン、駆動･伝導、懸架・制動装置部品、車体部品等、各種部品を製造する企業群</t>
  </si>
  <si>
    <t>サスペンション（路面の凸凹から来る振動を吸収するなどして、乗り心地や操縦安定性などの改善を目的とする部品）を製造する企業群。本業界にサスペンションに組み込むショックアブソーバー（機械的な衝撃を吸収する装置）も含む</t>
  </si>
  <si>
    <t>商工ローンとも呼ばれ、手形割引、手形貸付、証書貸付などの形態により、主に中小企業の経営者等を対象に事業用資金を貸し付ける企業群</t>
  </si>
  <si>
    <t>消防車、ゴミ収集車等、特殊な用途のために必要な機能を取り付けた車両を製造する企業群。建設、農業機械や、走行や運搬を主目的とする車両は本業界から除く</t>
  </si>
  <si>
    <t>クレジットカード（使用者がクレジットカードを商品購入の際に提示すると、一旦、クレジットカード会社が加盟店への支払いを肩代わりし、後でカードの使用者に請求する仕組み）の発行、クレジットカード会員に対する資金の回収等を行う企業群</t>
  </si>
  <si>
    <t>トラック（主に貨物の運送を目的とした、荷台を備えた四輪自動車）を含む大型商業車を製造する企業群。但し、軽トラックを主とする企業は除き、バスは含む。</t>
  </si>
  <si>
    <t>有価証券の売買・その媒介・取次ぎ・代理、その引受・売出しなどの証券業務を営む企業群</t>
  </si>
  <si>
    <t>証券金融会社</t>
  </si>
  <si>
    <t>証券取引所会員の証券会社に対し、信用取引の決済に必要な金銭または有価証券を貸し付ける貸借取引貸付を基本業務とし、そのほかに公社債貸付・一般貸付などの業務も行う証券金融専門機関</t>
  </si>
  <si>
    <t>商品先物取引</t>
  </si>
  <si>
    <t>先物取引（農産物や鉱工業材料等の商品を将来の一定日時に一定の価格で売買することを現時点で約束する取引）の仲介業務等を行う企業群</t>
  </si>
  <si>
    <t>生命保険、損害保険など各種保険商品の企画、販売を行う企業群</t>
  </si>
  <si>
    <t>生命保険等の各種保険を取り扱う（企画、販売を行う）企業群</t>
  </si>
  <si>
    <t>海運会社等の船主から依頼を受けて、船（主に中、大型の鋼鉄製の船舶）を設計、建造、修理する企業群。</t>
  </si>
  <si>
    <t>燃料卸・販売,ガソリンスタンド</t>
  </si>
  <si>
    <t>火災保険や自動車保険などの各種損害保険を取り扱う（企画、販売を行う）企業群</t>
  </si>
  <si>
    <t>健康保険</t>
  </si>
  <si>
    <t>各種保険のうち、主に健康保険を取り扱う企業群</t>
  </si>
  <si>
    <t>再保険</t>
  </si>
  <si>
    <t>保険業者に対してリスク分散などの手段として、保険責任の一部あるいは全部を請負うを保険を提供する企業群</t>
  </si>
  <si>
    <t>不動産（オフィスビル、マンション、商業ビル等）に対して、自社または自社の運営するファンドを通じて投資を行い、運用益から収益を得る企業群</t>
  </si>
  <si>
    <t>生命保険、損害保険会社が企画、開発した保険商品を、保険募集人として保険会社の代わりに販売を行う企業群</t>
  </si>
  <si>
    <t>株式や債券、デリバティブ、コモディティ等へ投資を行う運用商品や運用サービスを提供することで、投資家から運用報酬を得る企業群</t>
  </si>
  <si>
    <t>債券、融資、売掛金回収リスク、不動産リスク、家賃滞納リスク等、様々な信用リスクを証券化等の手法により保証するサービスを行う企業群</t>
  </si>
  <si>
    <t>未上場企業のうち、特に創業間もないベンチャー企業に対して、株式投資を行い、主にIPO（新規上場）等によるキャピタルから収益を得る企業群</t>
  </si>
  <si>
    <t>上場有価証券</t>
  </si>
  <si>
    <t>インデックスファンドやETF、投資証券（ETN）など証券取引所で売買される有価証券。株式とREITを除く</t>
  </si>
  <si>
    <t>証券会社・銀行等の金融機関からの依頼を受け、種々の書類の作成・照合、諸通知や書類の封入・発送、各種計算などの事務を代行するサービスを行う企業群</t>
  </si>
  <si>
    <t>各種商取引における、コンビニ、電子マネー、クレジット決済の処理（各種決済事務、支払額の請求、資金回収等）を請負うサービスを行う企業群</t>
  </si>
  <si>
    <t>ローンやクレジットの管理・回収を扱うマスター・サービサー、担保不動産や不良債権の実務全般を行うスペシャル・サービサー等、債権の取り立て代行やそれに付随する業務を行う企業群</t>
  </si>
  <si>
    <t>通信・訪問販売</t>
  </si>
  <si>
    <t>主に実店舗を有さず、テレビ、カタログを主力媒体として商品を販売する企業群。インターネット上での販売を主力とする企業は本業界から除く</t>
  </si>
  <si>
    <t>主に、カタログまたはインターネット等のメディアを利用した文房具・事務用品の通信販売を行う企業群。自社で販売店舗を有す企業を含む</t>
  </si>
  <si>
    <t>広告・イベント</t>
  </si>
  <si>
    <t>総合建設</t>
  </si>
  <si>
    <t>オフィス・商業施設や住宅の総合建設および土木工事を請け負う企業群</t>
  </si>
  <si>
    <t>元請負者として各種の土木・建築工事を一式で発注者から直接請負い、工事全体のとりまとめを行う企業群</t>
  </si>
  <si>
    <t>オフィスや商業施設、マンションなどの建物の建築を担う企業群</t>
  </si>
  <si>
    <t>住居、オフィス内等で利用される各種家具、インテリア製品を製造する企業群</t>
  </si>
  <si>
    <t>ガラス食器、陶磁食器、キッチン用品を製造する企業群</t>
  </si>
  <si>
    <t>弁当・宅配,飲食店</t>
  </si>
  <si>
    <t>橋梁建設、道路舗装、鉄道工事など公共・土木工事を担う企業群。但し各分野の専業企業を除く</t>
  </si>
  <si>
    <t>形鋼、鋼板などの鋼材の加工、接合、組立により工作物（鋼橋を含む）を築造する工事を主たる業務とする企業群。石油やガス等の貯蔵用タンク設置工事は除く</t>
  </si>
  <si>
    <t>インクリボン、トナーカートリッジ等のOA機器サプライを製造または卸売を行う企業群</t>
  </si>
  <si>
    <t>道路等の耐久力を高めることを目的として、表面を石、煉瓦、コンクリート、アスファルトなどで舗装を行う企業群。コンクリート道路橋工事を含む</t>
  </si>
  <si>
    <t>農業</t>
  </si>
  <si>
    <t>農業など食糧品の一次生産を行う企業群</t>
  </si>
  <si>
    <t>地盤改良工事（軟弱地盤の強度を高め、沈下や滑り破壊の抑制を目的に行われる工事）を主要業務とする企業群</t>
  </si>
  <si>
    <t>食用きのこ類の栽培及び加工を行う企業群</t>
  </si>
  <si>
    <t>電話回線、光回線等の通信設備に係る工事の請け負いを主要業務とする企業群</t>
  </si>
  <si>
    <t>発電設備、変電設備、送配電設備、構内電気設備などの設置工事を主たる業務とする企業群</t>
  </si>
  <si>
    <t>プラント・空調衛生工事</t>
  </si>
  <si>
    <t>1）プラント・施設の設計、建設工事、2）建物等の空調・衛生設備に係る工事の請け負いに従事する企業群</t>
  </si>
  <si>
    <t>建設物の空調・衛生設備に係る工事の請け負いを主要業務とする企業群</t>
  </si>
  <si>
    <t>アルミニウム製のサッシ（ガラス等をはめ込んで、住宅、オフィスビル、工場等の建築物の窓や扉を形成する窓枠）を製造・販売する企業群</t>
  </si>
  <si>
    <t>プラント等の高度な機能を果たす施設を完成させるために必要な、設計、調達、建設、据付、試運転、操業保全等の一連の業務、又は一部を主要業務とする企業群</t>
  </si>
  <si>
    <t>建設関連サービス</t>
  </si>
  <si>
    <t>建設コンサルティング、計画、調査・検査などの建設支援サービスに従事する企業群</t>
  </si>
  <si>
    <t>建築・土木工事に関する計画・調査・監理業務、建築確認検査業務等の建設コンサルティング業務を主要事業としている企業群</t>
  </si>
  <si>
    <t>トイレ用品（便器等）の製造・販売を行う企業群。但し、浴室、洗面台を製造する企業は除く</t>
  </si>
  <si>
    <t>火力や原子力を用いて、発電から電力卸、企業、家庭等への供給までの全てまたは一部を主要業務とする企業群。独立系発電事業者（IPP）も含む。</t>
  </si>
  <si>
    <t>ボーキサイトからアルミナ抽出・電解などによる精錬や、圧延などの一次加工を行う企業群</t>
  </si>
  <si>
    <t>太陽光や水力、風力、バイオマス、地熱などの再生可能エネルギーを用いて、発電から貯蔵、電力卸、企業、家庭等への供給までの全てまたは一部を主要業務とする企業群。独立系発電事業者（IPP）も含む。</t>
  </si>
  <si>
    <t>繊維、紡績会社から仕入れた糸等に対して色を付ける染色加工を主要業務とする企業群</t>
  </si>
  <si>
    <t>上水供給、下水処理、海水淡水化、産業用水供給、産業用排水処理、超純水製造・供給等の水供給・処理の関連のプラント設計・建設、運営・維持管理事業を行う企業群。素材・機器のみを扱う企業は除く</t>
  </si>
  <si>
    <t>通信インフラ</t>
  </si>
  <si>
    <t>固定通信（固定電話、ADSL、光回線等）、移動体通信（携帯、PHS等）サービスを提供する企業群</t>
  </si>
  <si>
    <t>電話回線、ADSL回線、光ファイバー回線のユーザーへの提供、またはプロバイダへの卸売りを行う企業群</t>
  </si>
  <si>
    <t>半導体、コンデンサ素子、光ファイバや医療用等に利用される誘電性・磁性・光学的な面などで高機能をもつセラミックスを製造する企業群</t>
  </si>
  <si>
    <t>携帯電話とPHSに付随する電気通信サービスを行う企業群</t>
  </si>
  <si>
    <t>通信設備</t>
  </si>
  <si>
    <t>通信設備の保有・運営を行い、特定あるいは複数の通信キャリアに対して設備を貸し出す企業群</t>
  </si>
  <si>
    <t>電気・機械専門卸</t>
  </si>
  <si>
    <t>各種電子部品から産業機械、情報機械の卸売を主要業務とする企業群。中古車の中間流通を担う中古車オークション業者も含む</t>
  </si>
  <si>
    <t>中古自動車をオークション方式にて中古自動車販売会社に販売する企業群</t>
  </si>
  <si>
    <t>通信衛星運営</t>
  </si>
  <si>
    <t>通信衛星の保守・運営を行い、通信事業者や衛星放送事業者にインフラを提供する企業群</t>
  </si>
  <si>
    <t>生活関連サービス</t>
  </si>
  <si>
    <t>通信機器、建設仮設材等、各種物品をリースまたはレンタル形式で企業、または個人に提供する企業群</t>
  </si>
  <si>
    <t>建設現場等で利用されるプレハブ工法（あらかじめ部材を工場で生産・加工し、建築現場で加工を行わず組み立てる建築工法）により作られた仮設建物を製造、販売、リース、レンタルを行う企業群</t>
  </si>
  <si>
    <t>テレビ電波等をCATV局で受信し、ケーブルを経由して利用者へ送信するCATV事業、または、通信衛星・放送衛星を利用した衛星放送事業を行う企業群。 CATV、放送衛星向けの番組制作・チャンネル運営を行う企業も含む</t>
  </si>
  <si>
    <t>アナログ波、デジタル波、インターネットなどを通じてラジオ番組を放送する企業群</t>
  </si>
  <si>
    <t>過去掲載有</t>
  </si>
  <si>
    <t>廃棄物の処理、または土壌汚染などの環境調査等、環境に関わる各種サービスを提供する企業群</t>
  </si>
  <si>
    <t>新聞（一般紙およびスポーツ紙）を有料で発行する企業群。業界紙を発行する企業群は除く</t>
  </si>
  <si>
    <t>公園や街路樹など広範囲において苗木の植付や樹木の手入れなどを施工する企業群</t>
  </si>
  <si>
    <t>書籍・雑誌を総合的に取り扱う出版事業を行う企業群。書籍・雑誌の輸出入事業も含む</t>
  </si>
  <si>
    <t>主に特定分野の情報誌の出版を主力とする企業群。但し、事業主からの掲載広告収入を元に定期製作されるフリーペーパー等は含まない</t>
  </si>
  <si>
    <t>マフラー、エキゾーストマニホールド、排気管等、排気ガスを排出するために必要な部品を製造する企業群。</t>
  </si>
  <si>
    <t>主に事業主からの掲載広告料を元に定期製作され、無料または廉価で配布される情報誌の出版事業を行う企業群</t>
  </si>
  <si>
    <t>テレビ、新聞、インターネット等、各種媒体を活用した広告関連業務を担う企業群</t>
  </si>
  <si>
    <t>テレビ局、ラジオ局、新聞社、出版社等のメディア広告媒体のうち、顧客のプロモーション戦略に適した広告媒体の提案、広告枠の取次を行い、手数料を得る広告代理業を行う企業群</t>
  </si>
  <si>
    <t>インターネット上の複数の広告媒体のうち、顧客のプロモーション戦略に適した媒体を提案し、ネット広告枠への出稿を専門的に取り次ぐ広告代理業を行う企業群 。メディアレップ、アフィリエイトサービスプロバイダー、ネットマーケティング専業は除く</t>
  </si>
  <si>
    <t>インターネット広告媒体より広告枠を仕入れ、主にネット広告代理店（一部直接広告主）への売却を行う企業群</t>
  </si>
  <si>
    <t>広告主から広告を預かり、サイトに広告掲載を希望する媒体（アフィリエイター）に、成果報酬型広告の仲介を行う企業群</t>
  </si>
  <si>
    <t>検索サイト活用したマーケティング支援（SEM、リスティング広告、SEO、Web解析・構築支援等）やメール広告配信等、顧客のネットマーケティングをサポートする企業群</t>
  </si>
  <si>
    <t>アドテクノロジー（adtechnology）の開発、提供を中心に扱う企業群</t>
  </si>
  <si>
    <t>ポータルサイト（Webサイトにアクセスする時の入口となるサイトであり、検索エンジン、ウェブディレクトリ等のサービスを提供するサイト）を運営する企業群</t>
  </si>
  <si>
    <t>ソーシャル・ネットワーキング・サービス（Web上で社会的ネットワークの構築を促進するサイトであり、ユーザープロフィール・検索、日記機能、コミュニティ機能等を有するもの）を運営する企業群</t>
  </si>
  <si>
    <t>サイトやアプリに掲載したカテゴリー特化した情報を用いて、広告料やユーザー課金などによって収入を得る企業群</t>
  </si>
  <si>
    <t>レジャー</t>
  </si>
  <si>
    <t>テーマパーク、映画、ゴルフ等、主として個人が余暇を過ごすための各種サービスを提供する企業群</t>
  </si>
  <si>
    <t>競輪場・競馬場の賃貸又は運営を主事業とする企業群</t>
  </si>
  <si>
    <t>インタネットメディア企業や、インターネットを利用するユーザーに、セキュリティ対策や、接続、サーバの運用業務等、各種サービスを提供する企業群</t>
  </si>
  <si>
    <t>情報セキュリティツール（機器・ソフトウェア）の開発・販売や、セキュリティシステム構築・認証サービス・ネットワーク監視サービス等のセキュリティソリューションを提供する企業群</t>
  </si>
  <si>
    <t>サーバーホスティング事業としてのサーバー貸しや、コロケーション（ハウジング）事業としてデータセンター施設の提供を主事業として展開している企業群。通信キャリアやシステムインテグレーターがサービスの一環としてサーバー保守・運営を行っている場合は含まない</t>
  </si>
  <si>
    <t>企業や個人のコンピュータのインターネット接続サービスを営む企業群。通信回線事業者によるインターネット接続サービスの兼業も含む</t>
  </si>
  <si>
    <t>システム導入に関わるコンサルティングから設計、開発、運用・保守・管理までを一括請負する企業群。主に、自らは発注企業からの主契約の相手（完成までの責任を負う）となり、個々の作業を副契約の会社（サブコントラクター）に発注する形態を取る</t>
  </si>
  <si>
    <t>企業のネットワーク全体の設計からハードウェアの導入、ソフトウェアの開発、運用、保守まで一括請負する企業群</t>
  </si>
  <si>
    <t>特定の顧客業種を問わず、顧客の要望に応じ、システムをオーダーメイドで開発する受託型の開発を主としている企業群</t>
  </si>
  <si>
    <t>通信関連システム開発</t>
  </si>
  <si>
    <t>情報通信ネットワークに関連するシステム開発を行う企業群。無線LAN、RFID等、各種ワイヤレス通信に伴うソフトウェア開発も含む</t>
  </si>
  <si>
    <t>携帯電話などのモバイル通信端末や家電製品、自動車、産業用機器など様々な分野のハードウェアに組み込まれ、特定の機能を実現するためのソフトウェアやシステムを開発する企業群</t>
  </si>
  <si>
    <t>印刷サービス,レジャー</t>
  </si>
  <si>
    <t>商業・出版印刷,アミューズメント施設</t>
  </si>
  <si>
    <t>ディーリングシステム、資産運用システム、決済システムなど、証券会社、銀行、機関投資家、クレジット会社などの金融機関を主要顧客としてシステム開発を担う企業群</t>
  </si>
  <si>
    <t>各種機械、建築時の詳細設計業務を支援するシステム（CAD）、工場の生産ライン、工作機械等の動きを制御するシステム（CAM）の開発、販売を行う企業群。詳細設計前の基本設計を支援するシステム（ＣＡＥ）を含む</t>
  </si>
  <si>
    <t>受注、販売、物流、購買、会計等の基幹業務機能をコンピュータソフトウェアの機能上に統合するパッケージシステム(ERP）を自社で開発する企業群。関連Webサービスの提供も含む</t>
  </si>
  <si>
    <t>顧客管理や営業支援、マーケティングに関するソフトウェアまたはサービスを開発、提供する企業群</t>
  </si>
  <si>
    <t>企業の経理、会計業務を支援するパッケージソフト単体及びシステムの開発、販売や関連Webサービスの提供などを行う企業群。ERPをメインとし、その一部機能を成す財務会計ソフトは除く。</t>
  </si>
  <si>
    <t>流通や調達、生産・在庫管理、文書管理など、企業の様々な業務を支援、管理するためのソフトウェアまたはサービスを開発、提供を行う企業群（会計やERPを除く）</t>
  </si>
  <si>
    <t>飲料・たばこ製造</t>
  </si>
  <si>
    <t>酒類、清涼飲料等の各種飲料、たばこを製造する企業群</t>
  </si>
  <si>
    <t>たばこ製造およびたばこ周辺事業を行う企業群（電子たばこ類を含む）</t>
  </si>
  <si>
    <t>一般消費者向けに、家電量販店等で販売するパッケージソフトの開発や各種Webサービスを提供する企業群</t>
  </si>
  <si>
    <t>本・映像・ゲーム小売</t>
  </si>
  <si>
    <t>ｅコマースサイトの構築ソフト、企業間の受発注システム等、電子商取引に関わるシステム構築、パッケージソフトの開発を主とする企業群</t>
  </si>
  <si>
    <t>浴室・洗面台の製造・販売を行う企業群。但し、便器などを製造する企業は除く</t>
  </si>
  <si>
    <t>博覧会、展示会、企業のＰＲ、商品の販促を目的としたイベントや、スポーツ、各種文化交流イベントの企画、運営を行う企業群</t>
  </si>
  <si>
    <t>主として販売促進、教育啓もう、情報伝達等を目的として、店舗、博覧会会場、催事などの展示等に係わる企画、設計、制作、施工監理を一貫して請負い、これら施設の内装、外装、展示装置、機械設備などを総合的に構成演出する業務を行う企業群</t>
  </si>
  <si>
    <t>音楽、アニメ、映画、ゲーム等各種コンテンツの制作とその配信業務を担う企業群</t>
  </si>
  <si>
    <t>工場の製造工程において利用される工業薬品（金属メッキ薬、難燃剤等）や、研究所の実験等で利用される試薬等、各種化学薬品を製造する企業群。医薬品、農薬、臨床検査薬を除く</t>
  </si>
  <si>
    <t>映画、テレビ番組、雑誌、DVD等に向けたアニメの企画・制作、アニメキャラクターの版権販売等を行う企業群</t>
  </si>
  <si>
    <t>音楽レコードを企画・制作・販売する企業群。音楽レコードには、CD・DVD等のメディアとデジタルコンテンツを含む</t>
  </si>
  <si>
    <t>インターネットを通じた楽曲の配信事業を行う企業群</t>
  </si>
  <si>
    <t>包装資材、容器、ラベル、ステッカー等の特殊素材に対して、商品名やデザインの印刷を行う企業群</t>
  </si>
  <si>
    <t>映画の企画・製作・配給を行う企業群</t>
  </si>
  <si>
    <t>CM、テレビ番組等の映像の企画・製作（含む受託製作）を行う企業群</t>
  </si>
  <si>
    <t>タレントや歌手の芸能活動の総合的なプロデュース及びマネジメントを行う企業群</t>
  </si>
  <si>
    <t>携帯電話やスマートフォン向けのコンテンツの企画・製作（含む受託製作）・配信を行う企業群</t>
  </si>
  <si>
    <t>インターネットを通じて動画コンテンツの配信を行う企業群。投稿型動画配信サイトも含む</t>
  </si>
  <si>
    <t>Webブラウザやスマートデバイスなど、ゲーム専用機以外のプラットフォーム向けのゲームを企画・開発・運営する企業群。</t>
  </si>
  <si>
    <t>家庭用ゲームソフトの企画・開発（受託開発を含む）・販売を行う企業群。オンラインゲームの開発を主事業とする企業を除く</t>
  </si>
  <si>
    <t>総合・食品小売</t>
  </si>
  <si>
    <t>衣服、日用品、食品、家具等、多岐にわたる商品群を総合的な品揃えした小売店を多店舗展開している企業、または主に食料・飲料品を中心に扱う小売店を多店舗展開している企業群</t>
  </si>
  <si>
    <t>衣食住の多岐にわたる商品群を総合的に品揃え 、類似商品ごとに売り場に配置する大規模小売店を運営する企業群。セルフサービス方式の商店は除く</t>
  </si>
  <si>
    <t>不動産サービス,生活関連サービス</t>
  </si>
  <si>
    <t>ビルメンテナンス,クリーニング</t>
  </si>
  <si>
    <t>主に食料品、衣料品、日用品を総合的に品揃えをする大規模小売店で、セルフサービス方式にて販売する商店を運営する企業群。ウェアハウスクラブなどの超大型店も含む。これらの業態はハイパーマーケットとも呼ばれる。</t>
  </si>
  <si>
    <t>主に食料品を中心として販売する中規模以上の小売業で、セルフサービス方式にて販売する商店を運営する企業群</t>
  </si>
  <si>
    <t>主に食料品、日用品を中心に多品種の商品を取り扱う小規模小売店で、年中無休、長時間営業を基本とする商店を運営する企業群</t>
  </si>
  <si>
    <t>原則として現地通貨で均一価格の商品を販売する中小規模小売店を運営する企業群</t>
  </si>
  <si>
    <t>主に日用品、食料品を中心に扱い価格訴求をコンセプトとした小売業を運営する企業群。但し、家電量販店等の専門店、100円ショップ等を除く</t>
  </si>
  <si>
    <t>非金属採掘</t>
  </si>
  <si>
    <t>非金属の探鉱、鉱山開発、生産を行う企業群</t>
  </si>
  <si>
    <t>岩石・砂利の採取・精製の全てまたはその一部を行う企業群。墓石の製造も含む。鉄鋼石、石炭、石灰石など、資源として転用出来るものは除く</t>
  </si>
  <si>
    <t>酒類の販売を主とする商店を運営する企業群</t>
  </si>
  <si>
    <t>ガス及び石油を燃料とする給湯器・調理機器、ガスストーブ、石油ストーブのような暖房機器を製造する企業群</t>
  </si>
  <si>
    <t>DIY用品を中心として日用品、化粧品、園芸用品、ペット用品等を取り扱う中規模以上の小売店を運営する企業群</t>
  </si>
  <si>
    <t>医薬品を中心に扱う小売店を多店舗展開している企業群</t>
  </si>
  <si>
    <t>医療機関で発行された「処方せん」を基に、医療用医薬品の販売又は授与の目的で調剤する医療機関の運営を主事業とする企業群</t>
  </si>
  <si>
    <t>他社から受け入れた鉄成分を含有している金属から鋳造（溶解した鉄や銅などの金属を鋳型に流し込むことによって製品をつくる方法）によって機械用鋳物及び日用品などの鉄系鋳造品を製造する企業群</t>
  </si>
  <si>
    <t>主に医薬品、化粧品、日用品を中心に取り扱う小売業で、セルフサービス方式にて販売する商店を運営する企業群。ドラッグストアによる調剤薬局併設店を運営する企業も含むが、単独の調剤薬局は含まない</t>
  </si>
  <si>
    <t>衣料品、雑貨、スポーツ用品、装飾品、家具等、生活に関わる一部の商品を専門的に扱う小売店を多店舗展開している企業群</t>
  </si>
  <si>
    <t>低価格帯衣料を中心とするアパレル小売店を運営する企業群</t>
  </si>
  <si>
    <t>中-高価格帯衣料を中心とするアパレル小売店を運営する企業群</t>
  </si>
  <si>
    <t>電子製品に用いられる電子材料や高純度物質を製造する企業群</t>
  </si>
  <si>
    <t>紳士服を中心として扱うアパレル小売店を運営する企業群</t>
  </si>
  <si>
    <t>和服・和装小物の小売業（催事による直販・訪問販売を含む）または卸売業を営む企業群</t>
  </si>
  <si>
    <t>靴・履物を中心に扱う専門小売店を運営する企業及び卸売業を営む企業群</t>
  </si>
  <si>
    <t>合成繊維（ポリエステルやポリアミドなど）、半合成繊維（アセテートやプロミックスなど）および再生繊維（レーヨンやポリノジックなど）を製造する企業群。ガラス繊維、炭素繊維は含まない</t>
  </si>
  <si>
    <t>鞄・バッグを中心に扱う専門小売店（含むリサイクル店）を運営する企業群</t>
  </si>
  <si>
    <t>生活雑貨 (ハウスホールド用品含む) 、趣味雑貨を中心に扱う専門小売店を運営する企業群</t>
  </si>
  <si>
    <t>スポーツに関する衣料品・用品・用具を中心に扱う専門小売店を運営する企業群</t>
  </si>
  <si>
    <t>照明器具、電線、配線器具、配電盤等の電気関連資材を設備業者、工務店、住宅メーカー等に供給している企業群（総合商社は除く）</t>
  </si>
  <si>
    <t>生活用品小売,本・映像・ゲーム小売</t>
  </si>
  <si>
    <t>中古用品店,書店</t>
  </si>
  <si>
    <t>玩具・ベビー用品（哺乳瓶・ベビーカー、チャイルドシート等）を中心に扱う専門小売店を運営する企業群。TVゲーム等の家庭用ゲームソフトの販売を主とする専門小売店を除く</t>
  </si>
  <si>
    <t>宝石・貴金属を用いて作られた装身具（宝飾品）を中心に扱う小売業（企画・訪問販売を含む）を営む企業群（宝飾品、ブランド品のリセール事業も含む）</t>
  </si>
  <si>
    <t>眼鏡・コンタクトレンズを中心に扱う専門小売店を運営する企業群</t>
  </si>
  <si>
    <t>人工開発の影響が、水質、大気、地質などの環境に与える、または与えている影響を調査する企業群</t>
  </si>
  <si>
    <t>家庭用の家具（食器類、ベッド類、収納家具類等）やインテリア（カーテン、ブラインド、絨毯、カーペット、壁紙等）を中心に扱う専門小売店を運営する企業群</t>
  </si>
  <si>
    <t>美術品の店舗販売、催事等による直販、又はオークションによる販売を手掛ける企業群</t>
  </si>
  <si>
    <t>各種中古生活用品（衣料品、CD、ビデオ、書籍、ゲームソフト、楽器、家具、電気製品、日用品など）を仕入れ、それらを再販売する事業形態を取る企業群。中古車レンタルは含まない</t>
  </si>
  <si>
    <t>書籍、DVD、CD、ゲームソフト等のコンテンツ商品を主とした小売店を多店舗展開する企業群</t>
  </si>
  <si>
    <t>書籍小売店を運営する企業群。書籍に加え、CD・DVD等も扱う複合書店も含む</t>
  </si>
  <si>
    <t>楽器・音楽ソフト（レコード、CD）を中心に取り扱う小売店を運営する企業群</t>
  </si>
  <si>
    <t>細分類</t>
  </si>
  <si>
    <t>家電、通信機器等の商品を個人または法人に販売する企業群</t>
  </si>
  <si>
    <t>農業，林業</t>
  </si>
  <si>
    <t>家庭用電気製品の大量仕入れによる廉価販売を行う小売企業群。但し、パソコン及び周辺機器を専門に取り扱うパソコンショップ運営を主事業とする企業を除く</t>
  </si>
  <si>
    <t>新品・中古のパソコン及びパソコン周辺機器を専門に取り扱う小売店の運営を主事業とする企業群</t>
  </si>
  <si>
    <t>携帯電話などの通信端末販売および通信回線契約の取次を行う企業群</t>
  </si>
  <si>
    <t>自動車関連小売</t>
  </si>
  <si>
    <t>自動車、カー用品等、自動車に関わる商品の販売を行う企業群。ガソリンスタンドを含む</t>
  </si>
  <si>
    <t>自動車メーカーと直接・間接的に特約店を契約を結び自動車を販売する小売企業群。但し、中古車の販売を主とする中古車ディーラーは除く。</t>
  </si>
  <si>
    <t>自動二輪車メーカーと直接・間接的に特約店契約を結び、自動二輪車を販売する企業群。ただし、中古自動二輪車の販売を主とするディーラーは除く</t>
  </si>
  <si>
    <t>中古自動車・バイクの査定・買取・販売・輸出事業を行う企業群。</t>
  </si>
  <si>
    <t>自動車用品（タイヤ、ホイール、カーオーディオ、ライト等）やカーケア用品（カーワックス、補修剤、芳香剤等）を中心に販売する小売店を運営する企業群</t>
  </si>
  <si>
    <t>テレビ放送を通じた商品の販売を主事業とする企業群（放送事業者、製品の生産・製造を主としている企業は除く）</t>
  </si>
  <si>
    <t>化粧品及び健康食品の通信販売・訪問販売、又は専門店運営を主事業とする企業群</t>
  </si>
  <si>
    <t>主に、カタログ等のメディアを利用した衣料品や生活関連商品の通信販売を行う企業群</t>
  </si>
  <si>
    <t>010 管理，補助的経済活動を行う事業所</t>
  </si>
  <si>
    <t>0100 主として管理事務を行う本社等</t>
  </si>
  <si>
    <t>オンライン上における各種商品、サービスの販売を主たる業務とする企業群</t>
  </si>
  <si>
    <t>インターネット上において様々な物品・サービスを総合的に提供する企業群</t>
  </si>
  <si>
    <t>0109 その他の管理，補助的経済活動を行う事業所</t>
  </si>
  <si>
    <t>011 耕種農業</t>
  </si>
  <si>
    <t>0111 米作農業</t>
  </si>
  <si>
    <t>個人を対象に物品・サービスを販売するインターネットサイトのうち、電気製品、アパレルなど特定のカテゴリに特化したサイトを運営する企業群</t>
  </si>
  <si>
    <t>0112 米作以外の穀作農業</t>
  </si>
  <si>
    <t>0113 野菜作農業（きのこ類の栽培を含む）</t>
  </si>
  <si>
    <t>インターネット上での物品・サービスの売買を目的とし構築された電子商取引サイトのうち、主に企業群間取引を行うサイトを運営する企業群</t>
  </si>
  <si>
    <t>0114 果樹作農業</t>
  </si>
  <si>
    <t>0115 花き作農業</t>
  </si>
  <si>
    <t>0116 工芸農作物農業</t>
  </si>
  <si>
    <t>ボタンやファスナーなど、衣服を構成する中間財のうち織布や皮革以外のものを製造する企業群</t>
  </si>
  <si>
    <t>0117 ばれいしょ・かんしょ作農業</t>
  </si>
  <si>
    <t>婦人服の企画、製造、卸売を行う企業群。但し、ユニクロ等、他社への卸売を行わない企業は除く</t>
  </si>
  <si>
    <t>0119 その他の耕種農業</t>
  </si>
  <si>
    <t>012 畜産農業</t>
  </si>
  <si>
    <t>0121 酪農業</t>
  </si>
  <si>
    <t>0122 肉用牛生産業</t>
  </si>
  <si>
    <t>0123 養豚業</t>
  </si>
  <si>
    <t>0124 養鶏業</t>
  </si>
  <si>
    <t>0125 畜産類似業</t>
  </si>
  <si>
    <t>0126 養蚕農業</t>
  </si>
  <si>
    <t>紳士服の企画・製造・卸売を行う企業群。但し、ユニクロ等、他社への卸売を行わない企業は除く</t>
  </si>
  <si>
    <t>0129 その他の畜産農業</t>
  </si>
  <si>
    <t>013 農業サービス業（園芸サービス業を除く）</t>
  </si>
  <si>
    <t>0131 穀作サービス業</t>
  </si>
  <si>
    <t>0132 野菜作・果樹作サービス業</t>
  </si>
  <si>
    <t>0133 穀作，野菜作・果樹作以外の耕種サービス業</t>
  </si>
  <si>
    <t>0134 畜産サービス業（獣医業を除く）</t>
  </si>
  <si>
    <t>014 園芸サービス業</t>
  </si>
  <si>
    <t>ベビー服・子供服の企画、製造を中心に行う企業群。但し、SPA形式で小売まで行う企業も含む</t>
  </si>
  <si>
    <t>0141 園芸サービス業</t>
  </si>
  <si>
    <t>林業</t>
  </si>
  <si>
    <t>020 管理，補助的経済活動を行う事業所（02林業）</t>
  </si>
  <si>
    <t>0200 主として管理事務を行う本社等</t>
  </si>
  <si>
    <t>0209 その他の管理，補助的経済活動を行う事業所</t>
  </si>
  <si>
    <t>婦人用下着、ストッキング、紳士用下着、靴下の企画・製造・卸売を行う企業群。当該商品を主力とする製造小売企業（SPA)も含む</t>
  </si>
  <si>
    <t>021 育林業</t>
  </si>
  <si>
    <t>農業・園芸用として植物の種子や苗を生産・販売を行う企業群</t>
  </si>
  <si>
    <t>0211 育林業</t>
  </si>
  <si>
    <t>022 素材生産業</t>
  </si>
  <si>
    <t>0221 素材生産業</t>
  </si>
  <si>
    <t>023 特用林産物生産業（きのこ類の栽培を除く）</t>
  </si>
  <si>
    <t>オフィス用ユニフォーム（制服）、ワーキングウエア（作業服）の企画・製造・卸売を行う企業群。当該商品を主力とする製造小売業（SPA）を含む</t>
  </si>
  <si>
    <t>0231 製薪炭業</t>
  </si>
  <si>
    <t>0239 その他の特用林産物生産業（きのこ類の栽培を除く）</t>
  </si>
  <si>
    <t>婦人靴、紳士靴を企画・製造する企業群</t>
  </si>
  <si>
    <t>024 林業サービス業</t>
  </si>
  <si>
    <t>0241 育林サービス業</t>
  </si>
  <si>
    <t>0242 素材生産サービス業</t>
  </si>
  <si>
    <t>食品加工</t>
  </si>
  <si>
    <t>0243 山林種苗生産サービス業</t>
  </si>
  <si>
    <t>食品を加工・製造する企業群</t>
  </si>
  <si>
    <t>0249 その他の林業サービス業</t>
  </si>
  <si>
    <t>バッグ、及び和洋傘、ハンカチ・スカーフ等の装飾品等の企画・製造、又は輸入・卸売を行う企業群</t>
  </si>
  <si>
    <t>砂糖を製造する企業群</t>
  </si>
  <si>
    <t>029 その他の林業</t>
  </si>
  <si>
    <t>0299 その他の林業</t>
  </si>
  <si>
    <t>宝石・貴金属を用いて作られた装身具（宝飾品）を企画・製造・卸売を行う企業群</t>
  </si>
  <si>
    <t>漁業</t>
  </si>
  <si>
    <t>漁業（水産養殖業を除く）</t>
  </si>
  <si>
    <t>030 管理，補助的経済活動を行う事業所（03漁業）</t>
  </si>
  <si>
    <t>0300 主として管理事務を行う本社等</t>
  </si>
  <si>
    <t>0309 その他の管理，補助的経済活動を行う事業所</t>
  </si>
  <si>
    <t>031 海面漁業</t>
  </si>
  <si>
    <t>基礎化粧品、仕上げ化粧品（メイクアップ化粧品）、香水等の化粧品を、自社ブランドを主として製造・販売する企業群</t>
  </si>
  <si>
    <t>0311 底びき網漁業</t>
  </si>
  <si>
    <t>0312 まき網漁業</t>
  </si>
  <si>
    <t>0313 刺網漁業</t>
  </si>
  <si>
    <t>基礎化粧品、仕上げ化粧品（メイクアップ化粧品）、香水等の化粧品を、OEM(自社ブランドとは異なるブランドの商品）として受託製造する企業群</t>
  </si>
  <si>
    <t>パイプ、バルブ、継ぎ手、液体給水栓等、液体や気体を「通す」「止める」「絞る」ために必要な各種道具の卸売を行う企業群</t>
  </si>
  <si>
    <t>0314 釣・はえ縄漁業</t>
  </si>
  <si>
    <t>0315 定置網漁業</t>
  </si>
  <si>
    <t>中古用品</t>
  </si>
  <si>
    <t>0316 地びき網・船びき網漁業</t>
  </si>
  <si>
    <t>0317 採貝・採藻業</t>
  </si>
  <si>
    <t>0318 捕鯨業</t>
  </si>
  <si>
    <t>オーラルケア、シャンプー・リンス、生理用品等の日用品を製造する企業群</t>
  </si>
  <si>
    <t>0319 その他の海面漁業</t>
  </si>
  <si>
    <t>032 内水面漁業</t>
  </si>
  <si>
    <t>0321 内水面漁業</t>
  </si>
  <si>
    <t>主にオフィス向けの家具を製造する企業群。</t>
  </si>
  <si>
    <t>水産養殖業</t>
  </si>
  <si>
    <t>自動車内に装備されるシートを製造する企業群。シートの一部を構成するシートアジャスター、リクライナー機能や、シート用の布、レザーのみを製造する企業も含む</t>
  </si>
  <si>
    <t>040 管理，補助的経済活動を行う事業所（04水産養殖業）</t>
  </si>
  <si>
    <t>0400 主として管理事務を行う本社等</t>
  </si>
  <si>
    <t>0409 その他の管理，補助的経済活動を行う事業所</t>
  </si>
  <si>
    <t>主として家庭用家具を製造する企業群。但し、オフィスを除く各種施設（ホテル等）の家具を含む</t>
  </si>
  <si>
    <t>041 海面養殖業</t>
  </si>
  <si>
    <t>0411 魚類養殖業</t>
  </si>
  <si>
    <t>0412 貝類養殖業</t>
  </si>
  <si>
    <t>枕、布団・毛布等の寝具類を企画・製造・販売する企業群</t>
  </si>
  <si>
    <t>0413 藻類養殖業</t>
  </si>
  <si>
    <t>0414 真珠養殖業</t>
  </si>
  <si>
    <t>0415 種苗養殖業</t>
  </si>
  <si>
    <t>自社の車両組立工場を有し、自動車メーカーからの依頼に基づき、自社工場にて部品の組み立てを行い、完成車を生産する企業群。これらの企業群には車種ブランドの所有権がないため、設計やエンドユーザーへの販売に関しては決定権を持たない。</t>
  </si>
  <si>
    <t>カーテン、カーペット、壁紙、ブラインドなど建築物等の内部を構成する内装材・製品を製造、又は卸売を行う企業群</t>
  </si>
  <si>
    <t>0419 その他の海面養殖業</t>
  </si>
  <si>
    <t>042 内水面養殖業</t>
  </si>
  <si>
    <t>0421 内水面養殖業</t>
  </si>
  <si>
    <t>鉱業，採石業，砂利採取業</t>
  </si>
  <si>
    <t>050 管理，補助的経済活動を行う事業所（05鉱業，採石業，砂利採取業）</t>
  </si>
  <si>
    <t>日用品（洗剤、芳香剤、殺虫剤などのハウスホールド用品を含む）、生活雑貨、趣味雑貨の企画・製造・卸売を行う企業群。但し、製造は外部委託し、自社設備を所有しないファブレス企業を含む</t>
  </si>
  <si>
    <t>0500 主として管理事務を行う本社等</t>
  </si>
  <si>
    <t>0509 その他の管理，補助的経済活動を行う事業所</t>
  </si>
  <si>
    <t>051 金属鉱業</t>
  </si>
  <si>
    <t>0511 金・銀鉱業</t>
  </si>
  <si>
    <t>楽器（含む電気・電子楽器）を製造する企業群</t>
  </si>
  <si>
    <t>0512 鉛・亜鉛鉱業</t>
  </si>
  <si>
    <t>0513 鉄鉱業</t>
  </si>
  <si>
    <t>玩具（家庭用ゲーム機器、ゲームソフトを除く）を製造を行う企業群</t>
  </si>
  <si>
    <t>0519 その他の金属鉱業</t>
  </si>
  <si>
    <t>052 石炭・亜炭鉱業</t>
  </si>
  <si>
    <t>0521 石炭鉱業（石炭選別業を含む）</t>
  </si>
  <si>
    <t>0522 亜炭鉱業</t>
  </si>
  <si>
    <t>哺乳瓶、ベビーカー等の育児用品及び知育玩具を製造する企業群</t>
  </si>
  <si>
    <t>053 原油・天然ガス鉱業</t>
  </si>
  <si>
    <t>0531 原油鉱業</t>
  </si>
  <si>
    <t>0532 天然ガス鉱業</t>
  </si>
  <si>
    <t>054 採石業，砂・砂利・玉石採取業</t>
  </si>
  <si>
    <t>スポーツウエア、スポーツ用品（除くゴルフ関連用品）を製造する企業群</t>
  </si>
  <si>
    <t>0541 花こう岩・同類似岩石採石業</t>
  </si>
  <si>
    <t>0542 石英粗面岩・同類似岩石採石業</t>
  </si>
  <si>
    <t>0543 安山岩・同類似岩石採石業</t>
  </si>
  <si>
    <t>0544 大理石採石業</t>
  </si>
  <si>
    <t>0545 ぎょう灰岩採石業</t>
  </si>
  <si>
    <t>0546 砂岩採石業</t>
  </si>
  <si>
    <t>筆記用具、ファイル・バインダー、情報用紙、ホッチキス等の事務・文具用品を製造する企業群。但し、インクリボン、トナー等のOA機器サプライは除く</t>
  </si>
  <si>
    <t>0547 粘板岩採石業</t>
  </si>
  <si>
    <t>0548 砂・砂利・玉石採取業</t>
  </si>
  <si>
    <t>0549 その他の採石業，砂・砂利・玉石採取業</t>
  </si>
  <si>
    <t>055 窯業原料用鉱物鉱業（耐火物・陶磁器・ガラス・セメント原料用に限る）</t>
  </si>
  <si>
    <t>0551 耐火粘土鉱業</t>
  </si>
  <si>
    <t>ペットフード、ペット関連用品を製造または卸売を行う企業群</t>
  </si>
  <si>
    <t>0552 ろう石鉱業</t>
  </si>
  <si>
    <t>0553 ドロマイト鉱業</t>
  </si>
  <si>
    <t>0554 長石鉱業</t>
  </si>
  <si>
    <t>冠婚葬祭、クリーニング、エステ等、生活全般に関わる各種サービスを提供する企業群</t>
  </si>
  <si>
    <t>0555 けい石鉱業</t>
  </si>
  <si>
    <t>結婚式場の運営、結婚式プロデュース、婚礼衣装・備品の賃貸・販売、結婚紹介サービスの提供等、結婚・婚礼に関連したサービス業を営む企業群。ホテルの運営を主とする企業は除く</t>
  </si>
  <si>
    <t>0556 天然けい砂鉱業</t>
  </si>
  <si>
    <t>0557 石灰石鉱業</t>
  </si>
  <si>
    <t>学習塾、語学学校等の各種教育機関の運営（通信教育を含む）、またはその教材を作成する企業群</t>
  </si>
  <si>
    <t>0559 その他の窯業原料用鉱物鉱業</t>
  </si>
  <si>
    <t>学習塾（義務教育課程にある児童・生徒を対象に学習の補助や進学指導を行う教育施設）または予備校（高校生以上を対象とし、大学等への進学のための指導を行う教育施設）を運営する企業群</t>
  </si>
  <si>
    <t>059 その他の鉱業</t>
  </si>
  <si>
    <t>0591 酸性白土鉱業</t>
  </si>
  <si>
    <t>0592 ベントナイト鉱業</t>
  </si>
  <si>
    <t>0歳から6歳児の子供を対象とした保育所等の運営を中心に、ベビーシッター事業等の子育て関連のサービス業務を展開している企業群</t>
  </si>
  <si>
    <t>0593 けいそう土鉱業</t>
  </si>
  <si>
    <t>0594 滑石鉱業</t>
  </si>
  <si>
    <t>0599 他に分類されない鉱業</t>
  </si>
  <si>
    <t>大学、専門学校などの教育機関を運営する企業群。但し、学習塾・予備校、語学学校、資格学校の運営、及び企業研修を行う企業を除く</t>
  </si>
  <si>
    <t>総合工事業</t>
  </si>
  <si>
    <t>060 管理，補助的経済活動を行う事業所（06総合工事業）</t>
  </si>
  <si>
    <t>0600 主として管理事務を行う本社等</t>
  </si>
  <si>
    <t>主に社会人または就職を控えた学生を対象として、スキルアップまたは資格取得のための指導を行う企業群。但し、語学学校や企業研修は含まない</t>
  </si>
  <si>
    <t>0609 その他の管理，補助的経済活動を行う事業所</t>
  </si>
  <si>
    <t>061 一般土木建築工事業</t>
  </si>
  <si>
    <t>0611 一般土木建築工事業</t>
  </si>
  <si>
    <t>語学の習得補助を目的とした学校運営または通信教育を行う企業群</t>
  </si>
  <si>
    <t>062 土木工事業（舗装工事業を除く）</t>
  </si>
  <si>
    <t>0621 土木工事業(別掲を除く)</t>
  </si>
  <si>
    <t>小中高生向けの学習教材を企画・制作する企業群</t>
  </si>
  <si>
    <t>0622 造園工事業</t>
  </si>
  <si>
    <t>0623 しゅんせつ工事業</t>
  </si>
  <si>
    <t>旅行・宿泊</t>
  </si>
  <si>
    <t>ホテル、旅館等の各種宿泊施設を運営する企業群、または各種旅行商品を扱う旅行代理店を営む企業群</t>
  </si>
  <si>
    <t>063 舗装工事業</t>
  </si>
  <si>
    <t>興行主からの委託によりチケットを一般消費者に販売し、興行主から手数料を得ることで収益を得るチケット取次業を行う企業群</t>
  </si>
  <si>
    <t>交通・宿泊・その他の旅行商品を、仲介あるいは自社で企画・催行して販売する事業を営む企業群</t>
  </si>
  <si>
    <t>0631 舗装工事業</t>
  </si>
  <si>
    <t>064 建築工事業(木造建築工事業を除く)</t>
  </si>
  <si>
    <t>0641 建築工事業(木造建築工事業を除く)</t>
  </si>
  <si>
    <t>ホテル・旅館等の宿泊施設の運営を主事業とする企業群。ホテル等の運営を主たる事業としない企業は除く</t>
  </si>
  <si>
    <t>065 木造建築工事業</t>
  </si>
  <si>
    <t>0651 木造建築工事業</t>
  </si>
  <si>
    <t>066 建築リフォーム工事業</t>
  </si>
  <si>
    <t>歴史ある庭園などの景観地の運営や管理を行う企業群</t>
  </si>
  <si>
    <t>0661 建築リフォーム工事業</t>
  </si>
  <si>
    <t>大豆油、なたね油等、植物の圧縮・抽出により食用油を製造する企業群</t>
  </si>
  <si>
    <t>職別工事業(設備工事業を除く)</t>
  </si>
  <si>
    <t>070 管理，補助的経済活動を行う事業所（07職別工事業）</t>
  </si>
  <si>
    <t>0700 主として管理事務を行う本社等</t>
  </si>
  <si>
    <t>カジノ、ゲームセンター、パチンコホール等の娯楽施設、ボウリング場、フットサル場等のスポーツレジャー施設、それらの複合施設等を運営する企業群</t>
  </si>
  <si>
    <t>0709 その他の管理，補助的経済活動を行う事業所</t>
  </si>
  <si>
    <t>071 大工工事業</t>
  </si>
  <si>
    <t>主として個室内でカラオケを楽しむことを目的とした娯楽施設（カラオケボックス）の運営を行う企業群</t>
  </si>
  <si>
    <t>0711 大工工事業(型枠大工工事業を除く)</t>
  </si>
  <si>
    <t>0712 型枠大工工事業</t>
  </si>
  <si>
    <t>072 とび・土工・コンクリート工事業</t>
  </si>
  <si>
    <t>インターネットカフェ、マンガ喫茶、複合カフェ（インターネット利用、マンガ閲覧、マッサージ等のリラクゼーション等の複数のサービスを提供するカフェ）を運営する企業群</t>
  </si>
  <si>
    <t>建築物に使用される金属製の部材、資材を製造する企業群。但し、構造用の鉄骨、鉄筋、使用量が多く単一市場として成立しているアルミサッシ、シャッターは本業界から除く</t>
  </si>
  <si>
    <t>0721 とび工事業</t>
  </si>
  <si>
    <t>0722 土工・コンクリート工事業</t>
  </si>
  <si>
    <t>0723 特殊コンクリート工事業</t>
  </si>
  <si>
    <t>トレーニングジム、スタジオ、室内プール等の運動施設を有し、インストラクター、トレーナー等の指導員より運動指導を受ける施設（ヨガスタジオを含む）を運営する企業群</t>
  </si>
  <si>
    <t>073 鉄骨・鉄筋工事業</t>
  </si>
  <si>
    <t>0731 鉄骨工事業</t>
  </si>
  <si>
    <t>0732 鉄筋工事業</t>
  </si>
  <si>
    <t>ゴルフ場の保有・運営、ゴルフ場を併設したリゾート施設の運営をコア事業の一つとする企業群。ゴルフ場の運営をノンコア事業として営む企業は除く</t>
  </si>
  <si>
    <t>074 石工・れんが・タイル・ブロック工事業</t>
  </si>
  <si>
    <t>0741 石工工事業</t>
  </si>
  <si>
    <t>ベアリング（回転または往復運動する軸を支える機械部品、軸受とも言う）の製造を主要業務とする企業群。リニアガイド、ボールねじなどを含む</t>
  </si>
  <si>
    <t>0742 れんが工事業</t>
  </si>
  <si>
    <t>0743 タイル工事業</t>
  </si>
  <si>
    <t>0744 コンクリートブロック工事業</t>
  </si>
  <si>
    <t>075 左官工事業</t>
  </si>
  <si>
    <t>0751 左官工事業</t>
  </si>
  <si>
    <t>葬儀場・霊園の運営、葬儀の請負及び葬儀関連サービスの提供（供花の販売、写真加工等）等の葬祭関連事業を営む企業群</t>
  </si>
  <si>
    <t>076 板金・金物工事業</t>
  </si>
  <si>
    <t>0761 金属製屋根工事業</t>
  </si>
  <si>
    <t>0762 板金工事業</t>
  </si>
  <si>
    <t>0763 建築金物工事業</t>
  </si>
  <si>
    <t>クリーニング事業を営む企業群。主に法人向けに繊維製品の貸与、回収、洗濯を繰り返すリネンサプライ事業は除く</t>
  </si>
  <si>
    <t>エンジン部品である燃料噴射装置、燃料ポンプ、ラジエーター、ピストン、ピストンリング等の部品を製造する企業群。</t>
  </si>
  <si>
    <t>077 塗装工事業</t>
  </si>
  <si>
    <t>0771 塗装工事業（道路標示・区画線工事業を除く）</t>
  </si>
  <si>
    <t>0772 道路標示・区画線工事業</t>
  </si>
  <si>
    <t>078 床・内装工事業</t>
  </si>
  <si>
    <t>美容院またはエステティックサロンの運営を主事業とする企業群</t>
  </si>
  <si>
    <t>0781 床工事業</t>
  </si>
  <si>
    <t>0782 内装工事業</t>
  </si>
  <si>
    <t>カツラの製造・販売、育毛・発毛サービス等、毛髪に関わるサービスを提供する企業群。但し、床屋、美容院等は企業は除く</t>
  </si>
  <si>
    <t>079 その他の職別工事業</t>
  </si>
  <si>
    <t>0791 ガラス工事業</t>
  </si>
  <si>
    <t>特定の敷地内において、物を運搬する車両であるフォークリフトを製造する企業群。構内運搬車、構内牽引車等を含む</t>
  </si>
  <si>
    <t>0792 金属製建具工事業</t>
  </si>
  <si>
    <t>0793 木製建具工事業</t>
  </si>
  <si>
    <t>入浴サービスに加え、飲食や商業娯楽サービスの提供をするなどの機能を備えた大型温泉複合施設（スパリゾート、スーパー銭湯）を運営する企業群</t>
  </si>
  <si>
    <t>0794 屋根工事業（金属製屋根工事業を除く）</t>
  </si>
  <si>
    <t>0795 防水工事業</t>
  </si>
  <si>
    <t>0796 はつり・解体工事業</t>
  </si>
  <si>
    <t>写真館の運営、写真フイルムの現像・焼き付け・引き伸ばし（DPE）、またはパンフレット・アルバム等の写真加工受託を営む企業群</t>
  </si>
  <si>
    <t>0799 他に分類されない職別工事業</t>
  </si>
  <si>
    <t>設備工事業</t>
  </si>
  <si>
    <t>080 管理，補助的経済活動を行う事業所（08設備工事業）</t>
  </si>
  <si>
    <t>0800 主として管理事務を行う本社等</t>
  </si>
  <si>
    <t>入場料をとり、アトラクション・パレード・イベント等を組み合わせ提供する大型娯楽施設（遊園地など）を運営する企業群</t>
  </si>
  <si>
    <t>0809 その他の管理，補助的経済活動を行う事業所</t>
  </si>
  <si>
    <t>081 電気工事業</t>
  </si>
  <si>
    <t>0811 一般電気工事業</t>
  </si>
  <si>
    <t>0812 電気配線工事業</t>
  </si>
  <si>
    <t>映画館・シネマコンプレックス、劇場（演劇、音楽、スポーツ、演芸、イベント等を行う会場）を運営する企業群</t>
  </si>
  <si>
    <t>082 電気通信・信号装置工事業</t>
  </si>
  <si>
    <t>0821 電気通信工事業（有線テレビジョン放送設備設置工事業を除く）</t>
  </si>
  <si>
    <t>0822 有線テレビジョン放送設備設置工事業</t>
  </si>
  <si>
    <t>スポーツチームの保有や運営によって、興行収入や放映権収入を得る企業群</t>
  </si>
  <si>
    <t>0823 信号装置工事業</t>
  </si>
  <si>
    <t>083 管工事業（さく井工事業を除く）</t>
  </si>
  <si>
    <t>0831 一般管工事業</t>
  </si>
  <si>
    <t>0832 冷暖房設備工事業</t>
  </si>
  <si>
    <t>0833 給排水・衛生設備工事業</t>
  </si>
  <si>
    <t>0839 その他の管工事業</t>
  </si>
  <si>
    <t>フルーツや野菜などの農場の運営主体として農業に従事する企業群や外部の農場運営を支援する企業群。畜産業を除く</t>
  </si>
  <si>
    <t>084 機械器具設置工事業</t>
  </si>
  <si>
    <t>0841 機械器具設置工事業（昇降設備工事業を除く）</t>
  </si>
  <si>
    <t>0842 昇降設備工事業</t>
  </si>
  <si>
    <t>089 その他の設備工事業</t>
  </si>
  <si>
    <t>0891 築炉工事業</t>
  </si>
  <si>
    <t>0892 熱絶縁工事業</t>
  </si>
  <si>
    <t>0893 道路標識設置工事業</t>
  </si>
  <si>
    <t>0894 さく井工事業</t>
  </si>
  <si>
    <t>畜産・養殖用の餌として複数の原材料を調合した飼料を製造する企業群</t>
  </si>
  <si>
    <t>製造業</t>
  </si>
  <si>
    <t>茶類、コーヒーのプランテーション栽培を行う企業群</t>
  </si>
  <si>
    <t>食料品製造業</t>
  </si>
  <si>
    <t>090 管理，補助的経済活動を行う事業所（09食料品製造業）</t>
  </si>
  <si>
    <t>電気・ガス・熱供給・水道業</t>
  </si>
  <si>
    <t>0900 主として管理事務を行う本社等</t>
  </si>
  <si>
    <t>情報通信業</t>
  </si>
  <si>
    <t>小麦粉、米穀粉、澱粉を製造する企業群</t>
  </si>
  <si>
    <t>0909 その他の管理，補助的経済活動を行う事業所</t>
  </si>
  <si>
    <t>運輸業，郵便業</t>
  </si>
  <si>
    <t>091 畜産食料品製造業</t>
  </si>
  <si>
    <t>卸売業，小売業</t>
  </si>
  <si>
    <t>0911 部分肉・冷凍肉製造業</t>
  </si>
  <si>
    <t>金融業，保険業</t>
  </si>
  <si>
    <t>0912 肉加工品製造業</t>
  </si>
  <si>
    <t>牛乳、クリーム、ヨーグルト、バター、チーズ、アイスクリーム等、乳類を主要原料とする食品を製造する企業群</t>
  </si>
  <si>
    <t>不動産業，物品賃貸業</t>
  </si>
  <si>
    <t>0913 処理牛乳・乳飲料製造業</t>
  </si>
  <si>
    <t>学術研究，専門・技術サービス業</t>
  </si>
  <si>
    <t>ハム、ソーセージなど食肉加工品を製造する企業群。畜産および食肉解体事業と一体的に行う事業者を除く</t>
  </si>
  <si>
    <t>0914 乳製品製造業（処理牛乳，乳飲料を除く）</t>
  </si>
  <si>
    <t>宿泊業，飲食サービス業</t>
  </si>
  <si>
    <t>0919 その他の畜産食料品製造業</t>
  </si>
  <si>
    <t>液卵や凍結卵等、食品工業や外食産業に用いる鶏卵の一次加工を主に行う企業群</t>
  </si>
  <si>
    <t>生活関連サービス業，娯楽業</t>
  </si>
  <si>
    <t>092 水産食料品製造業</t>
  </si>
  <si>
    <t>教育，学習支援業</t>
  </si>
  <si>
    <t>0921 水産缶詰・瓶詰製造業</t>
  </si>
  <si>
    <t>医療，福祉</t>
  </si>
  <si>
    <t>水産動植物を主原料とする食品を製造する企業群。取り扱い製品として、缶詰製品、ねり製品、塩蔵品、燻製品、節製品等を含む</t>
  </si>
  <si>
    <t>0922 海藻加工業</t>
  </si>
  <si>
    <t>複合サービス事業</t>
  </si>
  <si>
    <t>0923 水産練製品製造業</t>
  </si>
  <si>
    <t>インスタントラーメン等、即席めんを製造する企業群</t>
  </si>
  <si>
    <t>サービス業（他に分類されないもの）</t>
  </si>
  <si>
    <t>0924 塩干・塩蔵品製造業</t>
  </si>
  <si>
    <t>公務（他に分類されるものを除く）</t>
  </si>
  <si>
    <t>パンやペストリー等を製造する企業群</t>
  </si>
  <si>
    <t>0925 冷凍水産物製造業</t>
  </si>
  <si>
    <t>分類不能の産業</t>
  </si>
  <si>
    <t>0926 冷凍水産食品製造業</t>
  </si>
  <si>
    <t>0929 その他の水産食料品製造業</t>
  </si>
  <si>
    <t>饅頭、チョコレート、キャンディ、スナック、シリアル等、和洋菓子や冷菓等を製造する企業群。ただし、乳類を主原料とするアイスクリームは除く</t>
  </si>
  <si>
    <t>093 野菜缶詰・果実缶詰・農産保存食料品製造業</t>
  </si>
  <si>
    <t>0931 野菜缶詰・果実缶詰・農産保存食料品製造業（野菜漬物を除く）</t>
  </si>
  <si>
    <t>0932 野菜漬物製造業（缶詰，瓶詰，つぼ詰を除く）</t>
  </si>
  <si>
    <t>醤油、胡椒、マヨネーズ、ドレッシング、ソースなど各種調味料を製造する企業群</t>
  </si>
  <si>
    <t>094 調味料製造業</t>
  </si>
  <si>
    <t>0941 味そ製造業</t>
  </si>
  <si>
    <t>0942 しょう油・食用アミノ酸製造業</t>
  </si>
  <si>
    <t>0943 ソース製造業</t>
  </si>
  <si>
    <t>インスタントカレー・シチュー、パスタソース、お茶漬けの素、ふりかけ等、調味食品やレトルト食品を製造する企業群。電子レンジのみで調理可能な調理済食品を主に製造する企業群を含む</t>
  </si>
  <si>
    <t>0944 食酢製造業</t>
  </si>
  <si>
    <t>0949 その他の調味料製造業</t>
  </si>
  <si>
    <t>095 糖類製造業</t>
  </si>
  <si>
    <t>冷凍処理された加工食品を製造・販売を行う企業群。ただし、アイスクリームを除く</t>
  </si>
  <si>
    <t>0951 砂糖製造業（砂糖精製業を除く）</t>
  </si>
  <si>
    <t>0952 砂糖精製業</t>
  </si>
  <si>
    <t>0953 ぶどう糖・水あめ・異性化糖製造業</t>
  </si>
  <si>
    <t>漬物、煮豆、佃煮、豆腐、納豆、なめ茸、包装餅等発酵食品を製造する企業群</t>
  </si>
  <si>
    <t>096 精穀・製粉業</t>
  </si>
  <si>
    <t>0961 精米・精麦業</t>
  </si>
  <si>
    <t>テイクアウト・デリバリー,持ち帰り・回転寿司</t>
  </si>
  <si>
    <t>0962 小麦粉製造業</t>
  </si>
  <si>
    <t>主にコンビニエンスストア・スーパー、外食産業等に向けに、おにぎり、弁当、惣菜（含む漬物、カット野菜）を製造・供給する企業群</t>
  </si>
  <si>
    <t>0969 その他の精穀・製粉業</t>
  </si>
  <si>
    <t>097 パン・菓子製造業</t>
  </si>
  <si>
    <t>不動産サービス</t>
  </si>
  <si>
    <t>健康維持・増進を目的とする食品を企画または製造する企業群。特定保健用食品やサプリメント類、美容・ダイエット食品、機能性清涼飲料を含む</t>
  </si>
  <si>
    <t>0971 パン製造業</t>
  </si>
  <si>
    <t>不動産オーナーや開発、建設業者等に対して、建物の維持管理の請負、運営受託、修理、調査・コンサルティング等、各種サービスを提供する企業群</t>
  </si>
  <si>
    <t>0972 生菓子製造業</t>
  </si>
  <si>
    <t>自ら保有する、もしくは運営委託を受けた有料道路に関して、その料金徴収・保守などを行う企業群</t>
  </si>
  <si>
    <t>畜産・水産業</t>
  </si>
  <si>
    <t>畜産業、水産業など食糧品の一次生産を行う企業群</t>
  </si>
  <si>
    <t>0973 ビスケット類・干菓子製造業</t>
  </si>
  <si>
    <t>食肉を生産・処理・販売する企業群。鶏卵は除く</t>
  </si>
  <si>
    <t>0974 米菓製造業</t>
  </si>
  <si>
    <t>0979 その他のパン・菓子製造業</t>
  </si>
  <si>
    <t>098 動植物油脂製造業</t>
  </si>
  <si>
    <t>漁を行い魚などの水産物を捕獲もしくは、養殖によって育成した成体、冷凍魚を販売する企業群</t>
  </si>
  <si>
    <t>0981 動植物油脂製造業（食用油脂加工業を除く）</t>
  </si>
  <si>
    <t>0982 食用油脂加工業</t>
  </si>
  <si>
    <t>099 その他の食料品製造業</t>
  </si>
  <si>
    <t>鶏卵</t>
  </si>
  <si>
    <t>卵を生産する企業群</t>
  </si>
  <si>
    <t>0991 でんぷん製造業</t>
  </si>
  <si>
    <t>0992 めん類製造業</t>
  </si>
  <si>
    <t>0993 豆腐・油揚製造業</t>
  </si>
  <si>
    <t>0994 あん類製造業</t>
  </si>
  <si>
    <t>コーラ類、果汁・野菜ジュース、ミネラルウォーター、コーヒー・茶等、アルコールを含まない飲料を製造する企業群</t>
  </si>
  <si>
    <t>0995 冷凍調理食品製造業</t>
  </si>
  <si>
    <t>0996 そう（惣）菜製造業</t>
  </si>
  <si>
    <t>ビール等の酒類を製造する企業群</t>
  </si>
  <si>
    <t>0997 すし・弁当・調理パン製造業</t>
  </si>
  <si>
    <t>0998 レトルト食品製造業</t>
  </si>
  <si>
    <t>0999 他に分類されない食料品製造業</t>
  </si>
  <si>
    <t>飲料・たばこ・飼料製造業</t>
  </si>
  <si>
    <t>100 管理，補助的経済活動を行う事業所（10飲料・たばこ・飼料製造業）</t>
  </si>
  <si>
    <t>1000 主として管理事務を行う本社等</t>
  </si>
  <si>
    <t>1009 その他の管理，補助的経済活動を行う事業所</t>
  </si>
  <si>
    <t>ワイン、その他の醸造酒等の種類を製造する企業群</t>
  </si>
  <si>
    <t>101 清涼飲料製造業</t>
  </si>
  <si>
    <t>1011 清涼飲料製造業</t>
  </si>
  <si>
    <t>102 酒類製造業</t>
  </si>
  <si>
    <t>ウイスキー、スピリッツ類、リキュール類を製造する企業群</t>
  </si>
  <si>
    <t>1021 果実酒製造業</t>
  </si>
  <si>
    <t>1022 ビール類製造業</t>
  </si>
  <si>
    <t>1023 清酒製造業</t>
  </si>
  <si>
    <t>1024 蒸留酒・混成酒製造業</t>
  </si>
  <si>
    <t>103 茶・コーヒー製造業（清涼飲料を除く）</t>
  </si>
  <si>
    <t>1031 製茶業</t>
  </si>
  <si>
    <t>1032 コーヒー製造業</t>
  </si>
  <si>
    <t>鉄鉱石採掘</t>
  </si>
  <si>
    <t>鉄鉱石の探鉱・鉱山開発・採掘を行う企業群</t>
  </si>
  <si>
    <t>104 製氷業</t>
  </si>
  <si>
    <t>1041 製氷業</t>
  </si>
  <si>
    <t>105 たばこ製造業</t>
  </si>
  <si>
    <t>銅鉱石採掘</t>
  </si>
  <si>
    <t>銅の探鉱・鉱山開発・採掘を行う企業群</t>
  </si>
  <si>
    <t>1051 たばこ製造業（葉たばこ処理業を除く)</t>
  </si>
  <si>
    <t>1052 葉たばこ処理業</t>
  </si>
  <si>
    <t>106 飼料・有機質肥料製造業</t>
  </si>
  <si>
    <t>貴金属採掘・精錬</t>
  </si>
  <si>
    <t>金、銀、プラチナ、ダイヤモンドなど貴金属の探鉱・鉱山開発・採掘、精錬を行う企業群</t>
  </si>
  <si>
    <t>1061 配合飼料製造業</t>
  </si>
  <si>
    <t>アルミニウム・ボーキサイト採掘</t>
  </si>
  <si>
    <t>アルミニウム(ボーキサイト)の探鉱・鉱山開発・採掘を行う企業群</t>
  </si>
  <si>
    <t>1062 単体飼料製造業</t>
  </si>
  <si>
    <t>1063 有機質肥料製造業</t>
  </si>
  <si>
    <t>繊維工業</t>
  </si>
  <si>
    <t>レアメタル</t>
  </si>
  <si>
    <t>110 管理，補助的経済活動を行う事業所（11繊維工業）</t>
  </si>
  <si>
    <t>レアメタルの採掘・精錬・販売を行う企業群。レアメタルとは、コバルト、チタン、ニオブ、バナジウム、レアアース（希土類元素）など流通・使用量が少ない非鉄金属を指す</t>
  </si>
  <si>
    <t>1100 主として管理事務を行う本社等</t>
  </si>
  <si>
    <t>1109 その他の管理，補助的経済活動を行う事業所</t>
  </si>
  <si>
    <t>111 製糸業，紡績業，化学繊維・ねん糸等製造業</t>
  </si>
  <si>
    <t>その他金属採掘</t>
  </si>
  <si>
    <t>亜鉛、ニッケル、鉛、錫、クロムなどその他の金属の探鉱・鉱山開発・採掘を行う企業群</t>
  </si>
  <si>
    <t>1111 製糸業</t>
  </si>
  <si>
    <t>1112 化学繊維製造業</t>
  </si>
  <si>
    <t>1113 炭素繊維製造業</t>
  </si>
  <si>
    <t>1114 綿紡績業</t>
  </si>
  <si>
    <t>1115 化学繊維紡績業</t>
  </si>
  <si>
    <t>1116 毛紡績業</t>
  </si>
  <si>
    <t>1117 ねん糸製造業（かさ高加工糸を除く）</t>
  </si>
  <si>
    <t>アルミ等の金属を主要原料とする容器（食料缶、ドラム缶等）の製造を主要業務とする企業群。但し、飲料缶は除く</t>
  </si>
  <si>
    <t>石炭開発サービス</t>
  </si>
  <si>
    <t>1118 かさ高加工糸製造業</t>
  </si>
  <si>
    <t>石炭開発における、探鉱、掘削、物流支援、機器レンタル、人材支援などのサービスの全部、または一部を石炭資源開発会社に対して提供する企業群</t>
  </si>
  <si>
    <t>1119 その他の紡績業</t>
  </si>
  <si>
    <t>112 織物業</t>
  </si>
  <si>
    <t>1121 綿・スフ織物業</t>
  </si>
  <si>
    <t>1122 絹・人絹織物業</t>
  </si>
  <si>
    <t>1123 毛織物業</t>
  </si>
  <si>
    <t>1124 麻織物業</t>
  </si>
  <si>
    <t>銅、アルミニウム及びその合金のさお、線から裸電線、絶縁電線又はケーブルの製造を主要業務とする企業群</t>
  </si>
  <si>
    <t>1125 細幅織物業</t>
  </si>
  <si>
    <t>1129 その他の織物業</t>
  </si>
  <si>
    <t>113 ニット生地製造業</t>
  </si>
  <si>
    <t>1131 丸編ニット生地製造業</t>
  </si>
  <si>
    <t>木造建物用の骨組み資材等、木材を利用した建材・建築資材を製造・販売する企業群</t>
  </si>
  <si>
    <t>1132 たて編ニット生地製造業</t>
  </si>
  <si>
    <t>1133 横編ニット生地製造業</t>
  </si>
  <si>
    <t>114 染色整理業</t>
  </si>
  <si>
    <t>1141 綿・スフ・麻織物機械染色業</t>
  </si>
  <si>
    <t>プラスチック床材、壁紙等、樹脂を主原料とする建材・建築資材を製造・販売する企業群</t>
  </si>
  <si>
    <t>1142 絹・人絹織物機械染色業</t>
  </si>
  <si>
    <t>1143 毛織物機械染色整理業</t>
  </si>
  <si>
    <t>1144 織物整理業</t>
  </si>
  <si>
    <t>1145 織物手加工染色整理業</t>
  </si>
  <si>
    <t>医療関連専門卸</t>
  </si>
  <si>
    <t>1146 綿状繊維・糸染色整理業</t>
  </si>
  <si>
    <t>1147 ニット・レース染色整理業</t>
  </si>
  <si>
    <t>1148 繊維雑品染色整理業</t>
  </si>
  <si>
    <t>115 綱・網・レース・繊維粗製品製造業</t>
  </si>
  <si>
    <t>建築の基礎と使われるコンクリートから、PCカーテンウォール等、セメントを主原料とする建材、建築資材を製造する企業群</t>
  </si>
  <si>
    <t>1151 綱製造業</t>
  </si>
  <si>
    <t>1152 漁網製造業</t>
  </si>
  <si>
    <t>1153 網地製造業（漁網を除く）</t>
  </si>
  <si>
    <t>1154 レース製造業</t>
  </si>
  <si>
    <t>1155 組ひも製造業</t>
  </si>
  <si>
    <t>1156 整毛業</t>
  </si>
  <si>
    <t>1157 フェルト・不織布製造業</t>
  </si>
  <si>
    <t>1158 上塗りした織物・防水した織物製造業</t>
  </si>
  <si>
    <t>1159 その他の繊維粗製品製造業</t>
  </si>
  <si>
    <t>116 外衣・シャツ製造業（和式を除く）</t>
  </si>
  <si>
    <t>1161 織物製成人男子・少年服製造業（不織布製及びレース製を含む）</t>
  </si>
  <si>
    <t>1162 織物製成人女子・少女服製造業（不織布製及びレース製を含む）</t>
  </si>
  <si>
    <t>建材・建築資材（シャッター）</t>
  </si>
  <si>
    <t>工場、倉庫、住宅等で利用されるシャッターの製造・販売を行う企業群</t>
  </si>
  <si>
    <t>1163 織物製乳幼児服製造業（不織布製及びレース製を含む）</t>
  </si>
  <si>
    <t>1164 織物製シャツ製造業（不織布製及びレース製を含み、下着を除く）</t>
  </si>
  <si>
    <t>1165 織物製事務用・作業用・衛生用・スポーツ用衣服・学校服製造業（不織布製及びレース製を含む）</t>
  </si>
  <si>
    <t>1166 ニット製外衣製造業（アウターシャツ類，セーター類などを除く）</t>
  </si>
  <si>
    <t>1167 ニット製アウターシャツ類製造業</t>
  </si>
  <si>
    <t>1168 セーター類製造業</t>
  </si>
  <si>
    <t>1169 その他の外衣・シャツ製造業</t>
  </si>
  <si>
    <t>117 下着類製造業</t>
  </si>
  <si>
    <t>1171 織物製下着製造業</t>
  </si>
  <si>
    <t>1172 ニット製下着製造業</t>
  </si>
  <si>
    <t>1173 織物製・ニット製寝着類製造業</t>
  </si>
  <si>
    <t>システムキッチン（流し台や調理台、コンロ、収納スペース等の複数のキャビネットを、天板（ワークトップ）で一体化させたキッチンセット）を製造、販売する企業群</t>
  </si>
  <si>
    <t>1174 補整着製造業</t>
  </si>
  <si>
    <t>118 和装製品・その他の衣服・繊維製身の回り品製造業</t>
  </si>
  <si>
    <t>1181 和装製品製造業（足袋を含む）</t>
  </si>
  <si>
    <t>1182 ネクタイ製造業</t>
  </si>
  <si>
    <t>1183 スカーフ・マフラー・ハンカチーフ製造業</t>
  </si>
  <si>
    <t>窒素、リン酸、カリ等を要素とする肥料（植物の栄養に供することを目的としてほどこされる物）を製造する企業群。有機肥料、無機肥料全て含む</t>
  </si>
  <si>
    <t>電気炉を用いて、鉄スクラップを原料とした普通鋼を生産する企業群</t>
  </si>
  <si>
    <t>特殊鋼電炉</t>
  </si>
  <si>
    <t>普通鋼（電気炉を用いて、鉄スクラップを原料として生産）に合金鉄を加えた特殊鋼を少量多品種生産する企業群</t>
  </si>
  <si>
    <t>1184 靴下製造業</t>
  </si>
  <si>
    <t>1185 手袋製造業</t>
  </si>
  <si>
    <t>合金鉄電炉</t>
  </si>
  <si>
    <t>1186 帽子製造業（帽体を含む）</t>
  </si>
  <si>
    <t>電炉を用いて合金鉄（鉄とその他の元素による合金）を生産する企業群</t>
  </si>
  <si>
    <t>1189 他に分類されない衣服・繊維製身の回り品製造業</t>
  </si>
  <si>
    <t>119 その他の繊維製品製造業</t>
  </si>
  <si>
    <t>直接還元炉</t>
  </si>
  <si>
    <t>自転車を製造する企業群。但し、ギアなどの部品のみを製造する企業、小売まで行う企業も含む。</t>
  </si>
  <si>
    <t>1191 寝具製造業</t>
  </si>
  <si>
    <t>天然ガス等の還元剤により鉄鉱石を還元する製鉄法で、直接還元鉄（DRI）を生産する企業群</t>
  </si>
  <si>
    <t>1192 毛布製造業</t>
  </si>
  <si>
    <t>1193 じゅうたん・その他の繊維製床敷物製造業</t>
  </si>
  <si>
    <t>1194 帆布製品製造業</t>
  </si>
  <si>
    <t>1195 繊維製袋製造業</t>
  </si>
  <si>
    <t>1196 刺しゅう業</t>
  </si>
  <si>
    <t>1197 タオル製造業</t>
  </si>
  <si>
    <t>1198 繊維製衛生材料製造業</t>
  </si>
  <si>
    <t>1199 他に分類されない繊維製品製造業</t>
  </si>
  <si>
    <t>木材・木製品製造業（家具を除く）</t>
  </si>
  <si>
    <t>120　　管理，補助的経済活動を行う事業所（12木材・木製品製造業）</t>
  </si>
  <si>
    <t>1200　　主として管理事務を行う本社等</t>
  </si>
  <si>
    <t>1209　　その他の管理，補助的経済活動を行う事業所</t>
  </si>
  <si>
    <t>121　　製材業，木製品製造業</t>
  </si>
  <si>
    <t>1211　　一般製材業</t>
  </si>
  <si>
    <t>1212　　単板（ベニヤ）製造業</t>
  </si>
  <si>
    <t>1213　　木材チップ製造業</t>
  </si>
  <si>
    <t>1219　　その他の特殊製材業</t>
  </si>
  <si>
    <t>122　　造作材・合板・建築用組立材料製造業</t>
  </si>
  <si>
    <t>1221　　造作材製造業（建具を除く）</t>
  </si>
  <si>
    <t>1222　　合板製造業</t>
  </si>
  <si>
    <t>1223　　集成材製造業</t>
  </si>
  <si>
    <t>1224　　建築用木製組立材料製造業</t>
  </si>
  <si>
    <t>1225　　パーティクルボード製造業</t>
  </si>
  <si>
    <t>1226　　繊維板製造業</t>
  </si>
  <si>
    <t>1227　　銘木製造業</t>
  </si>
  <si>
    <t>1228　　床板製造業</t>
  </si>
  <si>
    <t>123　　木製容器製造業（竹，とうを含む）</t>
  </si>
  <si>
    <t>亜鉛、ニッケル、鉛、錫、クロムなどその他金属鉱石から精錬や、各種一次加工を行う企業群</t>
  </si>
  <si>
    <t>1231　　竹・とう・きりゅう等容器製造業</t>
  </si>
  <si>
    <t>1232　　木箱製造業</t>
  </si>
  <si>
    <t>1233　　たる・おけ製造業</t>
  </si>
  <si>
    <t>129　　その他の木製品製造業(竹，とうを含む)</t>
  </si>
  <si>
    <t>鉄・非鉄金属のスクラップを回収・販売する企業群。但し貴金属回収は除く</t>
  </si>
  <si>
    <t>1291　　木材薬品処理業</t>
  </si>
  <si>
    <t>1292　　コルク加工基礎資材・コルク製品製造業</t>
  </si>
  <si>
    <t>1299　　他に分類されない木製品製造業(竹，とうを含む)</t>
  </si>
  <si>
    <t>家具・装備品製造業</t>
  </si>
  <si>
    <t>130 管理，補助的経済活動を行う事業所（13家具・装備品製造業）</t>
  </si>
  <si>
    <t>1300 主として管理事務を行う本社等</t>
  </si>
  <si>
    <t>1309 その他の管理，補助的経済活動を行う事業所</t>
  </si>
  <si>
    <t>131 家具製造業</t>
  </si>
  <si>
    <t>1311 木製家具製造業（漆塗りを除く）</t>
  </si>
  <si>
    <t>電解・溶融などのメッキ手法や、焼入・浸炭・高周波等の熱処理手法を用いて、金属に処理加工を行う企業群</t>
  </si>
  <si>
    <t>1312 金属製家具製造業</t>
  </si>
  <si>
    <t>1313 マットレス・組スプリング製造業</t>
  </si>
  <si>
    <t>132 宗教用具製造業</t>
  </si>
  <si>
    <t>1321 宗教用具製造業</t>
  </si>
  <si>
    <t>レアアースや酸化鉄から作られるネオジム磁石やフェライト磁石などの磁石及び磁石材料の製造を行う企業群。電磁石や一時磁石などの非永久磁石を除く</t>
  </si>
  <si>
    <t>133 建具製造業</t>
  </si>
  <si>
    <t>1331 建具製造業</t>
  </si>
  <si>
    <t>139 その他の家具・装備品製造業</t>
  </si>
  <si>
    <t>1391 事務所用・店舗用装備品製造業</t>
  </si>
  <si>
    <t>1392 窓用・扉用日よけ，日本びょうぶ等製造業</t>
  </si>
  <si>
    <t>1393 鏡縁・額縁製造業</t>
  </si>
  <si>
    <t>1399 他に分類されない家具・装備品製造業</t>
  </si>
  <si>
    <t>パルプ・紙・紙加工品製造業</t>
  </si>
  <si>
    <t>140 管理，補助的経済活動を行う事業所（14パルプ・紙・紙加工品製造業）</t>
  </si>
  <si>
    <t>1400 主として管理事務を行う本社等</t>
  </si>
  <si>
    <t>1409 その他の管理，補助的経済活動を行う事業所</t>
  </si>
  <si>
    <t>141 パルプ製造業</t>
  </si>
  <si>
    <t>1411 パルプ製造業</t>
  </si>
  <si>
    <t>142 紙製造業</t>
  </si>
  <si>
    <t>1421 洋紙製造業</t>
  </si>
  <si>
    <t>1422 板紙製造業</t>
  </si>
  <si>
    <t>1423 機械すき和紙製造業</t>
  </si>
  <si>
    <t>1424 手すき和紙製造業</t>
  </si>
  <si>
    <t>143 加工紙製造業</t>
  </si>
  <si>
    <t>一般的にビジネスフォームと言われる領域で、伝票類、各種帳票類等、ビジネスの業務で使用される各種定型書類の印刷、製造を行う企業群</t>
  </si>
  <si>
    <t>1431 塗工紙製造業（印刷用紙を除く）</t>
  </si>
  <si>
    <t>1432 段ボール製造業</t>
  </si>
  <si>
    <t>1433 壁紙・ふすま紙製造業</t>
  </si>
  <si>
    <t>144 紙製品製造業</t>
  </si>
  <si>
    <t>1441 事務用・学用紙製品製造業</t>
  </si>
  <si>
    <t>天然ゴム</t>
  </si>
  <si>
    <t>1442 日用紙製品製造業</t>
  </si>
  <si>
    <t>天然ゴムに関わる上流（ゴムノキからの採取）から下流（天然ゴムの精製・販売）までの全部または一部を担う企業群。合成ゴム、衛生ゴム及びその他ゴム関連最終製品の製造は除く</t>
  </si>
  <si>
    <t>1449 その他の紙製品製造業</t>
  </si>
  <si>
    <t>145 紙製容器製造業</t>
  </si>
  <si>
    <t>1451 重包装紙袋製造業</t>
  </si>
  <si>
    <t>1452 角底紙袋製造業</t>
  </si>
  <si>
    <t>1453 段ボール箱製造業</t>
  </si>
  <si>
    <t>汎用の石油化学誘導品のうち、ポリエチレン、ポリプロピレン等のプラスチックを製造する企業群。その他の汎用石油化学品のうち、洗剤原料、塗料原料や誘導品を基に製造した容器、タイヤ等の最終製品は本業界から除く</t>
  </si>
  <si>
    <t>1454 紙器製造業</t>
  </si>
  <si>
    <t>149 その他のパルプ・紙・紙加工品製造業</t>
  </si>
  <si>
    <t>1499 その他のパルプ・紙・紙加工品製造業</t>
  </si>
  <si>
    <t>印刷・同関連業</t>
  </si>
  <si>
    <t>脂肪酸、脂肪酸アルコール、グリセリン、油脂誘導体などを製造する企業群</t>
  </si>
  <si>
    <t>150 管理，補助的経済活動を行う事業所（15印刷・同関連業）</t>
  </si>
  <si>
    <t>1500 主として管理事務を行う本社等</t>
  </si>
  <si>
    <t>1509 その他の管理，補助的経済活動を行う事業所</t>
  </si>
  <si>
    <t>151 印刷業</t>
  </si>
  <si>
    <t>自動車、航空機、住宅、工業製品等に対する塗装用の各種塗料を製造する企業群。顔料・染料は含まない。</t>
  </si>
  <si>
    <t>1511 オフセット印刷業（紙に対するもの）</t>
  </si>
  <si>
    <t>1512 オフセット印刷以外の印刷業（紙に対するもの）</t>
  </si>
  <si>
    <t>顔料・染料</t>
  </si>
  <si>
    <t>1513 紙以外の印刷業</t>
  </si>
  <si>
    <t>レーキ、トナーなどの有機または無機の顔料、染料を製造する企業群</t>
  </si>
  <si>
    <t>152 製版業</t>
  </si>
  <si>
    <t>1521 製版業</t>
  </si>
  <si>
    <t>153 製本業，印刷物加工業</t>
  </si>
  <si>
    <t>酸化鉄・酸化チタン</t>
  </si>
  <si>
    <t>酸化チタン（イルメナイトなどの天然鉱物から得られる粉末成分）、酸化鉄（鉄の酸化物の粉末成分）を製造する企業群</t>
  </si>
  <si>
    <t>1531 製本業</t>
  </si>
  <si>
    <t>1532 印刷物加工業</t>
  </si>
  <si>
    <t>紙の原料となる木材などの植物から取り出した繊維状物質（パルプ）から印刷・情報用紙、包装用紙、衛生用紙、板紙など、紙に関わる製品の製造を主要業務とする企業群</t>
  </si>
  <si>
    <t>159 印刷関連サービス業</t>
  </si>
  <si>
    <t>1591 印刷関連サービス業</t>
  </si>
  <si>
    <t>化学工業</t>
  </si>
  <si>
    <t>中分類 16 化学工業</t>
  </si>
  <si>
    <t>160 管理，補助的経済活動を行う事業所（16化学工業）</t>
  </si>
  <si>
    <t>1600 主として管理事務を行う本社等</t>
  </si>
  <si>
    <t>1609 その他の管理，補助的経済活動を行う事業所</t>
  </si>
  <si>
    <t>161 化学肥料製造業</t>
  </si>
  <si>
    <t>1611 窒素質・りん酸質肥料製造業</t>
  </si>
  <si>
    <t>パイプ、バルブ、継ぎ手、液体給水栓等、液体や気体を「通す」「止める」「絞る」ために必要な道具を製造する企業群。シーリングを含む</t>
  </si>
  <si>
    <t>1612 複合肥料製造業</t>
  </si>
  <si>
    <t>1619 その他の化学肥料製造業</t>
  </si>
  <si>
    <t>162 無機化学工業製品製造業</t>
  </si>
  <si>
    <t>1621 ソーダ工業</t>
  </si>
  <si>
    <t>1622 無機顔料製造業</t>
  </si>
  <si>
    <t>1623 圧縮ガス・液化ガス製造業</t>
  </si>
  <si>
    <t>1624 塩製造業</t>
  </si>
  <si>
    <t>1629 その他の無機化学工業製品製造業</t>
  </si>
  <si>
    <t>163 有機化学工業製品製造業</t>
  </si>
  <si>
    <t>乗用車（軽自動車を含む四輪自動車やピックアップトラックなどの軽商業車）を製造する企業群。但し、トラック、特殊車両、運搬車両等は除く。</t>
  </si>
  <si>
    <t>1631 石油化学系基礎製品製造業（一貫して生産される誘導品を含む）</t>
  </si>
  <si>
    <t>1632 脂肪族系中間物製造業（脂肪族系溶剤を含む）</t>
  </si>
  <si>
    <t>ガソリンスタンド,燃料卸・販売</t>
  </si>
  <si>
    <t>1633 発酵工業</t>
  </si>
  <si>
    <t>粘着テープ、接着剤、充填材等、2つ以上の物体を貼り付けることを目的とした製品を製造する企業群</t>
  </si>
  <si>
    <t>1634 環式中間物・合成染料・有機顔料製造業</t>
  </si>
  <si>
    <t>1635 プラスチック製造業</t>
  </si>
  <si>
    <t>1636 合成ゴム製造業</t>
  </si>
  <si>
    <t>1639 その他の有機化学工業製品製造業</t>
  </si>
  <si>
    <t>164 油脂加工製品・石けん・合成洗剤・界面活性剤・塗料製造業</t>
  </si>
  <si>
    <t>1641 脂肪酸・硬化油・グリセリン製造業</t>
  </si>
  <si>
    <t>1642 石けん・合成洗剤製造業</t>
  </si>
  <si>
    <t>1643 界面活性剤製造業（石けん，合成洗剤を除く）</t>
  </si>
  <si>
    <t>1644 塗料製造業</t>
  </si>
  <si>
    <t>1645 印刷インキ製造業</t>
  </si>
  <si>
    <t>1646 洗浄剤・磨用剤製造業</t>
  </si>
  <si>
    <t>電池材料</t>
  </si>
  <si>
    <t>1647 ろうそく製造業</t>
  </si>
  <si>
    <t>一次電池（乾電池）・二次電池（蓄電池）の材料または部品を製造販売する企業群。太陽電池、燃料電池の材料または部品は除く</t>
  </si>
  <si>
    <t>165 医薬品製造業</t>
  </si>
  <si>
    <t>1651 医薬品原薬製造業</t>
  </si>
  <si>
    <t>1652 医薬品製剤製造業</t>
  </si>
  <si>
    <t>1653 生物学的製剤製造業</t>
  </si>
  <si>
    <t>1654 生薬・漢方製剤製造業</t>
  </si>
  <si>
    <t>1655 動物用医薬品製造業</t>
  </si>
  <si>
    <t>166 化粧品・歯磨・その他の化粧用調整品製造業</t>
  </si>
  <si>
    <t>1661 仕上用・皮膚用化粧品製造業（香水，オーデコロンを含む）</t>
  </si>
  <si>
    <t>1662 頭髪用化粧品製造業</t>
  </si>
  <si>
    <t>1669 その他の化粧品・歯磨・化粧用調整品製造業</t>
  </si>
  <si>
    <t>169 その他の化学工業</t>
  </si>
  <si>
    <t>1691 火薬類製造業</t>
  </si>
  <si>
    <t>1692 農薬製造業</t>
  </si>
  <si>
    <t>1693 香料製造業</t>
  </si>
  <si>
    <t>1694 ゼラチン・接着剤製造業</t>
  </si>
  <si>
    <t>1695 写真感光材料製造業</t>
  </si>
  <si>
    <t>1696 天然樹脂製品・木材化学製品製造業</t>
  </si>
  <si>
    <t>1697 試薬製造業</t>
  </si>
  <si>
    <t>1699 他に分類されない化学工業製品製造業</t>
  </si>
  <si>
    <t>石油製品・石炭製品製造業</t>
  </si>
  <si>
    <t>170 管理，補助的経済活動を行う事業所（17石油製品・石炭製品製造業）</t>
  </si>
  <si>
    <t>商業施設、オフィス、マンション、戸建住宅等の企画・開発と不動産の流通、賃貸を主要業務とする企業群</t>
  </si>
  <si>
    <t>1700 主として管理事務を行う本社等</t>
  </si>
  <si>
    <t>マンション（住宅の中で一つの建築物に複数の住宅が存在する建築物）のオーナー、開発主体となる企業群</t>
  </si>
  <si>
    <t>1709 その他の管理，補助的経済活動を行う事業所</t>
  </si>
  <si>
    <t>生活関連サービス,弁当・宅配</t>
  </si>
  <si>
    <t>171 石油精製業</t>
  </si>
  <si>
    <t>1711 石油精製業</t>
  </si>
  <si>
    <t>172 潤滑油・グリース製造業（石油精製業によらないもの）</t>
  </si>
  <si>
    <t>1721 潤滑油・グリース製造業（石油精製業によらないもの）</t>
  </si>
  <si>
    <t>173 コークス製造業</t>
  </si>
  <si>
    <t>1731 コークス製造業</t>
  </si>
  <si>
    <t>174 舗装材料製造業</t>
  </si>
  <si>
    <t>1741 舗装材料製造業</t>
  </si>
  <si>
    <t>油圧ショベル、クレーン等、建設現場にて使用される各種機械をレンタルまたはリース方式により提供する企業群</t>
  </si>
  <si>
    <t>179 その他の石油製品・石炭製品製造業</t>
  </si>
  <si>
    <t>天然皮革、人工皮革やそれをもととした衣料、家具、自動車シート等の皮革製品を製造する企業群</t>
  </si>
  <si>
    <t>1799 その他の石油製品・石炭製品製造業</t>
  </si>
  <si>
    <t>プラスチック製品製造業（別掲を除く）</t>
  </si>
  <si>
    <t>中分類 18 プラスチック製品製造業（別掲を除く）</t>
  </si>
  <si>
    <t>180 管理，補助的経済活動を行う事業所（18プラスチック製品製造業）</t>
  </si>
  <si>
    <t>板ガラス、液晶用ガラス等、ガラス、ガラス製品の製造・販売の両方または一部を主要業務とする企業群。但しガラス繊維の製造・販売は除く</t>
  </si>
  <si>
    <t>1800 主として管理事務を行う本社等</t>
  </si>
  <si>
    <t>1809 その他の管理，補助的経済活動を行う事業所</t>
  </si>
  <si>
    <t>181 プラスチック板・棒・管・継手・異形押出製品製造業</t>
  </si>
  <si>
    <t>1811 プラスチック板・棒製造業</t>
  </si>
  <si>
    <t>光学機械用レンズ・プリズム、レンズユニットを製造する企業群</t>
  </si>
  <si>
    <t>1812 プラスチック管製造業</t>
  </si>
  <si>
    <t>1813 プラスチック継手製造業</t>
  </si>
  <si>
    <t>1814 プラスチック異形押出製品製造業</t>
  </si>
  <si>
    <t>1815 プラスチック板・棒・管・継手・異形押出製品加工業</t>
  </si>
  <si>
    <t>182 プラスチックフィルム・シート・床材・合成皮革製造業</t>
  </si>
  <si>
    <t>1821 プラスチックフィルム製造業</t>
  </si>
  <si>
    <t>1822 プラスチックシート製造業</t>
  </si>
  <si>
    <t>1823 プラスチック床材製造業</t>
  </si>
  <si>
    <t>1824 合成皮革製造業</t>
  </si>
  <si>
    <t>1825 プラスチックフィルム・シート・床材・合成皮革加工業</t>
  </si>
  <si>
    <t>ニューカーボン</t>
  </si>
  <si>
    <t>183 工業用プラスチック製品製造業</t>
  </si>
  <si>
    <t>炭素材料・製品のうち、主に宇宙、電子機器、スポーツ・レジャー分野等の領域において、ナノテク素材等、新しい形態や機能を有す炭素製品を製造する企業群。但し、炭素繊維は除く</t>
  </si>
  <si>
    <t>1831 電気機械器具用プラスチック製品製造業（加工業を除く）</t>
  </si>
  <si>
    <t>1832 輸送機械器具用プラスチック製品製造業（加工業を除く）</t>
  </si>
  <si>
    <t>1833 その他の工業用プラスチック製品製造業（加工業を除く）</t>
  </si>
  <si>
    <t>森林で材木を伐採、植林する、または材木を加工する企業群。これら一部の作業工程のみの場合も含む。紙、建材など、最終用途先が明確な木材加工は除く</t>
  </si>
  <si>
    <t>1834 工業用プラスチック製品加工業</t>
  </si>
  <si>
    <t>184 発泡・強化プラスチック製品製造業</t>
  </si>
  <si>
    <t>1841 軟質プラスチック発泡製品製造業（半硬質性を含む）</t>
  </si>
  <si>
    <t>1842 硬質プラスチック発泡製品製造業</t>
  </si>
  <si>
    <t>1843 強化プラスチック製板・棒・管・継手製造業</t>
  </si>
  <si>
    <t>1844 強化プラスチック製容器・浴槽等製造業</t>
  </si>
  <si>
    <t>1845 発泡・強化プラスチック製品加工業</t>
  </si>
  <si>
    <t>185 プラスチック成形材料製造業（廃プラスチックを含む）</t>
  </si>
  <si>
    <t>1851 プラスチック成形材料製造業</t>
  </si>
  <si>
    <t>1852 廃プラスチック製品製造業</t>
  </si>
  <si>
    <t>189 その他のプラスチック製品製造業</t>
  </si>
  <si>
    <t>1891 プラスチック製日用雑貨・食卓用品製造業</t>
  </si>
  <si>
    <t>1892 プラスチック製容器製造業</t>
  </si>
  <si>
    <t>1897 他に分類されないプラスチック製品製造業</t>
  </si>
  <si>
    <t>1898 他に分類されないプラスチック製品加工業</t>
  </si>
  <si>
    <t>ゴム製品製造業</t>
  </si>
  <si>
    <t>食品容器、発泡プラスチック等、プラスチックを主原料とする容器の製造を主要業務とする企業群。但し、ペットボトルは除く</t>
  </si>
  <si>
    <t>中分類 19 ゴム製品製造業</t>
  </si>
  <si>
    <t>190 管理，補助的経済活動を行う事業所（19ゴム製品製造業）</t>
  </si>
  <si>
    <t>1900 主として管理事務を行う本社等</t>
  </si>
  <si>
    <t>1909 その他の管理，補助的経済活動を行う事業所</t>
  </si>
  <si>
    <t>191 タイヤ・チューブ製造業</t>
  </si>
  <si>
    <t>1911 自動車タイヤ・チューブ製造業</t>
  </si>
  <si>
    <t>1919 その他のタイヤ・チューブ製造業</t>
  </si>
  <si>
    <t>段ボール（段ボール原紙を多層構造で強靭にし、包装資材、輸送用容器などに使用できるように加工した紙製品）の製造を主要業務とする企業群</t>
  </si>
  <si>
    <t>192 ゴム製・プラスチック製履物・同附属品製造業</t>
  </si>
  <si>
    <t>1921 ゴム製履物・同附属品製造業</t>
  </si>
  <si>
    <t>1922 プラスチック製履物・同附属品製造業</t>
  </si>
  <si>
    <t>プラスチックを利用して、食品用包装材、医薬品、ビニール製買物袋などを主に製造する企業群</t>
  </si>
  <si>
    <t>193 ゴムベルト・ゴムホース・工業用ゴム製品製造業</t>
  </si>
  <si>
    <t>1931 ゴムベルト製造業</t>
  </si>
  <si>
    <t>1932 ゴムホース製造業</t>
  </si>
  <si>
    <t>1933 工業用ゴム製品製造業</t>
  </si>
  <si>
    <t>紙・板紙を加工して、紙袋、段ボール箱などを製造する企業群。原紙の製造を展開する企業は除く</t>
  </si>
  <si>
    <t>199 その他のゴム製品製造業</t>
  </si>
  <si>
    <t>1991 ゴム引布・同製品製造業</t>
  </si>
  <si>
    <t>1992 医療・衛生用ゴム製品製造業</t>
  </si>
  <si>
    <t>1993 ゴム練生地製造業</t>
  </si>
  <si>
    <t>くぎ、ネジ、ショベル、工業用刃物等、金属を主原料としている金具、作業工具を製造する企業群</t>
  </si>
  <si>
    <t>1994 更生タイヤ製造業</t>
  </si>
  <si>
    <t>1995 再生ゴム製造業</t>
  </si>
  <si>
    <t>1999 他に分類されないゴム製品製造業</t>
  </si>
  <si>
    <t>なめし革・同製品・毛皮製造業</t>
  </si>
  <si>
    <t>中分類 20 なめし革・同製品・毛皮製造業</t>
  </si>
  <si>
    <t>200 管理，補助的経済活動を行う事業所（20なめし革・同製品・毛皮製造業）</t>
  </si>
  <si>
    <t>2000 主として管理事務を行う本社等</t>
  </si>
  <si>
    <t>2009 その他の管理，補助的経済活動を行う事業所</t>
  </si>
  <si>
    <t>201 なめし革製造業</t>
  </si>
  <si>
    <t>2011 なめし革製造業</t>
  </si>
  <si>
    <t>202 工業用革製品製造業（手袋を除く）</t>
  </si>
  <si>
    <t>2021 工業用革製品製造業（手袋を除く）</t>
  </si>
  <si>
    <t>203 革製履物用材料・同附属品製造業</t>
  </si>
  <si>
    <t>2031 革製履物用材料・同附属品製造業</t>
  </si>
  <si>
    <t>204 革製履物製造業</t>
  </si>
  <si>
    <t>2041 革製履物製造業</t>
  </si>
  <si>
    <t>205 革製手袋製造業</t>
  </si>
  <si>
    <t>2051 革製手袋製造業</t>
  </si>
  <si>
    <t>206 かばん製造業</t>
  </si>
  <si>
    <t>2061 かばん製造業</t>
  </si>
  <si>
    <t>固体を研磨するために利用される様々な道具（砥石、研磨布紙、液体研磨剤等）の製造を主要業務とする企業群。但し、工作機械などの機械装置に取り付ける工具は除く</t>
  </si>
  <si>
    <t>207 袋物製造業</t>
  </si>
  <si>
    <t>2071 袋物製造業（ハンドバッグを除く）</t>
  </si>
  <si>
    <t>総合卸</t>
  </si>
  <si>
    <t>2072 ハンドバッグ製造業</t>
  </si>
  <si>
    <t>重厚長大産業から外食等のサービス産業まで幅広い事業領域において、輸出入貿易、販売、流通、投資業務を行う企業群</t>
  </si>
  <si>
    <t>208 毛皮製造業</t>
  </si>
  <si>
    <t>2081 毛皮製造業</t>
  </si>
  <si>
    <t>209 その他のなめし革製品製造業</t>
  </si>
  <si>
    <t>2099 その他のなめし革製品製造業</t>
  </si>
  <si>
    <t>建材（住宅やビル等に用いられる屋根、天井、壁、床等の内・外装材料）、建設資材（金属、木材、セメント等）、住設機器（水周り製品等）の卸売を主要業務とする企業群</t>
  </si>
  <si>
    <t>中分類　21　　窯業・土石製品製造業</t>
  </si>
  <si>
    <t>中分類 21 窯業・土石製品製造業</t>
  </si>
  <si>
    <t>210　　管理，補助的経済活動を行う事業所（21窯業・土石製品製造業）</t>
  </si>
  <si>
    <t>210 管理，補助的経済活動を行う事業所（21窯業・土石製品製造業）</t>
  </si>
  <si>
    <t>2100　　主として管理事務を行う本社等</t>
  </si>
  <si>
    <t>2100 主として管理事務を行う本社等</t>
  </si>
  <si>
    <t>2109　　その他の管理，補助的経済活動を行う事業所</t>
  </si>
  <si>
    <t>2109 その他の管理，補助的経済活動を行う事業所</t>
  </si>
  <si>
    <t>鋼材（圧延、鍛造、引抜き又は鋳造などの各種の方法で所要の形状に加工された各種鋼）、ステンレスなどの非鉄製品の卸売を主要業務とする企業群（総合商社は除く）</t>
  </si>
  <si>
    <t>211　　ガラス・同製品製造業</t>
  </si>
  <si>
    <t>211 ガラス・同製品製造業</t>
  </si>
  <si>
    <t>2111　　板ガラス製造業</t>
  </si>
  <si>
    <t>2111 板ガラス製造業</t>
  </si>
  <si>
    <t>基礎化学品から誘導品、石油化学製品、機能性化学製品等、各種化学品の卸売を主要業務とする企業群（総合商社は除く）</t>
  </si>
  <si>
    <t>2112　　板ガラス加工業</t>
  </si>
  <si>
    <t>2112 板ガラス加工業</t>
  </si>
  <si>
    <t>2113　　ガラス製加工素材製造業</t>
  </si>
  <si>
    <t>主にアパレル製造業者に対し、繊維素材、1・2次加工品、最終製品を供給する企業群</t>
  </si>
  <si>
    <t>2113 ガラス製加工素材製造業</t>
  </si>
  <si>
    <t>2114　　ガラス容器製造業</t>
  </si>
  <si>
    <t>2114 ガラス容器製造業</t>
  </si>
  <si>
    <t>2115　　理化学用・医療用ガラス器具製造業</t>
  </si>
  <si>
    <t>2115 理化学用・医療用ガラス器具製造業</t>
  </si>
  <si>
    <t>2116　　卓上用・ちゅう房用ガラス器具製造業</t>
  </si>
  <si>
    <t>2116 卓上用・ちゅう房用ガラス器具製造業</t>
  </si>
  <si>
    <t>2117　　ガラス繊維・同製品製造業</t>
  </si>
  <si>
    <t>2117 ガラス繊維・同製品製造業</t>
  </si>
  <si>
    <t>2119　　その他のガラス・同製品製造業</t>
  </si>
  <si>
    <t>2119 その他のガラス・同製品製造業</t>
  </si>
  <si>
    <t>機械部品の卸売を行う企業群。金型部品、切削工具、研磨剤、動力工具などを含む</t>
  </si>
  <si>
    <t>212　　セメント・同製品製造業</t>
  </si>
  <si>
    <t>212 セメント・同製品製造業</t>
  </si>
  <si>
    <t>2121　　セメント製造業</t>
  </si>
  <si>
    <t>2121 セメント製造業</t>
  </si>
  <si>
    <t>紙の原料となる木材などの植物から取り出した繊維状物質（パルプ）から印刷・情報用紙、包装用紙、衛生用紙、板紙など、紙に関わる製品の卸売を主要業務とする企業群（総合商社は除く）</t>
  </si>
  <si>
    <t>2122　　生コンクリート製造業</t>
  </si>
  <si>
    <t>2122 生コンクリート製造業</t>
  </si>
  <si>
    <t>2123　　コンクリート製品製造業</t>
  </si>
  <si>
    <t>2123 コンクリート製品製造業</t>
  </si>
  <si>
    <t>半導体、センサー、スイッチ等の各種電子部品の卸を主要業務とする企業群</t>
  </si>
  <si>
    <t>2129　　その他のセメント製品製造業</t>
  </si>
  <si>
    <t>2129 その他のセメント製品製造業</t>
  </si>
  <si>
    <t>213　　建設用粘土製品製造業（陶磁器製を除く)</t>
  </si>
  <si>
    <t>213 建設用粘土製品製造業（陶磁器製を除く)</t>
  </si>
  <si>
    <t>ある企業の子会社またはグループ会社で、自社グループのために、テレビ、冷蔵庫などの電気製品の販売を行う企業群</t>
  </si>
  <si>
    <t>2131　　粘土かわら製造業</t>
  </si>
  <si>
    <t>2131 粘土かわら製造業</t>
  </si>
  <si>
    <t>2132　　普通れんが製造業</t>
  </si>
  <si>
    <t>2132 普通れんが製造業</t>
  </si>
  <si>
    <t>2139　　その他の建設用粘土製品製造業</t>
  </si>
  <si>
    <t>2139 その他の建設用粘土製品製造業</t>
  </si>
  <si>
    <t>214　　陶磁器・同関連製品製造業</t>
  </si>
  <si>
    <t>214 陶磁器・同関連製品製造業</t>
  </si>
  <si>
    <t>2141　　衛生陶器製造業</t>
  </si>
  <si>
    <t>2141 衛生陶器製造業</t>
  </si>
  <si>
    <t>建設機械、工作機械、計測機械、FA機器等、工場、倉庫、研究等で設置、使用される各種機械、機器の卸売を行う企業群</t>
  </si>
  <si>
    <t>2142　　食卓用・ちゅう房用陶磁器製造業</t>
  </si>
  <si>
    <t>2142 食卓用・ちゅう房用陶磁器製造業</t>
  </si>
  <si>
    <t>2143　　陶磁器製置物製造業</t>
  </si>
  <si>
    <t>2143 陶磁器製置物製造業</t>
  </si>
  <si>
    <t>2144　　電気用陶磁器製造業</t>
  </si>
  <si>
    <t>他社製品のネットワーク機器、ストレージ、サーバー、OA機器（コピー機を含む）の販売、各種ソフトウェアパッケージの販売から社内ネットワーク等の構築、保守、運用までを行う企業群</t>
  </si>
  <si>
    <t>2144 電気用陶磁器製造業</t>
  </si>
  <si>
    <t>2145　　理化学用・工業用陶磁器製造業</t>
  </si>
  <si>
    <t>2145 理化学用・工業用陶磁器製造業</t>
  </si>
  <si>
    <t>2146　　陶磁器製タイル製造業</t>
  </si>
  <si>
    <t>2146 陶磁器製タイル製造業</t>
  </si>
  <si>
    <t>2147　　陶磁器絵付業</t>
  </si>
  <si>
    <t>食品専門卸</t>
  </si>
  <si>
    <t>水産物、食肉、農作物等の食品、飲料の中間流通または貿易業務を担う企業群</t>
  </si>
  <si>
    <t>2147 陶磁器絵付業</t>
  </si>
  <si>
    <t>穀物メジャー</t>
  </si>
  <si>
    <t>小麦、大豆、トウモロコシなどの穀物を仕入れ、国際取引によりマージンを得る企業群</t>
  </si>
  <si>
    <t>2148　　陶磁器用はい（坏）土製造業</t>
  </si>
  <si>
    <t>2148 陶磁器用はい（坏）土製造業</t>
  </si>
  <si>
    <t>2149　　その他の陶磁器・同関連製品製造業</t>
  </si>
  <si>
    <t>2149 その他の陶磁器・同関連製品製造業</t>
  </si>
  <si>
    <t>215　　耐火物製造業</t>
  </si>
  <si>
    <t>鮮魚、冷凍・冷凍品、調製品等の水産物の国内流通を担う卸売り企業群</t>
  </si>
  <si>
    <t>215 耐火物製造業</t>
  </si>
  <si>
    <t>2151　　耐火れんが製造業</t>
  </si>
  <si>
    <t>2151 耐火れんが製造業</t>
  </si>
  <si>
    <t>2152　　不定形耐火物製造業</t>
  </si>
  <si>
    <t>2152 不定形耐火物製造業</t>
  </si>
  <si>
    <t>食肉輸入、または食肉の国内中間流通を担う企業群</t>
  </si>
  <si>
    <t>2159　　その他の耐火物製造業</t>
  </si>
  <si>
    <t>2159 その他の耐火物製造業</t>
  </si>
  <si>
    <t>216　　炭素・黒鉛製品製造業</t>
  </si>
  <si>
    <t>216 炭素・黒鉛製品製造業</t>
  </si>
  <si>
    <t>米穀、豆類等の農作物・製品の輸入、または国内中間流通を担う企業群</t>
  </si>
  <si>
    <t>2161　　炭素質電極製造業</t>
  </si>
  <si>
    <t>2161 炭素質電極製造業</t>
  </si>
  <si>
    <t>2169　　その他の炭素・黒鉛製品製造業</t>
  </si>
  <si>
    <t>2169 その他の炭素・黒鉛製品製造業</t>
  </si>
  <si>
    <t>主に食品小売業向けに、加工食品、菓子類、飲料・酒類等の卸売りを行う企業群</t>
  </si>
  <si>
    <t>動画クリエーター・Webライター</t>
  </si>
  <si>
    <t>217　　研磨材・同製品製造業</t>
  </si>
  <si>
    <t>217 研磨材・同製品製造業</t>
  </si>
  <si>
    <t>2171　　研磨材製造業</t>
  </si>
  <si>
    <t>2171 研磨材製造業</t>
  </si>
  <si>
    <t>主に外食・旅館・ホテル向けに、業務用の加工食品、加工食材、飲料・酒類の卸売りを行う企業群</t>
  </si>
  <si>
    <t>2172　　研削と石製造業</t>
  </si>
  <si>
    <t>2172 研削と石製造業</t>
  </si>
  <si>
    <t>2173　　研磨布紙製造業</t>
  </si>
  <si>
    <t>2173 研磨布紙製造業</t>
  </si>
  <si>
    <t>医療用器具、医療用サプライ、医療用電子機器等の医療機器と各種医薬品の中間流通を担う企業群</t>
  </si>
  <si>
    <t>2179　　その他の研磨材・同製品製造業</t>
  </si>
  <si>
    <t>2179 その他の研磨材・同製品製造業</t>
  </si>
  <si>
    <t>主に医療機関に対し、医療用器具、医療用サプライ、医療用電子機器の輸入・販売・卸売りを行う企業群。リースにより医療機器を提供する企業も含む</t>
  </si>
  <si>
    <t>218　　骨材・石工品等製造業</t>
  </si>
  <si>
    <t>218 骨材・石工品等製造業</t>
  </si>
  <si>
    <t>2181　　砕石製造業</t>
  </si>
  <si>
    <t>2181 砕石製造業</t>
  </si>
  <si>
    <t>2182　　再生骨材製造業</t>
  </si>
  <si>
    <t>医療施設、調剤薬局またはドラッグストア向けに、医療用医薬品、一般用医薬品、衛生材料等の卸売りを行う企業群</t>
  </si>
  <si>
    <t>2182 再生骨材製造業</t>
  </si>
  <si>
    <t>2183　　人工骨材製造業</t>
  </si>
  <si>
    <t>2183 人工骨材製造業</t>
  </si>
  <si>
    <t>日用品、家具、カー用品、花き等、日常生活に関わる製品の中間流通を担う企業群</t>
  </si>
  <si>
    <t>2184　　石工品製造業</t>
  </si>
  <si>
    <t>家庭で使用される家庭用家具の輸入、又は国内中間流通を担う企業群。海外ブランド家具の国内代理店として展開している企業も含む</t>
  </si>
  <si>
    <t>2184 石工品製造業</t>
  </si>
  <si>
    <t>2185　　けいそう土・同製品製造業</t>
  </si>
  <si>
    <t>2185 けいそう土・同製品製造業</t>
  </si>
  <si>
    <t>2186　　鉱物・土石粉砕等処理業</t>
  </si>
  <si>
    <t>2186 鉱物・土石粉砕等処理業</t>
  </si>
  <si>
    <t>219　　その他の窯業・土石製品製造業</t>
  </si>
  <si>
    <t>日用品（荒物製品、陶磁器、ガラス器、金物製品、トイレタリー用品、医薬部外品、衣服・食器用洗剤、紙製品等、家庭での生活において使用する商品）を小売店などに卸売りを行う企業群</t>
  </si>
  <si>
    <t>219 その他の窯業・土石製品製造業</t>
  </si>
  <si>
    <t>カスタマーケアサービス,アウトソーシングサービス</t>
  </si>
  <si>
    <t>2191　　ロックウール・同製品製造業</t>
  </si>
  <si>
    <t>2191 ロックウール・同製品製造業</t>
  </si>
  <si>
    <t>2192　　石こう（膏）製品製造業</t>
  </si>
  <si>
    <t>玩具（家庭用ゲーム機器、ゲームソフトを除く）を卸売りを行う企業群</t>
  </si>
  <si>
    <t>2192 石こう（膏）製品製造業</t>
  </si>
  <si>
    <t>2193　　石灰製造業</t>
  </si>
  <si>
    <t>2193 石灰製造業</t>
  </si>
  <si>
    <t>2194　　鋳型製造業（中子を含む）</t>
  </si>
  <si>
    <t>花き（切花、鉢もの、花壇用苗もの、花木類、球根類、芝類、地被植物類など）の中間流通を担う卸売り企業群</t>
  </si>
  <si>
    <t>2194 鋳型製造業（中子を含む）</t>
  </si>
  <si>
    <t>2199　　他に分類されない窯業・土石製品製造業</t>
  </si>
  <si>
    <t>2199 他に分類されない窯業・土石製品製造業</t>
  </si>
  <si>
    <t>中分類　22　　鉄鋼業</t>
  </si>
  <si>
    <t>中分類 22 鉄鋼業</t>
  </si>
  <si>
    <t>カーケア用品（カーワックス、補修剤、芳香剤等）、カーアクセサリ、チャイルドシート等、ユーザーが自動車購入後に別途購入のうえ使用する自動車関連用品を製造、又は卸売りをする企業群</t>
  </si>
  <si>
    <t>220　　管理，補助的経済活動を行う事業所（22鉄鋼業）</t>
  </si>
  <si>
    <t>220 管理，補助的経済活動を行う事業所（22鉄鋼業）</t>
  </si>
  <si>
    <t>2200　　主として管理事務を行う本社等</t>
  </si>
  <si>
    <t>2200 主として管理事務を行う本社等</t>
  </si>
  <si>
    <t>2209　　その他の管理，補助的経済活動を行う事業所</t>
  </si>
  <si>
    <t>商業施設、文化施設などの個々の建設物や一定範囲の都市全体の企画、開発を行い、その売主や開発主体となる企業群。但し、戸建住宅、マンション専業の開発会社は除く</t>
  </si>
  <si>
    <t>2209 その他の管理，補助的経済活動を行う事業所</t>
  </si>
  <si>
    <t>221　　製鉄業</t>
  </si>
  <si>
    <t>221 製鉄業</t>
  </si>
  <si>
    <t>2211　　高炉による製鉄業</t>
  </si>
  <si>
    <t>2211 高炉による製鉄業</t>
  </si>
  <si>
    <t>2212　　高炉によらない製鉄業</t>
  </si>
  <si>
    <t>2212 高炉によらない製鉄業</t>
  </si>
  <si>
    <t>2213　　フェロアロイ製造業</t>
  </si>
  <si>
    <t>2213 フェロアロイ製造業</t>
  </si>
  <si>
    <t>222　　製鋼・製鋼圧延業</t>
  </si>
  <si>
    <t>戸建住宅（住宅として供される建築物のうち、一つの建築物が一つの住宅であるもの）の開発主体となる企業群</t>
  </si>
  <si>
    <t>222 製鋼・製鋼圧延業</t>
  </si>
  <si>
    <t>2221　　製鋼・製鋼圧延業</t>
  </si>
  <si>
    <t>2221 製鋼・製鋼圧延業</t>
  </si>
  <si>
    <t>223　　製鋼を行わない鋼材製造業（表面処理鋼材を除く）</t>
  </si>
  <si>
    <t>223 製鋼を行わない鋼材製造業（表面処理鋼材を除く）</t>
  </si>
  <si>
    <t>2231　　熱間圧延業（鋼管，伸鉄を除く）</t>
  </si>
  <si>
    <t>自社又は共同事業でビルなどの建築物を開発・建設し、建築物の全部または一部を事務所、店舗などとして、他者に賃貸する事業を主要業務とする企業群</t>
  </si>
  <si>
    <t>2231 熱間圧延業（鋼管，伸鉄を除く）</t>
  </si>
  <si>
    <t>2232　　冷間圧延業（鋼管，伸鉄を除く）</t>
  </si>
  <si>
    <t>2232 冷間圧延業（鋼管，伸鉄を除く）</t>
  </si>
  <si>
    <t>レジャー,飲食店</t>
  </si>
  <si>
    <t>2233　　冷間ロール成型形鋼製造業</t>
  </si>
  <si>
    <t>アミューズメント施設,居酒屋・バー</t>
  </si>
  <si>
    <t>2233 冷間ロール成型形鋼製造業</t>
  </si>
  <si>
    <t>工業団地開発・運営</t>
  </si>
  <si>
    <t>2234　　鋼管製造業</t>
  </si>
  <si>
    <t>工業団地に特化し、その開発・運営・分譲を行う企業群</t>
  </si>
  <si>
    <t>2234 鋼管製造業</t>
  </si>
  <si>
    <t>2235　　伸鉄業</t>
  </si>
  <si>
    <t>2235 伸鉄業</t>
  </si>
  <si>
    <t>2236　　磨棒鋼製造業</t>
  </si>
  <si>
    <t>2236 磨棒鋼製造業</t>
  </si>
  <si>
    <t>2237　　引抜鋼管製造業</t>
  </si>
  <si>
    <t>地主に賃貸住宅経営を提案、または地主からの依頼に基づき、賃貸住宅の施工・管理・仲介等の全て、または一部を請負い、賃貸収入の一部から収益を得る企業群</t>
  </si>
  <si>
    <t>2237 引抜鋼管製造業</t>
  </si>
  <si>
    <t>2238　　伸線業</t>
  </si>
  <si>
    <t>2238 伸線業</t>
  </si>
  <si>
    <t>2239　　その他の製鋼を行わない鋼材製造業（表面処理鋼材を除く)</t>
  </si>
  <si>
    <t>弁当・宅配,食品加工</t>
  </si>
  <si>
    <t>既存の建物に改修工事等を行い、用途や機能を変更して性能を向上させたり価値を高め転売することで収益をあげる企業群</t>
  </si>
  <si>
    <t>2239 その他の製鋼を行わない鋼材製造業（表面処理鋼材を除く)</t>
  </si>
  <si>
    <t>224　　表面処理鋼材製造業</t>
  </si>
  <si>
    <t>224 表面処理鋼材製造業</t>
  </si>
  <si>
    <t>2241　　亜鉛鉄板製造業</t>
  </si>
  <si>
    <t>不動産の売買・交換・貸借等の取引において、その仲介・代理を行う企業群</t>
  </si>
  <si>
    <t>2241 亜鉛鉄板製造業</t>
  </si>
  <si>
    <t>2249　　その他の表面処理鋼材製造業</t>
  </si>
  <si>
    <t>2249 その他の表面処理鋼材製造業</t>
  </si>
  <si>
    <t>225　　鉄素形材製造業</t>
  </si>
  <si>
    <t>ビルなどの建物を対象にして清掃、保守、機器の運転、その他維持管理についてサービスを提供する企業群。投資用不動産を投資家に代行して管理・運用を行う業務（AM)も含む</t>
  </si>
  <si>
    <t>本・映像・ゲーム小売,生活用品小売</t>
  </si>
  <si>
    <t>225 鉄素形材製造業</t>
  </si>
  <si>
    <t>書店,中古用品店</t>
  </si>
  <si>
    <t>2251　　銑鉄鋳物製造業（鋳鉄管，可鍛鋳鉄を除く）</t>
  </si>
  <si>
    <t>2251 銑鉄鋳物製造業（鋳鉄管，可鍛鋳鉄を除く）</t>
  </si>
  <si>
    <t>2252　　可鍛鋳鉄製造業</t>
  </si>
  <si>
    <t>自社保有の土地で駐車場を運営、または土地保有者から駐車場の管理、運営を受託することで収益を得る企業群</t>
  </si>
  <si>
    <t>2252 可鍛鋳鉄製造業</t>
  </si>
  <si>
    <t>2253　　鋳鋼製造業</t>
  </si>
  <si>
    <t>2253 鋳鋼製造業</t>
  </si>
  <si>
    <t>2254　　鍛工品製造業</t>
  </si>
  <si>
    <t>2254 鍛工品製造業</t>
  </si>
  <si>
    <t>住宅の増改築、改装、修繕を顧客の依頼に応じて請負う企業群。水周りの修理や害虫駆除等を請負う企業も含む</t>
  </si>
  <si>
    <t>2255　　鍛鋼製造業</t>
  </si>
  <si>
    <t>2255 鍛鋼製造業</t>
  </si>
  <si>
    <t>229　　その他の鉄鋼業</t>
  </si>
  <si>
    <t>229 その他の鉄鋼業</t>
  </si>
  <si>
    <t>2291　　鉄鋼シャースリット業</t>
  </si>
  <si>
    <t>2291 鉄鋼シャースリット業</t>
  </si>
  <si>
    <t>2292　　鉄スクラップ加工処理業</t>
  </si>
  <si>
    <t>2292 鉄スクラップ加工処理業</t>
  </si>
  <si>
    <t>2293　　鋳鉄管製造業</t>
  </si>
  <si>
    <t>企業の間接業務、営業、PR、経営戦略、警備等の業務の一部を代替、または支援するサービスを提供する企業群</t>
  </si>
  <si>
    <t>2293 鋳鉄管製造業</t>
  </si>
  <si>
    <t>2299　　他に分類されない鉄鋼業</t>
  </si>
  <si>
    <t>給与計算、福利厚生、顧客情報管理等の間接業務や、飲食店の棚卸業務、厨房洗浄業務等、顧客企業のコアではない業務を請負う企業群。証券事務の代行サービスは本業界より除く</t>
  </si>
  <si>
    <t>2299 他に分類されない鉄鋼業</t>
  </si>
  <si>
    <t>中分類　23　　非鉄金属製造業</t>
  </si>
  <si>
    <t>中分類 23 非鉄金属製造業</t>
  </si>
  <si>
    <t>230　　管理，補助的経済活動を行う事業所（23非鉄金属製造業）</t>
  </si>
  <si>
    <t>230 管理，補助的経済活動を行う事業所（23非鉄金属製造業）</t>
  </si>
  <si>
    <t>自社でコールセンターを有し、電話などによる顧客対応業務（受電）、見込顧客への営業（架電）のアウトソーシングを請負う企業群</t>
  </si>
  <si>
    <t>2300　　主として管理事務を行う本社等</t>
  </si>
  <si>
    <t>2300 主として管理事務を行う本社等</t>
  </si>
  <si>
    <t>2309　　その他の管理，補助的経済活動を行う事業所</t>
  </si>
  <si>
    <t>2309 その他の管理，補助的経済活動を行う事業所</t>
  </si>
  <si>
    <t>231　　非鉄金属第1次製錬・精製業</t>
  </si>
  <si>
    <t>顧客企業のセールスプロモーション（販売促進）の立案、企画から、そのために利用する各種グッズ（DM、ＰＯＰ広告、チラシ等）の企画、制作、製造を行う企業群</t>
  </si>
  <si>
    <t>231 非鉄金属第1次製錬・精製業</t>
  </si>
  <si>
    <t>2311　　銅第1次製錬・精製業</t>
  </si>
  <si>
    <t>2311 銅第1次製錬・精製業</t>
  </si>
  <si>
    <t>2312　　亜鉛第1次製錬・精製業</t>
  </si>
  <si>
    <t>2312 亜鉛第1次製錬・精製業</t>
  </si>
  <si>
    <t>消費者、社員、投資家等のステークホルダーに対して行うコーポレートPR、広報活動等の助言、支援業務（記者会見、マスコミ対応、WEB、広報誌企画等）を行う企業群</t>
  </si>
  <si>
    <t>2319　　その他の非鉄金属第1次製錬・精製業</t>
  </si>
  <si>
    <t>2319 その他の非鉄金属第1次製錬・精製業</t>
  </si>
  <si>
    <t>232　　非鉄金属第2次製錬・精製業（非鉄金属合金製造業を含む）</t>
  </si>
  <si>
    <t>232 非鉄金属第2次製錬・精製業（非鉄金属合金製造業を含む）</t>
  </si>
  <si>
    <t>2321　　鉛第2次製錬・精製業（鉛合金製造業を含む)</t>
  </si>
  <si>
    <t>2321 鉛第2次製錬・精製業（鉛合金製造業を含む)</t>
  </si>
  <si>
    <t>2322　　アルミニウム第2次製錬・精製業（アルミニウム合金製造業を含む）</t>
  </si>
  <si>
    <t>商品に対するイメージ、反応等、消費者の動向調査をアンケートやPOSデータの解析等の手法により行う企業群</t>
  </si>
  <si>
    <t>2322 アルミニウム第2次製錬・精製業（アルミニウム合金製造業を含む）</t>
  </si>
  <si>
    <t>2329　　その他の非鉄金属第2次製錬・精製業（非鉄金属合金製造業を含む）</t>
  </si>
  <si>
    <t>2329 その他の非鉄金属第2次製錬・精製業（非鉄金属合金製造業を含む）</t>
  </si>
  <si>
    <t>233　　非鉄金属・同合金圧延業（抽伸，押出しを含む）</t>
  </si>
  <si>
    <t>233 非鉄金属・同合金圧延業（抽伸，押出しを含む）</t>
  </si>
  <si>
    <t>2331　　伸銅品製造業</t>
  </si>
  <si>
    <t>2331 伸銅品製造業</t>
  </si>
  <si>
    <t>経営戦略、財務戦略に関する課題に対して助言や課題解決手法を提供する企業群。M&amp;A等の仲介、助言業務も本業界に含むが自ら投資業務を行う企業は除く</t>
  </si>
  <si>
    <t>2332　　アルミニウム・同合金圧延業（抽伸，押出しを含む）</t>
  </si>
  <si>
    <t>2332 アルミニウム・同合金圧延業（抽伸，押出しを含む）</t>
  </si>
  <si>
    <t>2339　　その他の非鉄金属・同合金圧延業（抽伸，押出しを含む）</t>
  </si>
  <si>
    <t>2339 その他の非鉄金属・同合金圧延業（抽伸，押出しを含む）</t>
  </si>
  <si>
    <t>234　　電線・ケーブル製造業</t>
  </si>
  <si>
    <t>234 電線・ケーブル製造業</t>
  </si>
  <si>
    <t>2341　　電線・ケーブル製造業（光ファイバケーブルを除く）</t>
  </si>
  <si>
    <t>企業等における、不審者進入、盗難等の事故の発生を警戒し、防止する業務や、祭事時における交通誘導警備等、安全を維持するための業務を請負う企業群</t>
  </si>
  <si>
    <t>2341 電線・ケーブル製造業（光ファイバケーブルを除く）</t>
  </si>
  <si>
    <t>2342　　光ファイバケーブル製造業（通信複合ケーブルを含む）</t>
  </si>
  <si>
    <t>2342 光ファイバケーブル製造業（通信複合ケーブルを含む）</t>
  </si>
  <si>
    <t>235　　非鉄金属素形材製造業</t>
  </si>
  <si>
    <t>235 非鉄金属素形材製造業</t>
  </si>
  <si>
    <t>企業等の採用、人材研修等に関わる各種サービス、または個人の就職支援を行う企業群</t>
  </si>
  <si>
    <t>2351　　銅・同合金鋳物製造業（ダイカストを除く）</t>
  </si>
  <si>
    <t>2351 銅・同合金鋳物製造業（ダイカストを除く）</t>
  </si>
  <si>
    <t>自社が雇用する労働者を外部企業に派遣し、派遣先の指揮命令系統のもとで労働サービスを提供する人材派遣企業のうち、特に事務系作業、営業販売等に従事する労働者の派遣を主たる事業とする企業群</t>
  </si>
  <si>
    <t>2352　　非鉄金属鋳物製造業（銅・同合金鋳物及びダイカストを除く）</t>
  </si>
  <si>
    <t>2352 非鉄金属鋳物製造業（銅・同合金鋳物及びダイカストを除く）</t>
  </si>
  <si>
    <t>2353　　アルミニウム・同合金ダイカスト製造業</t>
  </si>
  <si>
    <t>2353 アルミニウム・同合金ダイカスト製造業</t>
  </si>
  <si>
    <t>2354　　非鉄金属ダイカスト製造業（アルミニウム・同合金ダイカストを除く）</t>
  </si>
  <si>
    <t>2354 非鉄金属ダイカスト製造業（アルミニウム・同合金ダイカストを除く）</t>
  </si>
  <si>
    <t>2355　　非鉄金属鍛造品製造業</t>
  </si>
  <si>
    <t>2355 非鉄金属鍛造品製造業</t>
  </si>
  <si>
    <t>自社が雇用する労働者を外部企業に派遣し、派遣先の指揮命令系統のもとで労働サービスを提供する人材派遣企業のうち、特に製造業等の派遣先で研究・開発・技術職または生産ライン作業等に従事する労働者の派遣を主たる事業とする企業群</t>
  </si>
  <si>
    <t>239　　その他の非鉄金属製造業</t>
  </si>
  <si>
    <t>239 その他の非鉄金属製造業</t>
  </si>
  <si>
    <t>2391　　核燃料製造業</t>
  </si>
  <si>
    <t>2391 核燃料製造業</t>
  </si>
  <si>
    <t>2399　　他に分類されない非鉄金属製造業</t>
  </si>
  <si>
    <t>2399 他に分類されない非鉄金属製造業</t>
  </si>
  <si>
    <t>就職、転職を希望する求職者と，労働者を求める企業（求人者）との仲介サービスを行う企業群。求職者は求人者によって契約社員、正社員等の形で直接雇用される。ヘッドハント代行専門の企業も含む</t>
  </si>
  <si>
    <t>類 24 金属製品製造業</t>
  </si>
  <si>
    <t>240 管理，補助的経済活動を行う事業所（24金属製品製造業）</t>
  </si>
  <si>
    <t>企業の新卒、中途採用に関わる各種業務（募集告知、求人者管理、試験問題の作成、面接等）の支援、代行を行う企業群</t>
  </si>
  <si>
    <t>2400 主として管理事務を行う本社等</t>
  </si>
  <si>
    <t>2409 その他の管理，補助的経済活動を行う事業所</t>
  </si>
  <si>
    <t>241 ブリキ缶・その他のめっき板等製品製造業</t>
  </si>
  <si>
    <t>2411 ブリキ缶・その他のめっき板等製品製造業</t>
  </si>
  <si>
    <t>社員の各種能力の向上を目的とした社内研修の代行や教育ツールを法人に対して提供する企業群。英語等の語学に関する社内研修を請負う企業は除く</t>
  </si>
  <si>
    <t>242 洋食器・刃物・手道具・金物類製造業</t>
  </si>
  <si>
    <t>2421 洋食器製造業</t>
  </si>
  <si>
    <t>2422 機械刃物製造業</t>
  </si>
  <si>
    <t>車、事務用機器、医療機器等の各種機械をリース方式により提供するサービスを核に、ファイナンス等の金融サービスまでを行う企業群。但し、建設機械、仮設材のリースは本業界より除く</t>
  </si>
  <si>
    <t>2423 利器工匠具・手道具製造業（やすり，のこぎり，食卓用刃物を除く）</t>
  </si>
  <si>
    <t>2424 作業工具製造業</t>
  </si>
  <si>
    <t>2425 手引のこぎり・のこ刃製造業</t>
  </si>
  <si>
    <t>2426 農業用器具製造業（農業用機械を除く）</t>
  </si>
  <si>
    <t>2429 その他の金物類製造業</t>
  </si>
  <si>
    <t>243 暖房・調理等装置,配管工事用附属品製造業</t>
  </si>
  <si>
    <t>2431 配管工事用附属品製造業（バルブ，コックを除く）</t>
  </si>
  <si>
    <t>2432 ガス機器・石油機器製造業</t>
  </si>
  <si>
    <t>足場、鋼矢板、鋼製山留材等、建設工事時に必要となる各種仮設資材を販売、レンタルまたはリースにより提供する企業群</t>
  </si>
  <si>
    <t>2433 温風・温水暖房装置製造業</t>
  </si>
  <si>
    <t>2439 その他の暖房・調理装置製造業（電気機械器具，ガス機器，石油機器を除く）</t>
  </si>
  <si>
    <t>244 建設用・建築用金属製品製造業（製缶板金業を含む)</t>
  </si>
  <si>
    <t>2441 鉄骨製造業</t>
  </si>
  <si>
    <t>2442 建設用金属製品製造業（鉄骨を除く）</t>
  </si>
  <si>
    <t>2443 金属製サッシ・ドア製造業</t>
  </si>
  <si>
    <t>2444 鉄骨系プレハブ住宅製造業</t>
  </si>
  <si>
    <t>輸送や物流の際に利用される、台車、パレット、梱包資材の設計、製造またはレンタルを行う企業群。機械で動く自動物流システム（マテハン等）は本業界より除き、運搬機械業界に含む</t>
  </si>
  <si>
    <t>2445 建築用金属製品製造業（サッシ，ドア，建築用金物を除く）</t>
  </si>
  <si>
    <t>2446 製缶板金業</t>
  </si>
  <si>
    <t>245 金属素形材製品製造業</t>
  </si>
  <si>
    <t>自動車のリース、レンタル（カーシェアリングを含む）を法人又は個人に対し行う企業群。自動車を含めた複数分野の資産を扱う企業群は総合リース業界参照</t>
  </si>
  <si>
    <t>2451 アルミニウム・同合金プレス製品製造業</t>
  </si>
  <si>
    <t>2452 金属プレス製品製造業（アルミニウム・同合金を除く）</t>
  </si>
  <si>
    <t>2453 粉末や金製品製造業</t>
  </si>
  <si>
    <t>モップ、マット等の清掃関連用具から空気洗浄機、浄水器等の衛生関連機器までを法人、個人に対してレンタルサービスを行う企業群。ホテルや病院等のリネン（シーツ、タオル、作業衣、白衣、ユニフォーム等）のレンタルを行う企業も含む</t>
  </si>
  <si>
    <t>246 金属被覆・彫刻業，熱処理業（ほうろう鉄器を除く）</t>
  </si>
  <si>
    <t>2461 金属製品塗装業</t>
  </si>
  <si>
    <t>2462 溶融めっき業（表面処理鋼材製造業を除く）</t>
  </si>
  <si>
    <t>2463 金属彫刻業</t>
  </si>
  <si>
    <t>商業印刷（チラシ、カタログ、ポスター、看板等）、出版印刷（書籍、新聞等）の領域において印刷を行う企業群</t>
  </si>
  <si>
    <t>2464 電気めっき業（表面処理鋼材製造業を除く）</t>
  </si>
  <si>
    <t>2465 金属熱処理業</t>
  </si>
  <si>
    <t>2469 その他の金属表面処理業</t>
  </si>
  <si>
    <t>247 金属線製品製造業（ねじ類を除く)</t>
  </si>
  <si>
    <t>2471 くぎ製造業</t>
  </si>
  <si>
    <t>2479 その他の金属線製品製造業</t>
  </si>
  <si>
    <t>248 ボルト・ナット・リベット・小ねじ・木ねじ等製造業</t>
  </si>
  <si>
    <t>2481 ボルト・ナット・リベット・小ねじ・木ねじ等製造業</t>
  </si>
  <si>
    <t>249 その他の金属製品製造業</t>
  </si>
  <si>
    <t>2491 金庫製造業</t>
  </si>
  <si>
    <t>2492 金属製スプリング製造業</t>
  </si>
  <si>
    <t>2499 他に分類されない金属製品製造業</t>
  </si>
  <si>
    <t>中分類 25 はん用機械器具製造業</t>
  </si>
  <si>
    <t>家庭や企業から出る一般・産業廃棄物の中間処理（最終処分を行うための、脱水、焼却、中和等）、最終処分（埋め立て）を行う企業群</t>
  </si>
  <si>
    <t>250 管理，補助的経済活動を行う事業所（25はん用機械器具製造業）</t>
  </si>
  <si>
    <t>2500 主として管理事務を行う本社等</t>
  </si>
  <si>
    <t>2509 その他の管理，補助的経済活動を行う事業所</t>
  </si>
  <si>
    <t>251 ボイラ・原動機製造業</t>
  </si>
  <si>
    <t>2511 ボイラ製造業</t>
  </si>
  <si>
    <t>2512 蒸気機関・タービン・水力タービン製造業（舶用を除く）</t>
  </si>
  <si>
    <t>2513 はん用内燃機関製造業</t>
  </si>
  <si>
    <t>2519 その他の原動機製造業</t>
  </si>
  <si>
    <t>252 ポンプ・圧縮機器製造業</t>
  </si>
  <si>
    <t>2521 ポンプ・同装置製造業</t>
  </si>
  <si>
    <t>2522 空気圧縮機・ガス圧縮機・送風機製造業</t>
  </si>
  <si>
    <t>2523 油圧・空圧機器製造業</t>
  </si>
  <si>
    <t>253 一般産業用機械・装置製造業</t>
  </si>
  <si>
    <t>2531 動力伝導装置製造業（玉軸受，ころ軸受を除く）</t>
  </si>
  <si>
    <t>テイクアウト・デリバリー,焼肉</t>
  </si>
  <si>
    <t>2532 エレベータ・エスカレータ製造業</t>
  </si>
  <si>
    <t>トランスミッション、クラッチ、デファレンシャルギア、シャフト、ステアリング、プーリ等、エンジンで発生した動力をタイヤまで伝達するために必要な部品およびシステムを製造する企業群。</t>
  </si>
  <si>
    <t>2533 物流運搬設備製造業</t>
  </si>
  <si>
    <t>2534 工業窯炉製造業</t>
  </si>
  <si>
    <t>ドラムブレーキ、ディスクブレーキ等の制動装置およびシステムを製造する企業群。</t>
  </si>
  <si>
    <t>2535 冷凍機・温湿調整装置製造業</t>
  </si>
  <si>
    <t>259 その他のはん用機械・同部分品製造業</t>
  </si>
  <si>
    <t>2591 消火器具・消火装置製造業</t>
  </si>
  <si>
    <t>弁当・宅配,農業</t>
  </si>
  <si>
    <t>2592 弁・同附属品製造業</t>
  </si>
  <si>
    <t>テイクアウト・デリバリー,キノコ栽培・加工</t>
  </si>
  <si>
    <t>始動電動機、配電機、制御装置、イグニッション・コイル、照明等、自動車内で実装されている各種電装・電子部品およびECU（電子制御装置）を製造する企業群。</t>
  </si>
  <si>
    <t>2593 パイプ加工・パイプ附属品加工業</t>
  </si>
  <si>
    <t>2594 玉軸受・ころ軸受製造業</t>
  </si>
  <si>
    <t>2595 ピストンリング製造業</t>
  </si>
  <si>
    <t>鉄、非鉄金属を原料として、ダイカスト、鋳造、鍛造、粉末冶金等の方法により、インテークマニホールド、エンジンバルブ等の各種自動車部品を製造する企業群。ピストン・ピストンリング、車体部品は本業界から除く</t>
  </si>
  <si>
    <t>2596 他に分類されないはん用機械・装置製造業</t>
  </si>
  <si>
    <t>2599 各種機械・同部分品製造修理業（注文製造・修理）</t>
  </si>
  <si>
    <t>中分類 26 生産用機械器具製造業</t>
  </si>
  <si>
    <t>エアバッグ、シートベルト等の安全装置およびシステムを製造する企業群。</t>
  </si>
  <si>
    <t>260 管理，補助的経済活動を行う事業所（26生産用機械器具製造業）</t>
  </si>
  <si>
    <t>2600 主として管理事務を行う本社等</t>
  </si>
  <si>
    <t>2609 その他の管理，補助的経済活動を行う事業所</t>
  </si>
  <si>
    <t>261 農業用機械製造業（農業用器具を除く）</t>
  </si>
  <si>
    <t>2611 農業用機械製造業（農業用器具を除く）</t>
  </si>
  <si>
    <t>フレーム、バンパー等のボディーの一部を構成する外装部品、ダッシュボード、トリム、コックピットモジュール等の車体の一部を成す内装部品を製造する企業群。車体の一部を構成しない内装品（カーペット等）は含まない。</t>
  </si>
  <si>
    <t>262 建設機械・鉱山機械製造業</t>
  </si>
  <si>
    <t>2621 建設機械・鉱山機械製造業</t>
  </si>
  <si>
    <t>乗用車、トラック、バス等の各種自動車に利用されるタイヤの製造を主要業務とする企業群</t>
  </si>
  <si>
    <t>263 繊維機械製造業</t>
  </si>
  <si>
    <t>2631 化学繊維機械・紡績機械製造業</t>
  </si>
  <si>
    <t>ゴムライニング、ゴムホース、伝導用ベルト、ワイパー等、ゴムを原料としたあらゆる自動車、産業用製品を製造する企業群。但し、自動車用のタイヤは本企業から除く</t>
  </si>
  <si>
    <t>2632 製織機械・編組機械製造業</t>
  </si>
  <si>
    <t>2633 染色整理仕上機械製造業</t>
  </si>
  <si>
    <t>2634 繊維機械部分品・取付具・附属品製造業</t>
  </si>
  <si>
    <t>2635 縫製機械製造業</t>
  </si>
  <si>
    <t>264 生活関連産業用機械製造業</t>
  </si>
  <si>
    <t>2641 食品機械・同装置製造業</t>
  </si>
  <si>
    <t>2642 木材加工機械製造業</t>
  </si>
  <si>
    <t>2643 パルプ装置・製紙機械製造業</t>
  </si>
  <si>
    <t>2644 印刷・製本・紙工機械製造業</t>
  </si>
  <si>
    <t>2645 包装・荷造機械製造業</t>
  </si>
  <si>
    <t>自動二輪車</t>
  </si>
  <si>
    <t>265 基礎素材産業用機械製造業</t>
  </si>
  <si>
    <t>大型自動二輪車から原動機付自転車までの各種二輪自動車（エンジン付きの二輪車）を製造する企業群</t>
  </si>
  <si>
    <t>2651 鋳造装置製造業</t>
  </si>
  <si>
    <t>2652 化学機械・同装置製造業</t>
  </si>
  <si>
    <t>2653 プラスチック加工機械・同附属装置製造業</t>
  </si>
  <si>
    <t>266 金属加工機械製造業</t>
  </si>
  <si>
    <t>2661 金属工作機械製造業</t>
  </si>
  <si>
    <t>2662 金属加工機械製造業（金属工作機械を除く）</t>
  </si>
  <si>
    <t>2663 金属工作機械用・金属加工機械用部分品・附属品製造業（機械工具，金型を除く）</t>
  </si>
  <si>
    <t>2664 機械工具製造業（粉末や金業を除く）</t>
  </si>
  <si>
    <t>267 半導体・フラットパネルディスプレイ製造装置製造業</t>
  </si>
  <si>
    <t>2671 半導体製造装置製造業</t>
  </si>
  <si>
    <t>2672 フラットパネルディスプレイ製造装置製造業</t>
  </si>
  <si>
    <t>269 その他の生産用機械・同部分品製造業</t>
  </si>
  <si>
    <t>2691 金属用金型・同部分品・附属品製造業</t>
  </si>
  <si>
    <t>2692 非金属用金型・同部分品・附属品製造業</t>
  </si>
  <si>
    <t>2693 真空装置・真空機器製造業</t>
  </si>
  <si>
    <t>2694 ロボット製造業</t>
  </si>
  <si>
    <t>2699 他に分類されない生産用機械・同部分品製造業</t>
  </si>
  <si>
    <t>中分類 27 業務用機械器具製造業</t>
  </si>
  <si>
    <t>270 管理，補助的経済活動を行う事業所（27業務用機械器具製造業）</t>
  </si>
  <si>
    <t>2700 主として管理事務を行う本社等</t>
  </si>
  <si>
    <t>2709 その他の管理，補助的経済活動を行う事業所</t>
  </si>
  <si>
    <t>271 事務用機械器具製造業</t>
  </si>
  <si>
    <t>2711 複写機製造業</t>
  </si>
  <si>
    <t>2719 その他の事務用機械器具製造業</t>
  </si>
  <si>
    <t>272 サービス用・娯楽用機械器具製造業</t>
  </si>
  <si>
    <t>2721 サービス用機械器具製造業</t>
  </si>
  <si>
    <t>2722 娯楽用機械製造業</t>
  </si>
  <si>
    <t>2723 自動販売機製造業</t>
  </si>
  <si>
    <t>2729 その他のサービス用・娯楽用機械器具製造業</t>
  </si>
  <si>
    <t>273 計量器・測定器・分析機器・試験機・測量機械器具・理化学機械器具製造業</t>
  </si>
  <si>
    <t>2731 体積計製造業</t>
  </si>
  <si>
    <t>2732 はかり製造業</t>
  </si>
  <si>
    <t>2733 圧力計・流量計・液面計等製造業</t>
  </si>
  <si>
    <t>2734 精密測定器製造業</t>
  </si>
  <si>
    <t>2735 分析機器製造業</t>
  </si>
  <si>
    <t>2736 試験機製造業</t>
  </si>
  <si>
    <t>2737 測量機械器具製造業</t>
  </si>
  <si>
    <t>2738 理化学機械器具製造業</t>
  </si>
  <si>
    <t>2739 その他の計量器・測定器・分析機器・試験機・測量機械器具・理化学機械器具製造業</t>
  </si>
  <si>
    <t>274 医療用機械器具・医療用品製造業</t>
  </si>
  <si>
    <t>2741 医療用機械器具製造業</t>
  </si>
  <si>
    <t>2742 歯科用機械器具製造業</t>
  </si>
  <si>
    <t>2743 医療用品製造業（動物用医療機械器具を含む）</t>
  </si>
  <si>
    <t>2744 歯科材料製造業</t>
  </si>
  <si>
    <t>275 光学機械器具・レンズ製造業</t>
  </si>
  <si>
    <t>2751 顕微鏡・望遠鏡等製造業</t>
  </si>
  <si>
    <t>2752 写真機・映画用機械・同附属品製造業</t>
  </si>
  <si>
    <t>2753 光学機械用レンズ・プリズム製造業</t>
  </si>
  <si>
    <t>276 武器製造業</t>
  </si>
  <si>
    <t>2761 武器製造業</t>
  </si>
  <si>
    <t>中分類 28 電子部品・デバイス・電子回路製造業</t>
  </si>
  <si>
    <t>280 管理，補助的経済活動を行う事業所（28電子部品・デバイス・電子回路製造業）</t>
  </si>
  <si>
    <t>2800 主として管理事務を行う本社等</t>
  </si>
  <si>
    <t>2809 その他の管理，補助的経済活動を行う事業所</t>
  </si>
  <si>
    <t>281 電子デバイス製造業</t>
  </si>
  <si>
    <t>2811 電子管製造業</t>
  </si>
  <si>
    <t>2812 光電変換素子製造業</t>
  </si>
  <si>
    <t>2813 半導体素子製造業（光電変換素子を除く）</t>
  </si>
  <si>
    <t>2814 集積回路製造業</t>
  </si>
  <si>
    <t>2815 液晶パネル・フラットパネル製造業</t>
  </si>
  <si>
    <t>282 電子部品製造業</t>
  </si>
  <si>
    <t>2821 抵抗器・コンデンサ・変成器・複合部品製造業</t>
  </si>
  <si>
    <t>2822 音響部品・磁気ヘッド・小形モータ製造業</t>
  </si>
  <si>
    <t>2823 コネクタ・スイッチ・リレー製造業</t>
  </si>
  <si>
    <t>283 記録メディア製造業</t>
  </si>
  <si>
    <t>2831 半導体メモリメディア製造業</t>
  </si>
  <si>
    <t>2832 光ディスク・磁気ディスク・磁気テープ製造業</t>
  </si>
  <si>
    <t>284 電子回路製造業</t>
  </si>
  <si>
    <t>2841 電子回路基板製造業</t>
  </si>
  <si>
    <t>2842 電子回路実装基板製造業</t>
  </si>
  <si>
    <t>285 ユニット部品製造業</t>
  </si>
  <si>
    <t>2851 電源ユニット・高周波ユニット・コントロールユニット製造業</t>
  </si>
  <si>
    <t>2859 その他のユニット部品製造業</t>
  </si>
  <si>
    <t>289 その他の電子部品・デバイス・電子回路製造業</t>
  </si>
  <si>
    <t>2899 その他の電子部品・デバイス・電子回路製造業</t>
  </si>
  <si>
    <t>中分類 29 電気機械器具製造業</t>
  </si>
  <si>
    <t>290 管理，補助的経済活動を行う事業所（29電気機械器具製造業）</t>
  </si>
  <si>
    <t>2900 主として管理事務を行う本社等</t>
  </si>
  <si>
    <t>2909 その他の管理，補助的経済活動を行う事業所</t>
  </si>
  <si>
    <t>291 発電用・送電用・配電用電気機械器具製造業</t>
  </si>
  <si>
    <t>2911 発電機・電動機・その他の回転電気機械製造業</t>
  </si>
  <si>
    <t>2912 変圧器類製造業（電子機器用を除く)</t>
  </si>
  <si>
    <t>2913 電力開閉装置製造業</t>
  </si>
  <si>
    <t>2914 配電盤・電力制御装置製造業</t>
  </si>
  <si>
    <t>2915 配線器具・配線附属品製造業</t>
  </si>
  <si>
    <t>292 産業用電気機械器具製造業</t>
  </si>
  <si>
    <t>2921 電気溶接機製造業</t>
  </si>
  <si>
    <t>2922 内燃機関電装品製造業</t>
  </si>
  <si>
    <t>2929 その他の産業用電気機械器具製造業（車両用，船舶用を含む）</t>
  </si>
  <si>
    <t>293 民生用電気機械器具製造業</t>
  </si>
  <si>
    <t>2931 ちゅう房機器製造業</t>
  </si>
  <si>
    <t>2932 空調・住宅関連機器製造業</t>
  </si>
  <si>
    <t>2933 衣料衛生関連機器製造業</t>
  </si>
  <si>
    <t>2939 その他の民生用電気機械器具製造業</t>
  </si>
  <si>
    <t>294 電球・電気照明器具製造業</t>
  </si>
  <si>
    <t>2941 電球製造業</t>
  </si>
  <si>
    <t>2942 電気照明器具製造業</t>
  </si>
  <si>
    <t>295 電池製造業</t>
  </si>
  <si>
    <t>2951 蓄電池製造業</t>
  </si>
  <si>
    <t>2952 一次電池（乾電池，湿電池）製造業</t>
  </si>
  <si>
    <t>296 電子応用装置製造業</t>
  </si>
  <si>
    <t>2961 X線装置製造業</t>
  </si>
  <si>
    <t>2962 医療用電子応用装置製造業</t>
  </si>
  <si>
    <t>2969 その他の電子応用装置製造業</t>
  </si>
  <si>
    <t>297 電気計測器製造業</t>
  </si>
  <si>
    <t>2971 電気計測器製造業（別掲を除く）</t>
  </si>
  <si>
    <t>2972 工業計器製造業</t>
  </si>
  <si>
    <t>2973 医療用計測器製造業</t>
  </si>
  <si>
    <t>299 その他の電気機械器具製造業</t>
  </si>
  <si>
    <t>2999 その他の電気機械器具製造業</t>
  </si>
  <si>
    <t>中分類 30 情報通信機械器具製造業</t>
  </si>
  <si>
    <t>300 管理，補助的経済活動を行う事業所（30情報通信機械器具製造業）</t>
  </si>
  <si>
    <t>3000 主として管理事務を行う本社等</t>
  </si>
  <si>
    <t>3009 その他の管理，補助的経済活動を行う事業所</t>
  </si>
  <si>
    <t>301 通信機械器具・同関連機械器具製造業</t>
  </si>
  <si>
    <t>3011 有線通信機械器具製造業</t>
  </si>
  <si>
    <t>3012 携帯電話機・PHS電話機製造業</t>
  </si>
  <si>
    <t>3013 無線通信機械器具製造業</t>
  </si>
  <si>
    <t>3014 ラジオ受信機・テレビジョン受信機製造業</t>
  </si>
  <si>
    <t>3015 交通信号保安装置製造業</t>
  </si>
  <si>
    <t>3019 その他の通信機械器具・同関連機械器具製造業</t>
  </si>
  <si>
    <t>302 映像・音響機械器具製造業</t>
  </si>
  <si>
    <t>3021 ビデオ機器製造業</t>
  </si>
  <si>
    <t>3022 デジタルカメラ製造業</t>
  </si>
  <si>
    <t>3023 電気音響機械器具製造業</t>
  </si>
  <si>
    <t>303 電子計算機・同附属装置製造業</t>
  </si>
  <si>
    <t>3031 電子計算機製造業（パーソナルコンピュータを除く）</t>
  </si>
  <si>
    <t>3032 パーソナルコンピュータ製造業</t>
  </si>
  <si>
    <t>3033 外部記憶装置製造業</t>
  </si>
  <si>
    <t>3034 印刷装置製造業</t>
  </si>
  <si>
    <t>3035 表示装置製造業</t>
  </si>
  <si>
    <t>3039 その他の附属装置製造業</t>
  </si>
  <si>
    <t>中分類 31 輸送用機械器具製造業</t>
  </si>
  <si>
    <t>310 管理，補助的経済活動を行う事業所（31輸送用機械器具製造業）</t>
  </si>
  <si>
    <t>3100 主として管理事務を行う本社等</t>
  </si>
  <si>
    <t>3109 その他の管理，補助的経済活動を行う事業所</t>
  </si>
  <si>
    <t>311 自動車・同附属品製造業</t>
  </si>
  <si>
    <t>3111 自動車製造業（二輪自動車を含む）</t>
  </si>
  <si>
    <t>3112 自動車車体・附随車製造業</t>
  </si>
  <si>
    <t>3113 自動車部分品・附属品製造業</t>
  </si>
  <si>
    <t>312 鉄道車両・同部分品製造業</t>
  </si>
  <si>
    <t>3121 鉄道車両製造業</t>
  </si>
  <si>
    <t>3122 鉄道車両用部分品製造業</t>
  </si>
  <si>
    <t>313 船舶製造・修理業，舶用機関製造業</t>
  </si>
  <si>
    <t>3131 船舶製造・修理業</t>
  </si>
  <si>
    <t>3132 船体ブロック製造業</t>
  </si>
  <si>
    <t>3133 舟艇製造・修理業</t>
  </si>
  <si>
    <t>3134 舶用機関製造業</t>
  </si>
  <si>
    <t>314 航空機・同附属品製造業</t>
  </si>
  <si>
    <t>3141 航空機製造業</t>
  </si>
  <si>
    <t>3142 航空機用原動機製造業</t>
  </si>
  <si>
    <t>3149 その他の航空機部分品・補助装置製造業</t>
  </si>
  <si>
    <t>315 産業用運搬車両・同部分品・附属品製造業</t>
  </si>
  <si>
    <t>3151 フォークリフトトラック・同部分品・附属品製造業</t>
  </si>
  <si>
    <t>3159 その他の産業用運搬車両・同部分品・附属品製造業</t>
  </si>
  <si>
    <t>319 その他の輸送用機械器具製造業</t>
  </si>
  <si>
    <t>3191 自転車・同部分品製造業</t>
  </si>
  <si>
    <t>3199 他に分類されない輸送用機械器具製造業</t>
  </si>
  <si>
    <t>中分類 32 その他の製造業</t>
  </si>
  <si>
    <t>320 管理，補助的経済活動を行う事業所（32その他の製造業）</t>
  </si>
  <si>
    <t>3200 主として管理事務を行う本社等</t>
  </si>
  <si>
    <t>3209 その他の管理，補助的経済活動を行う事業所</t>
  </si>
  <si>
    <t>321 貴金属・宝石製品製造業</t>
  </si>
  <si>
    <t>3211 貴金属・宝石製装身具（ジュエリー）製品製造業</t>
  </si>
  <si>
    <t>3212 貴金属・宝石製装身具（ジュエリー）附属品・同材料加工業</t>
  </si>
  <si>
    <t>3219 その他の貴金属製品製造業</t>
  </si>
  <si>
    <t>322 装身具・装飾品・ボタン・同関連品製造業（貴金属・宝石製を除く）</t>
  </si>
  <si>
    <t>3221 装身具・装飾品製造業（貴金属・宝石製を除く）</t>
  </si>
  <si>
    <t>3222 造花・装飾用羽毛製造業</t>
  </si>
  <si>
    <t>3223 ボタン製造業</t>
  </si>
  <si>
    <t>3224 針・ピン・ホック・スナップ・同関連品製造業</t>
  </si>
  <si>
    <t>3229 その他の装身具・装飾品製造業</t>
  </si>
  <si>
    <t>323 時計・同部分品製造業</t>
  </si>
  <si>
    <t>3231 時計・同部分品製造業</t>
  </si>
  <si>
    <t>324 楽器製造業</t>
  </si>
  <si>
    <t>3241 ピアノ製造業</t>
  </si>
  <si>
    <t>3249 その他の楽器・楽器部品・同材料製造業</t>
  </si>
  <si>
    <t>325 がん具・運動用具製造業</t>
  </si>
  <si>
    <t>3251 娯楽用具・がん具製造業（人形を除く）</t>
  </si>
  <si>
    <t>3252 人形製造業</t>
  </si>
  <si>
    <t>3253 運動用具製造業</t>
  </si>
  <si>
    <t>326 ペン・鉛筆・絵画用品・その他の事務用品製造業</t>
  </si>
  <si>
    <t>3261 万年筆・ペン類・鉛筆製造業</t>
  </si>
  <si>
    <t>3262 毛筆・絵画用品製造業（鉛筆を除く）</t>
  </si>
  <si>
    <t>3269 その他の事務用品製造業</t>
  </si>
  <si>
    <t>327 漆器製造業</t>
  </si>
  <si>
    <t>3271 漆器製造業</t>
  </si>
  <si>
    <t>328 畳等生活雑貨製品製造業</t>
  </si>
  <si>
    <t>3281 麦わら・パナマ類帽子・わら工品製造業</t>
  </si>
  <si>
    <t>3282 畳製造業</t>
  </si>
  <si>
    <t>3283 うちわ・扇子・ちょうちん製造業</t>
  </si>
  <si>
    <t>3284 ほうき・ブラシ製造業</t>
  </si>
  <si>
    <t>3285 喫煙用具製造業（貴金属・宝石製を除く）</t>
  </si>
  <si>
    <t>3289 その他の生活雑貨製品製造業</t>
  </si>
  <si>
    <t>329 他に分類されない製造業</t>
  </si>
  <si>
    <t>3291 煙火製造業</t>
  </si>
  <si>
    <t>3292 看板・標識機製造業</t>
  </si>
  <si>
    <t>3293 パレット製造業</t>
  </si>
  <si>
    <t>3294 モデル・模型製造業</t>
  </si>
  <si>
    <t>3295 工業用模型製造業</t>
  </si>
  <si>
    <t>3296 情報記録物製造業（新聞，書籍等の印刷物を除く）</t>
  </si>
  <si>
    <t>3297 眼鏡製造業（枠を含む）</t>
  </si>
  <si>
    <t>3299 他に分類されないその他の製造業</t>
  </si>
  <si>
    <t>＜項目一覧へ＞</t>
  </si>
  <si>
    <t>大分類 F 電気・ガス・熱供給・水道業 説明及び内容例示（PDF：20KB）</t>
  </si>
  <si>
    <t>中分類 33 電気業</t>
  </si>
  <si>
    <t>330 管理，補助的経済活動を行う事業所（33電気業）</t>
  </si>
  <si>
    <t>3300 主として管理事務を行う本社等</t>
  </si>
  <si>
    <t>3309 その他の管理，補助的経済活動を行う事業所</t>
  </si>
  <si>
    <t>331 電気業</t>
  </si>
  <si>
    <t>3311 発電所</t>
  </si>
  <si>
    <t>3312 変電所</t>
  </si>
  <si>
    <t>中分類 34 ガス業</t>
  </si>
  <si>
    <t>340 管理，補助的経済活動を行う事業所（34ガス業）</t>
  </si>
  <si>
    <t>3400 主として管理事務を行う本社等</t>
  </si>
  <si>
    <t>3409 その他の管理，補助的経済活動を行う事業所</t>
  </si>
  <si>
    <t>341 ガス業</t>
  </si>
  <si>
    <t>3411 ガス製造工場</t>
  </si>
  <si>
    <t>3412 ガス供給所</t>
  </si>
  <si>
    <t>中分類 35 熱供給業</t>
  </si>
  <si>
    <t>350 管理，補助的経済活動を行う事業所（35熱供給業）</t>
  </si>
  <si>
    <t>3500 主として管理事務を行う本社等</t>
  </si>
  <si>
    <t>3509 その他の管理，補助的経済活動を行う事業所</t>
  </si>
  <si>
    <t>351 熱供給業</t>
  </si>
  <si>
    <t>3511 熱供給業</t>
  </si>
  <si>
    <t>中分類 36 水道業</t>
  </si>
  <si>
    <t>360 管理，補助的経済活動を行う事業所（36水道業）</t>
  </si>
  <si>
    <t>3600 主として管理事務を行う本社等</t>
  </si>
  <si>
    <t>3609 その他の管理，補助的経済活動を行う事業所</t>
  </si>
  <si>
    <t>361 上水道業</t>
  </si>
  <si>
    <t>3611 上水道業</t>
  </si>
  <si>
    <t>362 工業用水道業</t>
  </si>
  <si>
    <t>3621 工業用水道業</t>
  </si>
  <si>
    <t>363 下水道業</t>
  </si>
  <si>
    <t>3631 下水道処理施設維持管理業</t>
  </si>
  <si>
    <t>3632 下水道管路施設維持管理業</t>
  </si>
  <si>
    <t>大分類 G 情報通信業 説明及び内容例示（PDF：41KB）</t>
  </si>
  <si>
    <t>中分類 37 通信業</t>
  </si>
  <si>
    <t>370 管理，補助的経済活動を行う事業所（37通信業）</t>
  </si>
  <si>
    <t>3700 主として管理事務を行う本社等</t>
  </si>
  <si>
    <t>3709 その他の管理，補助的経済活動を行う事業所</t>
  </si>
  <si>
    <t>371 固定電気通信業</t>
  </si>
  <si>
    <t>3711 地域電気通信業（有線放送電話業を除く）</t>
  </si>
  <si>
    <t>3712 長距離電気通信業</t>
  </si>
  <si>
    <t>3713 有線放送電話業</t>
  </si>
  <si>
    <t>3719 その他の固定電気通信業</t>
  </si>
  <si>
    <t>372 移動電気通信業</t>
  </si>
  <si>
    <t>3721 移動電気通信業</t>
  </si>
  <si>
    <t>373 電気通信に附帯するサービス業</t>
  </si>
  <si>
    <t>3731 電気通信に附帯するサービス業</t>
  </si>
  <si>
    <t>中分類 38 放送業</t>
  </si>
  <si>
    <t>380 管理，補助的経済活動を行う事業所（38放送業）</t>
  </si>
  <si>
    <t>3800 主として管理事務を行う本社等</t>
  </si>
  <si>
    <t>3809 その他の管理，補助的経済活動を行う事業所</t>
  </si>
  <si>
    <t>381 公共放送業（有線放送業を除く）</t>
  </si>
  <si>
    <t>3811 公共放送業（有線放送業を除く）</t>
  </si>
  <si>
    <t>382 民間放送業（有線放送業を除く）</t>
  </si>
  <si>
    <t>その他生活用品製造,生活用品小売</t>
  </si>
  <si>
    <t>3821 テレビジョン放送業（衛星放送業を除く）</t>
  </si>
  <si>
    <t>スポーツ用品,スポーツ用品店</t>
  </si>
  <si>
    <t>3822 ラジオ放送業（衛星放送業を除く）</t>
  </si>
  <si>
    <t>3823 衛星放送業</t>
  </si>
  <si>
    <t>3829 その他の民間放送業</t>
  </si>
  <si>
    <t>383 有線放送業</t>
  </si>
  <si>
    <t>3831 有線テレビジョン放送業</t>
  </si>
  <si>
    <t>3832 有線ラジオ放送業</t>
  </si>
  <si>
    <t>その他生活用品製造,自動車部品製造,医療・福祉関連品製造</t>
  </si>
  <si>
    <t>中分類 39 情報サービス業</t>
  </si>
  <si>
    <t>スポーツ用品,自動車・産業用ゴム製品,福祉用具製造・レンタル卸</t>
  </si>
  <si>
    <t>390 管理，補助的経済活動を行う事業所（39情報サービス業）</t>
  </si>
  <si>
    <t>3900 主として管理事務を行う本社等</t>
  </si>
  <si>
    <t>3909 その他の管理，補助的経済活動を行う事業所</t>
  </si>
  <si>
    <t>391 ソフトウェア業</t>
  </si>
  <si>
    <t>3911 受託開発ソフトウェア業</t>
  </si>
  <si>
    <t>3912 組込みソフトウェア業</t>
  </si>
  <si>
    <t>3913 パッケージソフトウェア業</t>
  </si>
  <si>
    <t>3914 ゲームソフトウェア業</t>
  </si>
  <si>
    <t>392 情報処理・提供サービス業</t>
  </si>
  <si>
    <t>3921 情報処理サービス業</t>
  </si>
  <si>
    <t>3922 情報提供サービス業</t>
  </si>
  <si>
    <t>3923 市場調査・世論調査・社会調査業</t>
  </si>
  <si>
    <t>3929 その他の情報処理・提供サービス業</t>
  </si>
  <si>
    <t>中分類 40 インターネット附随サービス業</t>
  </si>
  <si>
    <t>400 管理，補助的経済活動を行う事業所（40インターネット附随サービス業）</t>
  </si>
  <si>
    <t>4000 主として管理事務を行う本社等</t>
  </si>
  <si>
    <t>4009 その他の管理，補助的経済活動を行う事業所</t>
  </si>
  <si>
    <t>401 インターネット附随サービス業</t>
  </si>
  <si>
    <t>4011 ポータルサイト・サーバ運営業</t>
  </si>
  <si>
    <t>4012 アプリケーション・サービス・コンテンツ・プロバイダ</t>
  </si>
  <si>
    <t>4013 インターネット利用サポート業</t>
  </si>
  <si>
    <t>中分類 41 映像・音声・文字情報制作業</t>
  </si>
  <si>
    <t>410 管理，補助的経済活動を行う事業所（41映像・音声・文字情報制作業）</t>
  </si>
  <si>
    <t>4100 主として管理事務を行う本社等</t>
  </si>
  <si>
    <t>4109 その他の管理，補助的経済活動を行う事業所</t>
  </si>
  <si>
    <t>411 映像情報制作・配給業</t>
  </si>
  <si>
    <t>4111 映画・ビデオ制作業（テレビジョン番組制作業，アニメーション制作業を除く）</t>
  </si>
  <si>
    <t>4112 テレビジョン番組制作業（アニメーション制作業を除く）</t>
  </si>
  <si>
    <t>4113 アニメーション制作業</t>
  </si>
  <si>
    <t>4114 映画・ビデオ・テレビジョン番組配給業</t>
  </si>
  <si>
    <t>412 音声情報制作業</t>
  </si>
  <si>
    <t>4121 レコード制作業</t>
  </si>
  <si>
    <t>4122 ラジオ番組制作業</t>
  </si>
  <si>
    <t>413 新聞業</t>
  </si>
  <si>
    <t>イベント・広告</t>
  </si>
  <si>
    <t>4131 新聞業</t>
  </si>
  <si>
    <t>414 出版業</t>
  </si>
  <si>
    <t>4141 出版業</t>
  </si>
  <si>
    <t>415 広告制作業</t>
  </si>
  <si>
    <t>4151 広告制作業</t>
  </si>
  <si>
    <t>416 映像・音声・文字情報制作に附帯するサービス業</t>
  </si>
  <si>
    <t>4161 ニュース供給業</t>
  </si>
  <si>
    <t>4169 その他の映像・音声・文字情報制作に附帯するサービス業</t>
  </si>
  <si>
    <t>大分類 H 運輸業，郵便業 説明及び内容例示（PDF：43KB）</t>
  </si>
  <si>
    <t>中分類 42 鉄道業</t>
  </si>
  <si>
    <t>420 管理，補助的経済活動を行う事業所（42鉄道業）</t>
  </si>
  <si>
    <t>4200 主として管理事務を行う本社等</t>
  </si>
  <si>
    <t>4209 その他の管理，補助的経済活動を行う事業所</t>
  </si>
  <si>
    <t>421 鉄道業</t>
  </si>
  <si>
    <t>4211 普通鉄道業</t>
  </si>
  <si>
    <t>4212 軌道業</t>
  </si>
  <si>
    <t>4213 地下鉄道業</t>
  </si>
  <si>
    <t>4214 モノレール鉄道業（地下鉄道業を除く）</t>
  </si>
  <si>
    <t>4215 案内軌条式鉄道業（地下鉄道業を除く）</t>
  </si>
  <si>
    <t>4216 鋼索鉄道業</t>
  </si>
  <si>
    <t>4217 索道業</t>
  </si>
  <si>
    <t>4219 その他の鉄道業</t>
  </si>
  <si>
    <t>中分類 43 道路旅客運送業</t>
  </si>
  <si>
    <t>430 管理，補助的経済活動を行う事業所（43道路旅客運送業）</t>
  </si>
  <si>
    <t>4300 主として管理事務を行う本社等</t>
  </si>
  <si>
    <t>4309 その他の管理，補助的経済活動を行う事業所</t>
  </si>
  <si>
    <t>431 一般乗合旅客自動車運送業</t>
  </si>
  <si>
    <t>4311 一般乗合旅客自動車運送業</t>
  </si>
  <si>
    <t>432 一般乗用旅客自動車運送業</t>
  </si>
  <si>
    <t>4321 一般乗用旅客自動車運送業</t>
  </si>
  <si>
    <t>433 一般貸切旅客自動車運送業</t>
  </si>
  <si>
    <t>4331 一般貸切旅客自動車運送業</t>
  </si>
  <si>
    <t>439 その他の道路旅客運送業</t>
  </si>
  <si>
    <t>4391 特定旅客自動車運送業</t>
  </si>
  <si>
    <t>4399 他に分類されない道路旅客運送業</t>
  </si>
  <si>
    <t>中分類 44 道路貨物運送業</t>
  </si>
  <si>
    <t>440 管理，補助的経済活動を行う事業所（44道路貨物運送業）</t>
  </si>
  <si>
    <t>4400 主として管理事務を行う本社等</t>
  </si>
  <si>
    <t>4409 その他の管理，補助的経済活動を行う事業所</t>
  </si>
  <si>
    <t>441 一般貨物自動車運送業</t>
  </si>
  <si>
    <t>4411 一般貨物自動車運送業（特別積合せ貨物運送業を除く）</t>
  </si>
  <si>
    <t>4412 特別積合せ貨物運送業</t>
  </si>
  <si>
    <t>442 特定貨物自動車運送業</t>
  </si>
  <si>
    <t>4421 特定貨物自動車運送業</t>
  </si>
  <si>
    <t>443 貨物軽自動車運送業</t>
  </si>
  <si>
    <t>4431 貨物軽自動車運送業</t>
  </si>
  <si>
    <t>444 集配利用運送業</t>
  </si>
  <si>
    <t>4441 集配利用運送業</t>
  </si>
  <si>
    <t>449 その他の道路貨物運送業</t>
  </si>
  <si>
    <t>4499 その他の道路貨物運送業</t>
  </si>
  <si>
    <t>中分類 45 水運業</t>
  </si>
  <si>
    <t>450 管理，補助的経済活動を行う事業所（45水運業）</t>
  </si>
  <si>
    <t>4500 主として管理事務を行う本社等</t>
  </si>
  <si>
    <t>4509 その他の管理，補助的経済活動を行う事業所</t>
  </si>
  <si>
    <t>451 外航海運業</t>
  </si>
  <si>
    <t>4511 外航旅客海運業</t>
  </si>
  <si>
    <t>4512 外航貨物海運業</t>
  </si>
  <si>
    <t>452 沿海海運業</t>
  </si>
  <si>
    <t>4521 沿海旅客海運業</t>
  </si>
  <si>
    <t>4522 沿海貨物海運業</t>
  </si>
  <si>
    <t>453 内陸水運業</t>
  </si>
  <si>
    <t>4531 港湾旅客海運業</t>
  </si>
  <si>
    <t>4532 河川水運業</t>
  </si>
  <si>
    <t>4533 湖沼水運業</t>
  </si>
  <si>
    <t>454 船舶貸渡業</t>
  </si>
  <si>
    <t>4541 船舶貸渡業（内航船舶貸渡業を除く）</t>
  </si>
  <si>
    <t>4542 内航船舶貸渡業</t>
  </si>
  <si>
    <t>中分類 46 航空運輸業</t>
  </si>
  <si>
    <t>460 管理，補助的経済活動を行う事業所（46航空運輸業）</t>
  </si>
  <si>
    <t>4600 主として管理事務を行う本社等</t>
  </si>
  <si>
    <t>4609 その他の管理，補助的経済活動を行う事業所</t>
  </si>
  <si>
    <t>461 航空運送業</t>
  </si>
  <si>
    <t>4611 航空運送業</t>
  </si>
  <si>
    <t>462 航空機使用業（航空運送業を除く）</t>
  </si>
  <si>
    <t>4621 航空機使用業（航空運送業を除く）</t>
  </si>
  <si>
    <t>中分類 47 倉庫業</t>
  </si>
  <si>
    <t>470 管理，補助的経済活動を行う事業所（47倉庫業）</t>
  </si>
  <si>
    <t>4700 主として管理事務を行う本社等</t>
  </si>
  <si>
    <t>4709 その他の管理，補助的経済活動を行う事業所</t>
  </si>
  <si>
    <t>471 倉庫業（冷蔵倉庫業を除く）</t>
  </si>
  <si>
    <t>4711 倉庫業（冷蔵倉庫業を除く）</t>
  </si>
  <si>
    <t>472 冷蔵倉庫業</t>
  </si>
  <si>
    <t>4721 冷蔵倉庫業</t>
  </si>
  <si>
    <t>中分類 48 運輸に附帯するサービス業</t>
  </si>
  <si>
    <t>480 管理，補助的経済活動を行う事業所（48運輸に附帯するサービス業）</t>
  </si>
  <si>
    <t>4800 主として管理事務を行う本社等</t>
  </si>
  <si>
    <t>4809 その他の管理，補助的経済活動を行う事業所</t>
  </si>
  <si>
    <t>481 港湾運送業</t>
  </si>
  <si>
    <t>4811 港湾運送業</t>
  </si>
  <si>
    <t>482 貨物運送取扱業（集配利用運送業を除く）</t>
  </si>
  <si>
    <t>4821 利用運送業（集配利用運送業を除く）</t>
  </si>
  <si>
    <t>4822 運送取次業</t>
  </si>
  <si>
    <t>483 運送代理店</t>
  </si>
  <si>
    <t>4831 運送代理店</t>
  </si>
  <si>
    <t>484 こん包業</t>
  </si>
  <si>
    <t>4841 こん包業（組立こん包業を除く）</t>
  </si>
  <si>
    <t>4842 組立こん包業</t>
  </si>
  <si>
    <t>485 運輸施設提供業</t>
  </si>
  <si>
    <t>4851 鉄道施設提供業</t>
  </si>
  <si>
    <t>4852 道路運送固定施設業</t>
  </si>
  <si>
    <t>4853 自動車ターミナル業</t>
  </si>
  <si>
    <t>4854 貨物荷扱固定施設業</t>
  </si>
  <si>
    <t>4855 桟橋泊きょ業</t>
  </si>
  <si>
    <t>4856 飛行場業</t>
  </si>
  <si>
    <t>489 その他の運輸に附帯するサービス業</t>
  </si>
  <si>
    <t>4891 海運仲立業</t>
  </si>
  <si>
    <t>4899 他に分類されない運輸に附帯するサービス業</t>
  </si>
  <si>
    <t>中分類 49 郵便業（信書便事業を含む）</t>
  </si>
  <si>
    <t>490 管理，補助的経済活動を行う事業所（49郵便業）</t>
  </si>
  <si>
    <t>4901 管理，補助的経済活動を行う事業所</t>
  </si>
  <si>
    <t>491 郵便業（信書便事業を含む）</t>
  </si>
  <si>
    <t>4911 郵便業（信書便事業を含む）</t>
  </si>
  <si>
    <t>大分類 I 卸売業，小売業 説明及び内容例示（PDF：151KB）</t>
  </si>
  <si>
    <t>中分類 50 各種商品卸売業</t>
  </si>
  <si>
    <t>500 管理，補助的経済活動を行う事業所（50各種商品卸売業）</t>
  </si>
  <si>
    <t>5000 主として管理事務を行う本社等</t>
  </si>
  <si>
    <t>5008 自家用倉庫</t>
  </si>
  <si>
    <t>5009 その他の管理，補助的経済活動を行う事業所</t>
  </si>
  <si>
    <t>コンテンツ制作・配信,インターネットメディア</t>
  </si>
  <si>
    <t>501 各種商品卸売業</t>
  </si>
  <si>
    <t>ソーシャルゲーム,専門情報サイト</t>
  </si>
  <si>
    <t>5011 各種商品卸売業（従業者が常時100人以上のもの）</t>
  </si>
  <si>
    <t>5019 その他の各種商品卸売業</t>
  </si>
  <si>
    <t>中分類 51 繊維・衣服等卸売業</t>
  </si>
  <si>
    <t>510 管理，補助的経済活動を行う事業所（51繊維・衣服等卸売業）</t>
  </si>
  <si>
    <t>5100 主として管理事務を行う本社等</t>
  </si>
  <si>
    <t>5108 自家用倉庫</t>
  </si>
  <si>
    <t>5109 その他の管理，補助的経済活動を行う事業所</t>
  </si>
  <si>
    <t>511 繊維品卸売業（衣服，身の回り品を除く）</t>
  </si>
  <si>
    <t>5111 繊維原料卸売業</t>
  </si>
  <si>
    <t>5112 糸卸売業</t>
  </si>
  <si>
    <t>5113 織物卸売業（室内装飾繊維品を除く）</t>
  </si>
  <si>
    <t>512 衣服卸売業</t>
  </si>
  <si>
    <t>5121 男子服卸売業</t>
  </si>
  <si>
    <t>5122 婦人・子供服卸売業</t>
  </si>
  <si>
    <t>5123 下着類卸売業</t>
  </si>
  <si>
    <t>5129 その他の衣服卸売業</t>
  </si>
  <si>
    <t>513 身の回り品卸売業</t>
  </si>
  <si>
    <t>5131 寝具類卸売業</t>
  </si>
  <si>
    <t>5132 靴・履物卸売業</t>
  </si>
  <si>
    <t>5133 かばん・袋物卸売業</t>
  </si>
  <si>
    <t>5139 その他の身の回り品卸売業</t>
  </si>
  <si>
    <t>中分類 52 飲食料品卸売業</t>
  </si>
  <si>
    <t>520 管理，補助的経済活動を行う事業所（52飲食料品卸売業）</t>
  </si>
  <si>
    <t>5200 主として管理事務を行う本社等</t>
  </si>
  <si>
    <t>5208 自家用倉庫</t>
  </si>
  <si>
    <t>5209 その他の管理，補助的経済活動を行う事業所</t>
  </si>
  <si>
    <t>521 農畜産物・水産物卸売業</t>
  </si>
  <si>
    <t>5211 米麦卸売業</t>
  </si>
  <si>
    <t>5212 雑穀・豆類卸売業</t>
  </si>
  <si>
    <t>5213 野菜卸売業</t>
  </si>
  <si>
    <t>5214 果実卸売業</t>
  </si>
  <si>
    <t>5215 食肉卸売業</t>
  </si>
  <si>
    <t>5216 生鮮魚介卸売業</t>
  </si>
  <si>
    <t>5219 その他の農畜産物・水産物卸売業</t>
  </si>
  <si>
    <t>522 食料・飲料卸売業</t>
  </si>
  <si>
    <t>5221 砂糖・味そ・しょう油卸売業</t>
  </si>
  <si>
    <t>5222 酒類卸売業</t>
  </si>
  <si>
    <t>5223 乾物卸売業</t>
  </si>
  <si>
    <t>5224 菓子・パン類卸売業</t>
  </si>
  <si>
    <t>5225 飲料卸売業（別掲を除く）</t>
  </si>
  <si>
    <t>5226 茶類卸売業</t>
  </si>
  <si>
    <t>5227 牛乳・乳製品卸売業</t>
  </si>
  <si>
    <t>5229 その他の食料・飲料卸売業</t>
  </si>
  <si>
    <t>中分類 53 建築材料，鉱物・金属材料等卸売業</t>
  </si>
  <si>
    <t>530 管理，補助的経済活動を行う事業所（53建築材料，鉱物・金属材料等卸売業）</t>
  </si>
  <si>
    <t>5300 主として管理事務を行う本社等</t>
  </si>
  <si>
    <t>5308 自家用倉庫</t>
  </si>
  <si>
    <t>5309 その他の管理，補助的経済活動を行う事業所</t>
  </si>
  <si>
    <t>531 建築材料卸売業</t>
  </si>
  <si>
    <t>5311 木材・竹材卸売業</t>
  </si>
  <si>
    <t>5312 セメント卸売業</t>
  </si>
  <si>
    <t>5313 板ガラス卸売業</t>
  </si>
  <si>
    <t>5314 建築用金属製品卸売業（建築用金物を除く）</t>
  </si>
  <si>
    <t>5319 その他の建築材料卸売業</t>
  </si>
  <si>
    <t>532 化学製品卸売業</t>
  </si>
  <si>
    <t>5321 塗料卸売業</t>
  </si>
  <si>
    <t>5322 プラスチック卸売業</t>
  </si>
  <si>
    <t>5329 その他の化学製品卸売業</t>
  </si>
  <si>
    <t>533 石油・鉱物卸売業</t>
  </si>
  <si>
    <t>5331 石油卸売業</t>
  </si>
  <si>
    <t>5332 鉱物卸売業（石油を除く）</t>
  </si>
  <si>
    <t>534 鉄鋼製品卸売業</t>
  </si>
  <si>
    <t>5341 鉄鋼粗製品卸売業</t>
  </si>
  <si>
    <t>5342 鉄鋼一次製品卸売業</t>
  </si>
  <si>
    <t>システム開発,飲食店</t>
  </si>
  <si>
    <t>CAD・CAMシステム,高級レストラン</t>
  </si>
  <si>
    <t>5349 その他の鉄鋼製品卸売業</t>
  </si>
  <si>
    <t>535 非鉄金属卸売業</t>
  </si>
  <si>
    <t>5351 非鉄金属地金卸売業</t>
  </si>
  <si>
    <t>5352 非鉄金属製品卸売業</t>
  </si>
  <si>
    <t>536 再生資源卸売業</t>
  </si>
  <si>
    <t>5361 空瓶・空缶等空容器卸売業</t>
  </si>
  <si>
    <t>5362 鉄スクラップ卸売業</t>
  </si>
  <si>
    <t>5363 非鉄金属スクラップ卸売業</t>
  </si>
  <si>
    <t>5364 古紙卸売業</t>
  </si>
  <si>
    <t>5369 その他の再生資源卸売業</t>
  </si>
  <si>
    <t>中分類 54 機械器具卸売業</t>
  </si>
  <si>
    <t>540 管理，補助的経済活動を行う事業所（54機械器具卸売業）</t>
  </si>
  <si>
    <t>5400 主として管理事務を行う本社等</t>
  </si>
  <si>
    <t>5408 自家用倉庫</t>
  </si>
  <si>
    <t>5409 その他の管理，補助的経済活動を行う事業所</t>
  </si>
  <si>
    <t>541 産業機械器具卸売業</t>
  </si>
  <si>
    <t>5411 農業用機械器具卸売業</t>
  </si>
  <si>
    <t>5412 建設機械・鉱山機械卸売業</t>
  </si>
  <si>
    <t>5413 金属加工機械卸売業</t>
  </si>
  <si>
    <t>5414 事務用機械器具卸売業</t>
  </si>
  <si>
    <t>5419 その他の産業機械器具卸売業</t>
  </si>
  <si>
    <t>542 自動車卸売業</t>
  </si>
  <si>
    <t>5421 自動車卸売業（二輪自動車を含む）</t>
  </si>
  <si>
    <t>5422 自動車部分品・附属品卸売業（中古品を除く）</t>
  </si>
  <si>
    <t>5423 自動車中古部品卸売業</t>
  </si>
  <si>
    <t>543 電気機械器具卸売業</t>
  </si>
  <si>
    <t>5431 家庭用電気機械器具卸売業</t>
  </si>
  <si>
    <t>5432 電気機械器具卸売業（家庭用電気機械器具を除く）</t>
  </si>
  <si>
    <t>549 その他の機械器具卸売業</t>
  </si>
  <si>
    <t>5491 輸送用機械器具卸売業（自動車を除く）</t>
  </si>
  <si>
    <t>5492 計量器・理化学機械器具・光学機械器具等卸売業</t>
  </si>
  <si>
    <t>5493 医療用機械器具卸売業（歯科用機械器具を含む）</t>
  </si>
  <si>
    <t>中分類 55 その他の卸売業</t>
  </si>
  <si>
    <t>550 管理，補助的経済活動を行う事業所（55その他の卸売業）</t>
  </si>
  <si>
    <t>5500 主として管理事務を行う本社等</t>
  </si>
  <si>
    <t>5508 自家用倉庫</t>
  </si>
  <si>
    <t>5509 その他の管理，補助的経済活動を行う事業所</t>
  </si>
  <si>
    <t>551 家具・建具・じゅう器等卸売業</t>
  </si>
  <si>
    <t>5511 家具・建具卸売業</t>
  </si>
  <si>
    <t>5512 荒物卸売業</t>
  </si>
  <si>
    <t>5513 畳卸売業</t>
  </si>
  <si>
    <t>5514 室内装飾繊維品卸売業</t>
  </si>
  <si>
    <t>5515 陶磁器・ガラス器卸売業</t>
  </si>
  <si>
    <t>5519 その他のじゅう器卸売業</t>
  </si>
  <si>
    <t>552 医薬品・化粧品等卸売業</t>
  </si>
  <si>
    <t>5521 医薬品卸売業</t>
  </si>
  <si>
    <t>5522 医療用品卸売業</t>
  </si>
  <si>
    <t>5523 化粧品卸売業</t>
  </si>
  <si>
    <t>5524 合成洗剤卸売業</t>
  </si>
  <si>
    <t>553 紙・紙製品卸売業</t>
  </si>
  <si>
    <t>5531 紙卸売業</t>
  </si>
  <si>
    <t>5532 紙製品卸売業</t>
  </si>
  <si>
    <t>559 他に分類されない卸売業</t>
  </si>
  <si>
    <t>5591 金物卸売業</t>
  </si>
  <si>
    <t>5592 肥料・飼料卸売業</t>
  </si>
  <si>
    <t>5593 スポーツ用品卸売業</t>
  </si>
  <si>
    <t>5594 娯楽用品・がん具卸売業</t>
  </si>
  <si>
    <t>5595 たばこ卸売業</t>
  </si>
  <si>
    <t>5596 ジュエリー製品卸売業</t>
  </si>
  <si>
    <t>5597 書籍・雑誌卸売業</t>
  </si>
  <si>
    <t>5598 代理商，仲立業</t>
  </si>
  <si>
    <t>5599 他に分類されないその他の卸売業</t>
  </si>
  <si>
    <t>中分類 56 各種商品小売業</t>
  </si>
  <si>
    <t>560 管理，補助的経済活動を行う事業所（56各種商品小売業）</t>
  </si>
  <si>
    <t>5600 主として管理事務を行う本社等</t>
  </si>
  <si>
    <t>5608 自家用倉庫</t>
  </si>
  <si>
    <t>5609 その他の管理，補助的経済活動を行う事業所</t>
  </si>
  <si>
    <t>561 百貨店，総合スーパー</t>
  </si>
  <si>
    <t>5611 百貨店，総合スーパー</t>
  </si>
  <si>
    <t>569 その他の各種商品小売業（従業者が常時50人未満のもの）</t>
  </si>
  <si>
    <t>5699 その他の各種商品小売業（従業者が常時50人未満のもの）</t>
  </si>
  <si>
    <t>中分類 57 織物・衣服・身の回り品小売業</t>
  </si>
  <si>
    <t>570 管理，補助的経済活動を行う事業所（57織物・衣服・身の回り品小売業）</t>
  </si>
  <si>
    <t>5700 主として管理事務を行う本社等</t>
  </si>
  <si>
    <t>5708 自家用倉庫</t>
  </si>
  <si>
    <t>5709 その他の管理，補助的経済活動を行う事業所</t>
  </si>
  <si>
    <t>571 呉服・服地・寝具小売業</t>
  </si>
  <si>
    <t>5711 呉服・服地小売業</t>
  </si>
  <si>
    <t>5712 寝具小売業</t>
  </si>
  <si>
    <t>572 男子服小売業</t>
  </si>
  <si>
    <t>5721 男子服小売業</t>
  </si>
  <si>
    <t>573 婦人・子供服小売業</t>
  </si>
  <si>
    <t>5731 婦人服小売業</t>
  </si>
  <si>
    <t>5732 子供服小売業</t>
  </si>
  <si>
    <t>574 靴・履物小売業</t>
  </si>
  <si>
    <t>5741 靴小売業</t>
  </si>
  <si>
    <t>5742 履物小売業（靴を除く）</t>
  </si>
  <si>
    <t>579 その他の織物・衣服・身の回り品小売業</t>
  </si>
  <si>
    <t>5791 かばん・袋物小売業</t>
  </si>
  <si>
    <t>5792 下着類小売業</t>
  </si>
  <si>
    <t>5793 洋品雑貨・小間物小売業</t>
  </si>
  <si>
    <t>5799 他に分類されない織物・衣服・身の回り品小売業</t>
  </si>
  <si>
    <t>中分類 58 飲食料品小売業</t>
  </si>
  <si>
    <t>580 管理，補助的経済活動を行う事業所（58飲食料品小売業）</t>
  </si>
  <si>
    <t>5800 主として管理事務を行う本社等</t>
  </si>
  <si>
    <t>5808 自家用倉庫</t>
  </si>
  <si>
    <t>5809 その他の管理，補助的経済活動を行う事業所</t>
  </si>
  <si>
    <t>581 各種食料品小売業</t>
  </si>
  <si>
    <t>5811 各種食料品小売業</t>
  </si>
  <si>
    <t>582 野菜・果実小売業</t>
  </si>
  <si>
    <t>5821 野菜小売業</t>
  </si>
  <si>
    <t>5822 果実小売業</t>
  </si>
  <si>
    <t>583 食肉小売業</t>
  </si>
  <si>
    <t>5831 食肉小売業（卵，鳥肉を除く）</t>
  </si>
  <si>
    <t>5832 卵・鳥肉小売業</t>
  </si>
  <si>
    <t>584 鮮魚小売業</t>
  </si>
  <si>
    <t>5841 鮮魚小売業</t>
  </si>
  <si>
    <t>585 酒小売業</t>
  </si>
  <si>
    <t>5851 酒小売業</t>
  </si>
  <si>
    <t>586 菓子・パン小売業</t>
  </si>
  <si>
    <t>5861 菓子小売業（製造小売）</t>
  </si>
  <si>
    <t>5862 菓子小売業（製造小売でないもの）</t>
  </si>
  <si>
    <t>5863 パン小売業（製造小売）</t>
  </si>
  <si>
    <t>5864 パン小売業（製造小売でないもの）</t>
  </si>
  <si>
    <t>589 その他の飲食料品小売業</t>
  </si>
  <si>
    <t>5891 コンビニエンスストア（飲食料品を中心とするものに限る）</t>
  </si>
  <si>
    <t>5892 牛乳小売業</t>
  </si>
  <si>
    <t>5893 飲料小売業（別掲を除く）</t>
  </si>
  <si>
    <t>5894 茶類小売業</t>
  </si>
  <si>
    <t>5895 料理品小売業</t>
  </si>
  <si>
    <t>5896 米穀類小売業</t>
  </si>
  <si>
    <t>5897 豆腐・かまぼこ等加工食品小売業</t>
  </si>
  <si>
    <t>5898 乾物小売業</t>
  </si>
  <si>
    <t>5899 他に分類されない飲食料品小売業</t>
  </si>
  <si>
    <t>中分類 59 機械器具小売業</t>
  </si>
  <si>
    <t>590 管理，補助的経済活動を行う事業所（59機械器具小売業）</t>
  </si>
  <si>
    <t>5900 主として管理事務を行う本社等</t>
  </si>
  <si>
    <t>5908 自家用倉庫</t>
  </si>
  <si>
    <t>5909 その他の管理，補助的経済活動を行う事業所</t>
  </si>
  <si>
    <t>591 自動車小売業</t>
  </si>
  <si>
    <t>5911 自動車（新車）小売業</t>
  </si>
  <si>
    <t>5912 中古自動車小売業</t>
  </si>
  <si>
    <t>5913 自動車部分品・附属品小売業</t>
  </si>
  <si>
    <t>5914 二輪自動車小売業（原動機付自転車を含む）</t>
  </si>
  <si>
    <t>592 自転車小売業</t>
  </si>
  <si>
    <t>5921 自転車小売業</t>
  </si>
  <si>
    <t>593 機械器具小売業（自動車，自転車を除く）</t>
  </si>
  <si>
    <t>5931 電気機械器具小売業（中古品を除く）</t>
  </si>
  <si>
    <t>5932 電気事務機械器具小売業（中古品を除く）</t>
  </si>
  <si>
    <t>5933 中古電気製品小売業</t>
  </si>
  <si>
    <t>5939 その他の機械器具小売業</t>
  </si>
  <si>
    <t>中分類 60 その他の小売業</t>
  </si>
  <si>
    <t>600 管理，補助的経済活動を行う事業所（60その他の小売業）</t>
  </si>
  <si>
    <t>6000 主として管理事務を行う本社等</t>
  </si>
  <si>
    <t>6008 自家用倉庫</t>
  </si>
  <si>
    <t>6009 その他の管理，補助的経済活動を行う事業所</t>
  </si>
  <si>
    <t>601 家具・建具・畳小売業</t>
  </si>
  <si>
    <t>6011 家具小売業</t>
  </si>
  <si>
    <t>6012 建具小売業</t>
  </si>
  <si>
    <t>6013 畳小売業</t>
  </si>
  <si>
    <t>6014 宗教用具小売業</t>
  </si>
  <si>
    <t>602 じゅう器小売業</t>
  </si>
  <si>
    <t>6021 金物小売業</t>
  </si>
  <si>
    <t>6022 荒物小売業</t>
  </si>
  <si>
    <t>6023 陶磁器・ガラス器小売業</t>
  </si>
  <si>
    <t>6029 他に分類されないじゅう器小売業</t>
  </si>
  <si>
    <t>603 医薬品・化粧品小売業</t>
  </si>
  <si>
    <t>6031 ドラッグストア</t>
  </si>
  <si>
    <t>6032 医薬品小売業（調剤薬局を除く）</t>
  </si>
  <si>
    <t>6033 調剤薬局</t>
  </si>
  <si>
    <t>6034 化粧品小売業</t>
  </si>
  <si>
    <t>604 農耕用品小売業</t>
  </si>
  <si>
    <t>6041 農業用機械器具小売業</t>
  </si>
  <si>
    <t>6042 苗・種子小売業</t>
  </si>
  <si>
    <t>6043 肥料・飼料小売業</t>
  </si>
  <si>
    <t>605 燃料小売業</t>
  </si>
  <si>
    <t>6051 ガソリンスタンド</t>
  </si>
  <si>
    <t>6052 燃料小売業（ガソリンスタンドを除く）</t>
  </si>
  <si>
    <t>606 書籍・文房具小売業</t>
  </si>
  <si>
    <t>6061 書籍・雑誌小売業（古本を除く）</t>
  </si>
  <si>
    <t>6062 古本小売業</t>
  </si>
  <si>
    <t>6063 新聞小売業</t>
  </si>
  <si>
    <t>6064 紙・文房具小売業</t>
  </si>
  <si>
    <t>607 スポーツ用品・がん具・娯楽用品・楽器小売業</t>
  </si>
  <si>
    <t>6071 スポーツ用品小売業</t>
  </si>
  <si>
    <t>6072 がん具・娯楽用品小売業</t>
  </si>
  <si>
    <t>6073 楽器小売業</t>
  </si>
  <si>
    <t>608 写真機・時計・眼鏡小売業</t>
  </si>
  <si>
    <t>6081 写真機・写真材料小売業</t>
  </si>
  <si>
    <t>6082 時計・眼鏡・光学機械小売業</t>
  </si>
  <si>
    <t>609 他に分類されない小売業</t>
  </si>
  <si>
    <t>6091 ホームセンター</t>
  </si>
  <si>
    <t>6092 たばこ・喫煙具専門小売業</t>
  </si>
  <si>
    <t>6093 花・植木小売業</t>
  </si>
  <si>
    <t>6094 建築材料小売業</t>
  </si>
  <si>
    <t>6095 ジュエリー製品小売業</t>
  </si>
  <si>
    <t>6096 ペット・ペット用品小売業</t>
  </si>
  <si>
    <t>6097 骨とう品小売業</t>
  </si>
  <si>
    <t>6098 中古品小売業（骨とう品を除く）</t>
  </si>
  <si>
    <t>6099 他に分類されないその他の小売業</t>
  </si>
  <si>
    <t>中分類 61 無店舗小売業</t>
  </si>
  <si>
    <t>610 管理，補助的経済活動を行う事業所（61無店舗小売業）</t>
  </si>
  <si>
    <t>6100 主として管理事務を行う本社等</t>
  </si>
  <si>
    <t>6108 自家用倉庫</t>
  </si>
  <si>
    <t>6109 その他の管理，補助的経済活動を行う事業所</t>
  </si>
  <si>
    <t>611 通信販売・訪問販売小売業</t>
  </si>
  <si>
    <t>6111 無店舗小売業（各種商品小売）</t>
  </si>
  <si>
    <t>6112 無店舗小売業（織物・衣服・身の回り品小売）</t>
  </si>
  <si>
    <t>6113 無店舗小売業（飲食料品小売）</t>
  </si>
  <si>
    <t>6114 無店舗小売業（機械器具小売）</t>
  </si>
  <si>
    <t>6119 無店舗小売業（その他の小売）</t>
  </si>
  <si>
    <t>612 自動販売機による小売業</t>
  </si>
  <si>
    <t>6121 自動販売機による小売業</t>
  </si>
  <si>
    <t>619 その他の無店舗小売業</t>
  </si>
  <si>
    <t>6199 その他の無店舗小売業</t>
  </si>
  <si>
    <t>リース・レンタル,生活関連サービス</t>
  </si>
  <si>
    <t>清掃関連用具レンタル,クリーニング</t>
  </si>
  <si>
    <t>大分類 J 金融業，保険業 説明及び内容例示（PDF：45KB）</t>
  </si>
  <si>
    <t>中分類 62 銀行業</t>
  </si>
  <si>
    <t>620 管理，補助的経済活動を行う事業所（62銀行業）</t>
  </si>
  <si>
    <t>6200 主として管理事務を行う本社等</t>
  </si>
  <si>
    <t>6209 その他の管理，補助的経済活動を行う事業所</t>
  </si>
  <si>
    <t>621 中央銀行</t>
  </si>
  <si>
    <t>6211 中央銀行</t>
  </si>
  <si>
    <t>622 銀行（中央銀行を除く）</t>
  </si>
  <si>
    <t>6221 普通銀行</t>
  </si>
  <si>
    <t>6222 郵便貯金銀行</t>
  </si>
  <si>
    <t>6223 信託銀行</t>
  </si>
  <si>
    <t>6229 その他の銀行</t>
  </si>
  <si>
    <t>中分類 63 協同組織金融業</t>
  </si>
  <si>
    <t>630 管理，補助的経済活動を行う事業所（63協同組織金融業）</t>
  </si>
  <si>
    <t>6300 主として管理事務を行う本社等</t>
  </si>
  <si>
    <t>6309 その他の管理，補助的経済活動を行う事業所</t>
  </si>
  <si>
    <t>631 中小企業等金融業</t>
  </si>
  <si>
    <t>6311 信用金庫・同連合会</t>
  </si>
  <si>
    <t>6312 信用協同組合・同連合会</t>
  </si>
  <si>
    <t>6313 商工組合中央金庫</t>
  </si>
  <si>
    <t>6314 労働金庫・同連合会</t>
  </si>
  <si>
    <t>632 農林水産金融業</t>
  </si>
  <si>
    <t>6321 農林中央金庫</t>
  </si>
  <si>
    <t>6322 信用農業協同組合連合会</t>
  </si>
  <si>
    <t>6323 信用漁業協同組合連合会，信用水産加工業協同組合連合会</t>
  </si>
  <si>
    <t>6324 農業協同組合</t>
  </si>
  <si>
    <t>6325 漁業協同組合，水産加工業協同組合</t>
  </si>
  <si>
    <t>中分類 64 貸金業，クレジットカード業等非預金信用機関</t>
  </si>
  <si>
    <t>640 管理，補助的経済活動を行う事業所（64貸金業，クレジットカード業等非預金信用機関）</t>
  </si>
  <si>
    <t>6400 主として管理事務を行う本社等</t>
  </si>
  <si>
    <t>6409 その他の管理，補助的経済活動を行う事業所</t>
  </si>
  <si>
    <t>641 貸金業</t>
  </si>
  <si>
    <t>6411 消費者向け貸金業</t>
  </si>
  <si>
    <t>6412 事業者向け貸金業</t>
  </si>
  <si>
    <t>642 質屋</t>
  </si>
  <si>
    <t>6421 質屋</t>
  </si>
  <si>
    <t>643 クレジットカード業，割賦金融業</t>
  </si>
  <si>
    <t>6431 クレジットカード業</t>
  </si>
  <si>
    <t>6432 割賦金融業</t>
  </si>
  <si>
    <t>649 その他の非預金信用機関</t>
  </si>
  <si>
    <t>6491 政府関係金融機関</t>
  </si>
  <si>
    <t>6492 住宅専門金融業</t>
  </si>
  <si>
    <t>6493 証券金融業</t>
  </si>
  <si>
    <t>6499 他に分類されない非預金信用機関</t>
  </si>
  <si>
    <t>中分類 65 金融商品取引業，商品先物取引業</t>
  </si>
  <si>
    <t>650 管理，補助的経済活動を行う事業所（65金融商品取引業，商品先物取引業）</t>
  </si>
  <si>
    <t>6500 主として管理事務を行う本社等</t>
  </si>
  <si>
    <t>6509 その他の管理，補助的経済活動を行う事業所</t>
  </si>
  <si>
    <t>651 金融商品取引業</t>
  </si>
  <si>
    <t>6511 金融商品取引業（投資助言・代理業・運用業，補助的金融商品取引業を除く）</t>
  </si>
  <si>
    <t>6512 投資助言・代理業</t>
  </si>
  <si>
    <t>6513 投資運用業</t>
  </si>
  <si>
    <t>6514 補助的金融商品取引業</t>
  </si>
  <si>
    <t>652 商品先物取引業，商品投資顧問業</t>
  </si>
  <si>
    <t>6521 商品先物取引業</t>
  </si>
  <si>
    <t>6522 商品投資顧問業</t>
  </si>
  <si>
    <t>6529 その他の商品先物取引業，商品投資顧問業</t>
  </si>
  <si>
    <t>中分類 66 補助的金融業等</t>
  </si>
  <si>
    <t>660 管理，補助的経済活動を行う事業所（66補助的金融業等）</t>
  </si>
  <si>
    <t>6600 主として管理事務を行う本社等</t>
  </si>
  <si>
    <t>6609 その他の管理，補助的経済活動を行う事業所</t>
  </si>
  <si>
    <t>661 補助的金融業，金融附帯業</t>
  </si>
  <si>
    <t>6611 短資業</t>
  </si>
  <si>
    <t>6612 手形交換所</t>
  </si>
  <si>
    <t>6613 両替業</t>
  </si>
  <si>
    <t>6614 信用保証機関</t>
  </si>
  <si>
    <t>6615 信用保証再保険機関</t>
  </si>
  <si>
    <t>6616 預・貯金等保険機関</t>
  </si>
  <si>
    <t>6617 金融商品取引所</t>
  </si>
  <si>
    <t>6618 商品取引所</t>
  </si>
  <si>
    <t>6619 その他の補助的金融業，金融附帯業</t>
  </si>
  <si>
    <t>662 信託業</t>
  </si>
  <si>
    <t>6621 運用型信託業</t>
  </si>
  <si>
    <t>6622 管理型信託業</t>
  </si>
  <si>
    <t>663 金融代理業</t>
  </si>
  <si>
    <t>6631 金融商品仲介業</t>
  </si>
  <si>
    <t>6632 信託契約代理業</t>
  </si>
  <si>
    <t>6639 その他の金融代理業</t>
  </si>
  <si>
    <t>中分類 67 保険業（保険媒介代理業，保険サービス業を含む）</t>
  </si>
  <si>
    <t>670 管理，補助的経済活動を行う事業所（67保険業）</t>
  </si>
  <si>
    <t>6700 主として管理事務を行う本社等</t>
  </si>
  <si>
    <t>6709 その他の管理，補助的経済活動を行う事業所</t>
  </si>
  <si>
    <t>671 生命保険業</t>
  </si>
  <si>
    <t>6711 生命保険業（郵便保険業，生命保険再保険業を除く）</t>
  </si>
  <si>
    <t>6712 郵便保険業</t>
  </si>
  <si>
    <t>6713 生命保険再保険業</t>
  </si>
  <si>
    <t>6719 その他の生命保険業</t>
  </si>
  <si>
    <t>672 損害保険業</t>
  </si>
  <si>
    <t>6721 損害保険業（損害保険再保険業を除く）</t>
  </si>
  <si>
    <t>6722 損害保険再保険業</t>
  </si>
  <si>
    <t>6729 その他の損害保険業</t>
  </si>
  <si>
    <t>673 共済事業，少額短期保険業</t>
  </si>
  <si>
    <t>6731 共済事業（各種災害補償法によるもの）</t>
  </si>
  <si>
    <t>6732 共済事業（各種協同組合法等によるもの）</t>
  </si>
  <si>
    <t>6733 少額短期保険業</t>
  </si>
  <si>
    <t>674 保険媒介代理業</t>
  </si>
  <si>
    <t>6741 生命保険媒介業</t>
  </si>
  <si>
    <t>6742 損害保険代理業</t>
  </si>
  <si>
    <t>6743 共済事業媒介代理業・少額短期保険代理業</t>
  </si>
  <si>
    <t>675 保険サービス業</t>
  </si>
  <si>
    <t>6751 保険料率算出団体</t>
  </si>
  <si>
    <t>6752 損害査定業</t>
  </si>
  <si>
    <t>6759 その他の保険サービス業</t>
  </si>
  <si>
    <t>大分類 K 不動産業，物品賃貸業 説明及び内容例示（PDF：26KB）</t>
  </si>
  <si>
    <t>中分類 68 不動産取引業</t>
  </si>
  <si>
    <t>680 管理，補助的経済活動を行う事業所（68不動産取引業）</t>
  </si>
  <si>
    <t>6800 主として管理事務を行う本社等</t>
  </si>
  <si>
    <t>6809 その他の管理，補助的経済活動を行う事業所</t>
  </si>
  <si>
    <t>681 建物売買業，土地売買業</t>
  </si>
  <si>
    <t>6811 建物売買業</t>
  </si>
  <si>
    <t>6812 土地売買業</t>
  </si>
  <si>
    <t>682 不動産代理業・仲介業</t>
  </si>
  <si>
    <t>6821 不動産代理業・仲介業</t>
  </si>
  <si>
    <t>中分類 69 不動産賃貸業・管理業</t>
  </si>
  <si>
    <t>690 管理，補助的経済活動を行う事業所（69不動産賃貸業・管理業）</t>
  </si>
  <si>
    <t>6900 主として管理事務を行う本社等</t>
  </si>
  <si>
    <t>6909 その他の管理，補助的経済活動を行う事業所</t>
  </si>
  <si>
    <t>691 不動産賃貸業（貸家業，貸間業を除く）</t>
  </si>
  <si>
    <t>6911 貸事務所業</t>
  </si>
  <si>
    <t>6912 土地賃貸業</t>
  </si>
  <si>
    <t>6919 その他の不動産賃貸業</t>
  </si>
  <si>
    <t>レジャー,旅行・宿泊</t>
  </si>
  <si>
    <t>692 貸家業，貸間業</t>
  </si>
  <si>
    <t>アミューズメント施設,ホテル・旅館</t>
  </si>
  <si>
    <t>6921 貸家業</t>
  </si>
  <si>
    <t>6922 貸間業</t>
  </si>
  <si>
    <t>693 駐車場業</t>
  </si>
  <si>
    <t>6931 駐車場業</t>
  </si>
  <si>
    <t>694 不動産管理業</t>
  </si>
  <si>
    <t>6941 不動産管理業</t>
  </si>
  <si>
    <t>中分類 70 物品賃貸業</t>
  </si>
  <si>
    <t>700 管理，補助的経済活動を行う事業所（70物品賃貸業）</t>
  </si>
  <si>
    <t>7000 主として管理事務を行う本社等</t>
  </si>
  <si>
    <t>7009 その他の管理，補助的経済活動を行う事業所</t>
  </si>
  <si>
    <t>レジャー,本・映像・ゲーム小売</t>
  </si>
  <si>
    <t>ネット・複合カフェ,書店</t>
  </si>
  <si>
    <t>701 各種物品賃貸業</t>
  </si>
  <si>
    <t>7011 総合リース業</t>
  </si>
  <si>
    <t>7019 その他の各種物品賃貸業</t>
  </si>
  <si>
    <t>702 産業用機械器具賃貸業</t>
  </si>
  <si>
    <t>7021 産業用機械器具賃貸業（建設機械器具を除く）</t>
  </si>
  <si>
    <t>7022 建設機械器具賃貸業</t>
  </si>
  <si>
    <t>703 事務用機械器具賃貸業</t>
  </si>
  <si>
    <t>7031 事務用機械器具賃貸業（電子計算機を除く）</t>
  </si>
  <si>
    <t>7032 電子計算機・同関連機器賃貸業</t>
  </si>
  <si>
    <t>レジャー,業務用機械製造</t>
  </si>
  <si>
    <t>アミューズメント施設,アミューズメント機器</t>
  </si>
  <si>
    <t>704 自動車賃貸業</t>
  </si>
  <si>
    <t>7041 自動車賃貸業</t>
  </si>
  <si>
    <t>705 スポーツ・娯楽用品賃貸業</t>
  </si>
  <si>
    <t>7051 スポーツ・娯楽用品賃貸業</t>
  </si>
  <si>
    <t>709 その他の物品賃貸業</t>
  </si>
  <si>
    <t>7091 映画・演劇用品賃貸業</t>
  </si>
  <si>
    <t>7092 音楽・映像記録物賃貸業（別掲を除く）</t>
  </si>
  <si>
    <t>7093 貸衣しょう業（別掲を除く）</t>
  </si>
  <si>
    <t>7099 他に分類されない物品賃貸業</t>
  </si>
  <si>
    <t>大分類 L 学術研究，専門・技術サービス業 説明及び内容例示（PDF：38KB）</t>
  </si>
  <si>
    <t>中分類 71 学術・開発研究機関</t>
  </si>
  <si>
    <t>710 管理，補助的経済活動を行う事業所（71学術・開発研究機関）</t>
  </si>
  <si>
    <t>7101 管理，補助的経済活動を行う事業所</t>
  </si>
  <si>
    <t>711 自然科学研究所</t>
  </si>
  <si>
    <t>7111 理学研究所</t>
  </si>
  <si>
    <t>7112 工学研究所</t>
  </si>
  <si>
    <t>7113 農学研究所</t>
  </si>
  <si>
    <t>7114 医学・薬学研究所</t>
  </si>
  <si>
    <t>712 人文・社会科学研究所</t>
  </si>
  <si>
    <t>7121 人文・社会科学研究所</t>
  </si>
  <si>
    <t>中分類 72 専門サービス業（他に分類されないもの）</t>
  </si>
  <si>
    <t>720 管理，補助的経済活動を行う事業所（72専門サービス業）</t>
  </si>
  <si>
    <t>7201 管理，補助的経済活動を行う事業所</t>
  </si>
  <si>
    <t>不動産サービス,レジャー</t>
  </si>
  <si>
    <t>721 法律事務所，特許事務所</t>
  </si>
  <si>
    <t>駐車場管理・運営,アミューズメント施設</t>
  </si>
  <si>
    <t>7211 法律事務所</t>
  </si>
  <si>
    <t>7212 特許事務所</t>
  </si>
  <si>
    <t>722 公証人役場，司法書士事務所，土地家屋調査士事務所</t>
  </si>
  <si>
    <t>7221 公証人役場，司法書士事務所</t>
  </si>
  <si>
    <t>7222 土地家屋調査士事務所</t>
  </si>
  <si>
    <t>723 行政書士事務所</t>
  </si>
  <si>
    <t>7231 行政書士事務所</t>
  </si>
  <si>
    <t>724 公認会計士事務所，税理士事務所</t>
  </si>
  <si>
    <t>7241 公認会計士事務所</t>
  </si>
  <si>
    <t>住宅リフォーム・修繕,クリーニング</t>
  </si>
  <si>
    <t>7242 税理士事務所</t>
  </si>
  <si>
    <t>725 社会保険労務士事務所</t>
  </si>
  <si>
    <t>7251 社会保険労務士事務所</t>
  </si>
  <si>
    <t>726 デザイン業</t>
  </si>
  <si>
    <t>7261 デザイン業</t>
  </si>
  <si>
    <t>727 著述・芸術家業</t>
  </si>
  <si>
    <t>7271 著述家業</t>
  </si>
  <si>
    <t>7272 芸術家業</t>
  </si>
  <si>
    <t>728 経営コンサルタント業，純粋持株会社</t>
  </si>
  <si>
    <t>7281 経営コンサルタント業</t>
  </si>
  <si>
    <t>7282 純粋持株会社</t>
  </si>
  <si>
    <t>729 その他の専門サービス業</t>
  </si>
  <si>
    <t>7291 興信所</t>
  </si>
  <si>
    <t>7292 翻訳業（著述家業を除く）</t>
  </si>
  <si>
    <t>7293 通訳業，通訳案内業</t>
  </si>
  <si>
    <t>7294 不動産鑑定業</t>
  </si>
  <si>
    <t>7299 他に分類されない専門サービス業</t>
  </si>
  <si>
    <t>中分類 73 広告業</t>
  </si>
  <si>
    <t>730 管理，補助的経済活動を行う事業所（73広告業）</t>
  </si>
  <si>
    <t>7300 主として管理事務を行う本社等</t>
  </si>
  <si>
    <t>7309 その他の管理，補助的経済活動を行う事業所</t>
  </si>
  <si>
    <t>731 広告業</t>
  </si>
  <si>
    <t>7311 広告業</t>
  </si>
  <si>
    <t>中分類 74 技術サービス業（他に分類されないもの）</t>
  </si>
  <si>
    <t>740 管理，補助的経済活動を行う事業所（74技術サービス業）</t>
  </si>
  <si>
    <t>7401 管理，補助的経済活動を行う事業所</t>
  </si>
  <si>
    <t>741 獣医業</t>
  </si>
  <si>
    <t>7411 獣医業</t>
  </si>
  <si>
    <t>人事・人材コンサルティング／企業研修</t>
  </si>
  <si>
    <t>742 土木建築サービス業</t>
  </si>
  <si>
    <t>7421 建築設計業</t>
  </si>
  <si>
    <t>7422 測量業</t>
  </si>
  <si>
    <t>7429 その他の土木建築サービス業</t>
  </si>
  <si>
    <t>743 機械設計業</t>
  </si>
  <si>
    <t>7431 機械設計業</t>
  </si>
  <si>
    <t>744 商品・非破壊検査業</t>
  </si>
  <si>
    <t>7441 商品検査業</t>
  </si>
  <si>
    <t>7442 非破壊検査業</t>
  </si>
  <si>
    <t>745 計量証明業</t>
  </si>
  <si>
    <t>7451 一般計量証明業</t>
  </si>
  <si>
    <t>7452 環境計量証明業</t>
  </si>
  <si>
    <t>7459 その他の計量証明業</t>
  </si>
  <si>
    <t>746 写真業</t>
  </si>
  <si>
    <t>7461 写真業（商業写真業を除く）</t>
  </si>
  <si>
    <t>7462 商業写真業</t>
  </si>
  <si>
    <t>749 その他の技術サービス業</t>
  </si>
  <si>
    <t>7499 その他の技術サービス業</t>
  </si>
  <si>
    <t>大分類 M 宿泊業，飲食サービス業 説明及び内容例示（PDF：26KB）</t>
  </si>
  <si>
    <t>中分類 75 宿泊業</t>
  </si>
  <si>
    <t>750 管理，補助的経済活動を行う事業所（75宿泊業）</t>
  </si>
  <si>
    <t>7500 主として管理事務を行う本社等</t>
  </si>
  <si>
    <t>7509 その他の管理，補助的経済活動を行う事業所</t>
  </si>
  <si>
    <t>751 旅館，ホテル</t>
  </si>
  <si>
    <t>7511 旅館，ホテル</t>
  </si>
  <si>
    <t>752 簡易宿所</t>
  </si>
  <si>
    <t>7521 簡易宿所</t>
  </si>
  <si>
    <t>753 下宿業</t>
  </si>
  <si>
    <t>7531 下宿業</t>
  </si>
  <si>
    <t>759 その他の宿泊業</t>
  </si>
  <si>
    <t>7591 会社・団体の宿泊所</t>
  </si>
  <si>
    <t>7592 リゾートクラブ</t>
  </si>
  <si>
    <t>7599 他に分類されない宿泊業</t>
  </si>
  <si>
    <t>中分類 76 飲食店</t>
  </si>
  <si>
    <t>760 管理，補助的経済活動を行う事業所（76飲食店）</t>
  </si>
  <si>
    <t>7600 主として管理事務を行う本社等</t>
  </si>
  <si>
    <t>7609 その他の管理，補助的経済活動を行う事業所</t>
  </si>
  <si>
    <t>761 食堂，レストラン（専門料理店を除く）</t>
  </si>
  <si>
    <t>7611 食堂，レストラン（専門料理店を除く）</t>
  </si>
  <si>
    <t>762 専門料理店</t>
  </si>
  <si>
    <t>7621 日本料理店</t>
  </si>
  <si>
    <t>7622 料亭</t>
  </si>
  <si>
    <t>7623 中華料理店</t>
  </si>
  <si>
    <t>7624 ラーメン店</t>
  </si>
  <si>
    <t>7625 焼肉店</t>
  </si>
  <si>
    <t>7629 その他の専門料理店</t>
  </si>
  <si>
    <t>763 そば・うどん店</t>
  </si>
  <si>
    <t>7631 そば・うどん店</t>
  </si>
  <si>
    <t>764 すし店</t>
  </si>
  <si>
    <t>7641 すし店</t>
  </si>
  <si>
    <t>765 酒場，ビヤホール</t>
  </si>
  <si>
    <t>7651 酒場，ビヤホール</t>
  </si>
  <si>
    <t>766 バー，キャバレー，ナイトクラブ</t>
  </si>
  <si>
    <t>7661 バー，キャバレー，ナイトクラブ</t>
  </si>
  <si>
    <t>767 喫茶店</t>
  </si>
  <si>
    <t>7671 喫茶店</t>
  </si>
  <si>
    <t>769 その他の飲食店</t>
  </si>
  <si>
    <t>7691 ハンバーガー店</t>
  </si>
  <si>
    <t>7692 お好み焼・焼きそば・たこ焼店</t>
  </si>
  <si>
    <t>7699 他に分類されない飲食店</t>
  </si>
  <si>
    <t>中分類 77 持ち帰り・配達飲食サービス業</t>
  </si>
  <si>
    <t>770 管理，補助的経済活動を行う事業所（77持ち帰り・配達飲食サービス業）</t>
  </si>
  <si>
    <t>7700 主として管理事務を行う本社等</t>
  </si>
  <si>
    <t>7709 その他の管理，補助的経済活動を行う事業所</t>
  </si>
  <si>
    <t>771 持ち帰り飲食サービス業</t>
  </si>
  <si>
    <t>7711 持ち帰り飲食サービス業</t>
  </si>
  <si>
    <t>772 配達飲食サービス業</t>
  </si>
  <si>
    <t>7721 配達飲食サービス業</t>
  </si>
  <si>
    <t>大分類 N 生活関連サービス業，娯楽業 説明及び内容例示（PDF：51KB）</t>
  </si>
  <si>
    <t>人材関連サービス,陸上輸送</t>
  </si>
  <si>
    <t>人材派遣（製造業・IT等）,トラック（企業物流）</t>
  </si>
  <si>
    <t>中分類 78 洗濯・理容・美容・浴場業</t>
  </si>
  <si>
    <t>780 管理，補助的経済活動を行う事業所（78洗濯・理容・美容・浴場業）</t>
  </si>
  <si>
    <t>7800 主として管理事務を行う本社等</t>
  </si>
  <si>
    <t>7809 その他の管理，補助的経済活動を行う事業所</t>
  </si>
  <si>
    <t>781 洗濯業</t>
  </si>
  <si>
    <t>7811 普通洗濯業</t>
  </si>
  <si>
    <t>7812 洗濯物取次業</t>
  </si>
  <si>
    <t>7813 リネンサプライ業</t>
  </si>
  <si>
    <t>782 理容業</t>
  </si>
  <si>
    <t>7821 理容業</t>
  </si>
  <si>
    <t>783 美容業</t>
  </si>
  <si>
    <t>7831 美容業</t>
  </si>
  <si>
    <t>784 一般公衆浴場業</t>
  </si>
  <si>
    <t>7841 一般公衆浴場業</t>
  </si>
  <si>
    <t>785 その他の公衆浴場業</t>
  </si>
  <si>
    <t>7851 その他の公衆浴場業</t>
  </si>
  <si>
    <t>789 その他の洗濯・理容・美容・浴場業</t>
  </si>
  <si>
    <t>7891 洗張・染物業</t>
  </si>
  <si>
    <t>7892 エステティック業</t>
  </si>
  <si>
    <t>7893 リラクゼーション業(手技を用いるもの)</t>
  </si>
  <si>
    <t>7894 ネイルサービス業</t>
  </si>
  <si>
    <t>7899 他に分類されない洗濯・理容・美容・浴場業</t>
  </si>
  <si>
    <t>中分類 79 その他の生活関連サービス業</t>
  </si>
  <si>
    <t>790 管理，補助的経済活動を行う事業所（79その他の生活関連サービス業）</t>
  </si>
  <si>
    <t>7900 主として管理事務を行う本社等</t>
  </si>
  <si>
    <t>7909 その他の管理，補助的経済活動を行う事業所</t>
  </si>
  <si>
    <t>791 旅行業</t>
  </si>
  <si>
    <t>7911 旅行業(旅行業者代理業を除く)</t>
  </si>
  <si>
    <t>7912 旅行業者代理業</t>
  </si>
  <si>
    <t>792 家事サービス業</t>
  </si>
  <si>
    <t>7921 家事サービス業（住込みのもの）</t>
  </si>
  <si>
    <t>7922 家事サービス業（住込みでないもの）</t>
  </si>
  <si>
    <t>793 衣服裁縫修理業</t>
  </si>
  <si>
    <t>7931 衣服裁縫修理業</t>
  </si>
  <si>
    <t>794 物品預り業</t>
  </si>
  <si>
    <t>7941 物品預り業</t>
  </si>
  <si>
    <t>795 火葬・墓地管理業</t>
  </si>
  <si>
    <t>7951 火葬業</t>
  </si>
  <si>
    <t>7952 墓地管理業</t>
  </si>
  <si>
    <t>796 冠婚葬祭業</t>
  </si>
  <si>
    <t>7961 葬儀業</t>
  </si>
  <si>
    <t>7962 結婚式場業</t>
  </si>
  <si>
    <t>7963 冠婚葬祭互助会</t>
  </si>
  <si>
    <t>799 他に分類されない生活関連サービス業</t>
  </si>
  <si>
    <t>7991 食品賃加工業</t>
  </si>
  <si>
    <t>7992 結婚相談業，結婚式場紹介業</t>
  </si>
  <si>
    <t>7993 写真プリント，現像・焼付業</t>
  </si>
  <si>
    <t>7999 他に分類されないその他の生活関連サービス業</t>
  </si>
  <si>
    <t>中分類 80 娯楽業</t>
  </si>
  <si>
    <t>800 管理，補助的経済活動を行う事業所（80娯楽業）</t>
  </si>
  <si>
    <t>8000 主として管理事務を行う本社等</t>
  </si>
  <si>
    <t>8009 その他の管理，補助的経済活動を行う事業所</t>
  </si>
  <si>
    <t>801 映画館</t>
  </si>
  <si>
    <t>8011 映画館</t>
  </si>
  <si>
    <t>802 興行場（別掲を除く），興行団</t>
  </si>
  <si>
    <t>8021 劇場</t>
  </si>
  <si>
    <t>8022 興行場</t>
  </si>
  <si>
    <t>8023 劇団</t>
  </si>
  <si>
    <t>8024 楽団，舞踏団</t>
  </si>
  <si>
    <t>8025 演芸・スポーツ等興行団</t>
  </si>
  <si>
    <t>803 競輪・競馬等の競走場，競技団</t>
  </si>
  <si>
    <t>8031 競輪場</t>
  </si>
  <si>
    <t>8032 競馬場</t>
  </si>
  <si>
    <t>8033 自動車・モータボートの競走場</t>
  </si>
  <si>
    <t>8034 競輪競技団</t>
  </si>
  <si>
    <t>8035 競馬競技団</t>
  </si>
  <si>
    <t>8036 自動車・モータボートの競技団</t>
  </si>
  <si>
    <t>804 スポーツ施設提供業</t>
  </si>
  <si>
    <t>8041 スポーツ施設提供業（別掲を除く）</t>
  </si>
  <si>
    <t>8042 体育館</t>
  </si>
  <si>
    <t>8043 ゴルフ場</t>
  </si>
  <si>
    <t>8044 ゴルフ練習場</t>
  </si>
  <si>
    <t>8045 ボウリング場</t>
  </si>
  <si>
    <t>8046 テニス場</t>
  </si>
  <si>
    <t>8047 バッティング・テニス練習場</t>
  </si>
  <si>
    <t>8048 フィットネスクラブ</t>
  </si>
  <si>
    <t>805 公園，遊園地</t>
  </si>
  <si>
    <t>8051 公園</t>
  </si>
  <si>
    <t>8052 遊園地（テーマパークを除く）</t>
  </si>
  <si>
    <t>8053 テーマパーク</t>
  </si>
  <si>
    <t>806 遊戯場</t>
  </si>
  <si>
    <t>8061 ビリヤード場</t>
  </si>
  <si>
    <t>8062 囲碁・将棋所</t>
  </si>
  <si>
    <t>8063 マージャンクラブ</t>
  </si>
  <si>
    <t>8064 パチンコホール</t>
  </si>
  <si>
    <t>8065 ゲームセンター</t>
  </si>
  <si>
    <t>8069 その他の遊戯場</t>
  </si>
  <si>
    <t>809 その他の娯楽業</t>
  </si>
  <si>
    <t>8091 ダンスホール</t>
  </si>
  <si>
    <t>8092 マリーナ業</t>
  </si>
  <si>
    <t>8093 遊漁船業</t>
  </si>
  <si>
    <t>8094 芸ぎ業</t>
  </si>
  <si>
    <t>8095 カラオケボックス業</t>
  </si>
  <si>
    <t>8096 娯楽に附帯するサービス業</t>
  </si>
  <si>
    <t>8099 他に分類されない娯楽業</t>
  </si>
  <si>
    <t>大分類 O 教育，学習支援業 説明及び内容例示（PDF：26KB）</t>
  </si>
  <si>
    <t>中分類 81 学校教育</t>
  </si>
  <si>
    <t>810 管理，補助的経済活動を行う事業所（81学校教育）</t>
  </si>
  <si>
    <t>8101 管理，補助的経済活動を行う事業所</t>
  </si>
  <si>
    <t>811 幼稚園</t>
  </si>
  <si>
    <t>8111 幼稚園</t>
  </si>
  <si>
    <t>812 小学校</t>
  </si>
  <si>
    <t>8121 小学校</t>
  </si>
  <si>
    <t>813 中学校</t>
  </si>
  <si>
    <t>8131 中学校</t>
  </si>
  <si>
    <t>814 高等学校，中等教育学校</t>
  </si>
  <si>
    <t>8141 高等学校</t>
  </si>
  <si>
    <t>8142 中等教育学校</t>
  </si>
  <si>
    <t>815 特別支援学校</t>
  </si>
  <si>
    <t>8151 特別支援学校</t>
  </si>
  <si>
    <t>816 高等教育機関</t>
  </si>
  <si>
    <t>8161 大学</t>
  </si>
  <si>
    <t>8162 短期大学</t>
  </si>
  <si>
    <t>8163 高等専門学校</t>
  </si>
  <si>
    <t>817 専修学校，各種学校</t>
  </si>
  <si>
    <t>8171 専修学校</t>
  </si>
  <si>
    <t>8172 各種学校</t>
  </si>
  <si>
    <t>818 学校教育支援機関</t>
  </si>
  <si>
    <t>8181 学校教育支援機関</t>
  </si>
  <si>
    <t>819 幼保連携型認定こども園</t>
  </si>
  <si>
    <t>8191 幼保連携型認定こども園</t>
  </si>
  <si>
    <t>中分類 82 その他の教育，学習支援業</t>
  </si>
  <si>
    <t>820 管理，補助的経済活動を行う事業所（82その他の教育，学習支援業）</t>
  </si>
  <si>
    <t>8200 主として管理事務を行う本社等</t>
  </si>
  <si>
    <t>8209 その他の管理，補助的経済活動を行う事業所</t>
  </si>
  <si>
    <t>821 社会教育</t>
  </si>
  <si>
    <t>8211 公民館</t>
  </si>
  <si>
    <t>8212 図書館</t>
  </si>
  <si>
    <t>8213 博物館，美術館</t>
  </si>
  <si>
    <t>8214 動物園，植物園，水族館</t>
  </si>
  <si>
    <t>8215 青少年教育施設</t>
  </si>
  <si>
    <t>8216 社会通信教育</t>
  </si>
  <si>
    <t>8219 その他の社会教育</t>
  </si>
  <si>
    <t>822 職業・教育支援施設</t>
  </si>
  <si>
    <t>8221 職員教育施設・支援業</t>
  </si>
  <si>
    <t>8222 職業訓練施設</t>
  </si>
  <si>
    <t>8229 その他の職業・教育支援施設</t>
  </si>
  <si>
    <t>823 学習塾</t>
  </si>
  <si>
    <t>8231 学習塾</t>
  </si>
  <si>
    <t>824 教養・技能教授業</t>
  </si>
  <si>
    <t>8241 音楽教授業</t>
  </si>
  <si>
    <t>8242 書道教授業</t>
  </si>
  <si>
    <t>8243 生花・茶道教授業</t>
  </si>
  <si>
    <t>8244 そろばん教授業</t>
  </si>
  <si>
    <t>8245 外国語会話教授業</t>
  </si>
  <si>
    <t>8246 スポーツ・健康教授業</t>
  </si>
  <si>
    <t>8249 その他の教養・技能教授業</t>
  </si>
  <si>
    <t>829 他に分類されない教育，学習支援業</t>
  </si>
  <si>
    <t>8299 他に分類されない教育，学習支援業</t>
  </si>
  <si>
    <t>大分類 P 医療，福祉 説明及び内容例示（PDF：30KB）</t>
  </si>
  <si>
    <t>中分類 83 医療業</t>
  </si>
  <si>
    <t>830 管理，補助的経済活動を行う事業所（83医療業）</t>
  </si>
  <si>
    <t>8300 主として管理事務を行う本社等</t>
  </si>
  <si>
    <t>8309 その他の管理，補助的経済活動を行う事業所</t>
  </si>
  <si>
    <t>831 病院</t>
  </si>
  <si>
    <t>8311 一般病院</t>
  </si>
  <si>
    <t>8312 精神科病院</t>
  </si>
  <si>
    <t>832 一般診療所</t>
  </si>
  <si>
    <t>8321 有床診療所</t>
  </si>
  <si>
    <t>8322 無床診療所</t>
  </si>
  <si>
    <t>833 歯科診療所</t>
  </si>
  <si>
    <t>8331 歯科診療所</t>
  </si>
  <si>
    <t>834 助産・看護業</t>
  </si>
  <si>
    <t>8341 助産所</t>
  </si>
  <si>
    <t>8342 看護業</t>
  </si>
  <si>
    <t>835 療術業</t>
  </si>
  <si>
    <t>8351 あん摩マッサージ指圧師・はり師・きゅう師・柔道整復師の施術所</t>
  </si>
  <si>
    <t>8359 その他の療術業</t>
  </si>
  <si>
    <t>836 医療に附帯するサービス業</t>
  </si>
  <si>
    <t>8361 歯科技工所</t>
  </si>
  <si>
    <t>8369 その他の医療に附帯するサービス業</t>
  </si>
  <si>
    <t>中分類 84 保健衛生</t>
  </si>
  <si>
    <t>840 管理，補助的経済活動を行う事業所（84保健衛生）</t>
  </si>
  <si>
    <t>8400 主として管理事務を行う本社等</t>
  </si>
  <si>
    <t>8409 その他の管理，補助的経済活動を行う事業所</t>
  </si>
  <si>
    <t>841 保健所</t>
  </si>
  <si>
    <t>8411 保健所</t>
  </si>
  <si>
    <t>842 健康相談施設</t>
  </si>
  <si>
    <t>8421 結核健康相談施設</t>
  </si>
  <si>
    <t>8422 精神保健相談施設</t>
  </si>
  <si>
    <t>8423 母子健康相談施設</t>
  </si>
  <si>
    <t>8429 その他の健康相談施設</t>
  </si>
  <si>
    <t>849 その他の保健衛生</t>
  </si>
  <si>
    <t>8491 検疫所（動物検疫所，植物防疫所を除く）</t>
  </si>
  <si>
    <t>8492 検査業</t>
  </si>
  <si>
    <t>8493 消毒業</t>
  </si>
  <si>
    <t>8499 他に分類されない保健衛生</t>
  </si>
  <si>
    <t>中分類 85 社会保険・社会福祉・介護事業</t>
  </si>
  <si>
    <t>850 管理，補助的経済活動を行う事業所（85社会保険・社会福祉・介護事業）</t>
  </si>
  <si>
    <t>8500 主として管理事務を行う本社等</t>
  </si>
  <si>
    <t>8509 その他の管理，補助的経済活動を行う事業所</t>
  </si>
  <si>
    <t>851 社会保険事業団体</t>
  </si>
  <si>
    <t>8511 社会保険事業団体</t>
  </si>
  <si>
    <t>852 福祉事務所</t>
  </si>
  <si>
    <t>8521 福祉事務所</t>
  </si>
  <si>
    <t>853 児童福祉事業</t>
  </si>
  <si>
    <t>8531 保育所</t>
  </si>
  <si>
    <t>8539 その他の児童福祉事業</t>
  </si>
  <si>
    <t>854 老人福祉・介護事業</t>
  </si>
  <si>
    <t>8541 特別養護老人ホーム</t>
  </si>
  <si>
    <t>8542 介護老人保健施設</t>
  </si>
  <si>
    <t>8543 通所・短期入所介護事業</t>
  </si>
  <si>
    <t>8544 訪問介護事業</t>
  </si>
  <si>
    <t>8545 認知症老人グループホーム</t>
  </si>
  <si>
    <t>8546 有料老人ホーム</t>
  </si>
  <si>
    <t>8549 その他の老人福祉・介護事業</t>
  </si>
  <si>
    <t>855 障害者福祉事業</t>
  </si>
  <si>
    <t>8551 居住支援事業</t>
  </si>
  <si>
    <t>8559 その他の障害者福祉事業</t>
  </si>
  <si>
    <t>859 その他の社会保険・社会福祉・介護事業</t>
  </si>
  <si>
    <t>8591 更生保護事業</t>
  </si>
  <si>
    <t>8599 他に分類されない社会保険・社会福祉・介護事業</t>
  </si>
  <si>
    <t>大分類 Q 複合サービス事業 説明及び内容例示（PDF：16KB）</t>
  </si>
  <si>
    <t>中分類 86 郵便局</t>
  </si>
  <si>
    <t>860 管理，補助的経済活動を行う事業所（86郵便局）</t>
  </si>
  <si>
    <t>8601 管理，補助的経済活動を行う事業所</t>
  </si>
  <si>
    <t>861 郵便局</t>
  </si>
  <si>
    <t>8611 郵便局</t>
  </si>
  <si>
    <t>862 郵便局受託業</t>
  </si>
  <si>
    <t>8621 簡易郵便局</t>
  </si>
  <si>
    <t>8629 その他の郵便局受託業</t>
  </si>
  <si>
    <t>中分類 87 協同組合（他に分類されないもの）</t>
  </si>
  <si>
    <t>870 管理，補助的経済活動を行う事業所（87協同組合）</t>
  </si>
  <si>
    <t>8701 管理，補助的経済活動を行う事業所</t>
  </si>
  <si>
    <t>871 農林水産業協同組合（他に分類されないもの）</t>
  </si>
  <si>
    <t>8711 農業協同組合（他に分類されないもの）</t>
  </si>
  <si>
    <t>8712 漁業協同組合（他に分類されないもの）</t>
  </si>
  <si>
    <t>8713 水産加工業協同組合（他に分類されないもの）</t>
  </si>
  <si>
    <t>8714 森林組合（他に分類されないもの）</t>
  </si>
  <si>
    <t>872 事業協同組合（他に分類されないもの）</t>
  </si>
  <si>
    <t>8721 事業協同組合（他に分類されないもの）</t>
  </si>
  <si>
    <t>大分類 R サービス業（他に分類されないもの） 説明及び内容例示（PDF：68KB）</t>
  </si>
  <si>
    <t>中分類 88 廃棄物処理業</t>
  </si>
  <si>
    <t>880 管理，補助的経済活動を行う事業所（88廃棄物処理業）</t>
  </si>
  <si>
    <t>8800 主として管理事務を行う本社等</t>
  </si>
  <si>
    <t>8809 その他の管理，補助的経済活動を行う事業所</t>
  </si>
  <si>
    <t>881 一般廃棄物処理業</t>
  </si>
  <si>
    <t>8811 し尿収集運搬業</t>
  </si>
  <si>
    <t>8812 し尿処分業</t>
  </si>
  <si>
    <t>8813 浄化槽清掃業</t>
  </si>
  <si>
    <t>8814 浄化槽保守点検業</t>
  </si>
  <si>
    <t>8815 ごみ収集運搬業</t>
  </si>
  <si>
    <t>8816 ごみ処分業</t>
  </si>
  <si>
    <t>8817 清掃事務所</t>
  </si>
  <si>
    <t>882 産業廃棄物処理業</t>
  </si>
  <si>
    <t>8821 産業廃棄物収集運搬業</t>
  </si>
  <si>
    <t>8822 産業廃棄物処分業</t>
  </si>
  <si>
    <t>8823 特別管理産業廃棄物収集運搬業</t>
  </si>
  <si>
    <t>8824 特別管理産業廃棄物処分業</t>
  </si>
  <si>
    <t>889 その他の廃棄物処理業</t>
  </si>
  <si>
    <t>8891 死亡獣畜取扱業</t>
  </si>
  <si>
    <t>8899 他に分類されない廃棄物処理業</t>
  </si>
  <si>
    <t>中分類 89 自動車整備業</t>
  </si>
  <si>
    <t>890 管理，補助的経済活動を行う事業所（89自動車整備業）</t>
  </si>
  <si>
    <t>8901 管理，補助的経済活動を行う事業所</t>
  </si>
  <si>
    <t>891 自動車整備業</t>
  </si>
  <si>
    <t>8911 自動車一般整備業</t>
  </si>
  <si>
    <t>8919 その他の自動車整備業</t>
  </si>
  <si>
    <t>中分類 90 機械等修理業（別掲を除く）</t>
  </si>
  <si>
    <t>900 管理，補助的経済活動を行う事業所（90機械等修理業）</t>
  </si>
  <si>
    <t>9000 主として管理事務を行う本社等</t>
  </si>
  <si>
    <t>9009 その他の管理，補助的経済活動を行う事業所</t>
  </si>
  <si>
    <t>901 機械修理業（電気機械器具を除く）</t>
  </si>
  <si>
    <t>9011 一般機械修理業（建設・鉱山機械を除く）</t>
  </si>
  <si>
    <t>9012 建設・鉱山機械整備業</t>
  </si>
  <si>
    <t>902 電気機械器具修理業</t>
  </si>
  <si>
    <t>9021 電気機械器具修理業</t>
  </si>
  <si>
    <t>903 表具業</t>
  </si>
  <si>
    <t>9031 表具業</t>
  </si>
  <si>
    <t>909 その他の修理業</t>
  </si>
  <si>
    <t>9091 家具修理業</t>
  </si>
  <si>
    <t>9092 時計修理業</t>
  </si>
  <si>
    <t>9093 履物修理業</t>
  </si>
  <si>
    <t>9094 かじ業</t>
  </si>
  <si>
    <t>9099 他に分類されない修理業</t>
  </si>
  <si>
    <t>中分類 91 職業紹介・労働者派遣業</t>
  </si>
  <si>
    <t>910 管理，補助的経済活動を行う事業所（91職業紹介・労働者派遣業）</t>
  </si>
  <si>
    <t>9100 主として管理事務を行う本社等</t>
  </si>
  <si>
    <t>9109 その他の管理，補助的経済活動を行う事業所</t>
  </si>
  <si>
    <t>911 職業紹介業</t>
  </si>
  <si>
    <t>9111 職業紹介業</t>
  </si>
  <si>
    <t>912 労働者派遣業</t>
  </si>
  <si>
    <t>9121 労働者派遣業</t>
  </si>
  <si>
    <t>中分類 92 その他の事業サービス業</t>
  </si>
  <si>
    <t>920 管理，補助的経済活動を行う事業所（92その他の事業サービス業）</t>
  </si>
  <si>
    <t>9200 主として管理事務を行う本社等</t>
  </si>
  <si>
    <t>9209 その他の管理，補助的経済活動を行う事業所</t>
  </si>
  <si>
    <t>921 速記・ワープロ入力・複写業</t>
  </si>
  <si>
    <t>9211 速記・ワープロ入力業</t>
  </si>
  <si>
    <t>9212 複写業</t>
  </si>
  <si>
    <t>922 建物サービス業</t>
  </si>
  <si>
    <t>9221 ビルメンテナンス業</t>
  </si>
  <si>
    <t>9229 その他の建物サービス業</t>
  </si>
  <si>
    <t>923 警備業</t>
  </si>
  <si>
    <t>9231 警備業</t>
  </si>
  <si>
    <t>929 他に分類されない事業サービス業</t>
  </si>
  <si>
    <t>9291 ディスプレイ業</t>
  </si>
  <si>
    <t>9292 産業用設備洗浄業</t>
  </si>
  <si>
    <t>9293 看板書き業</t>
  </si>
  <si>
    <t>9294 コールセンター業</t>
  </si>
  <si>
    <t>9299 他に分類されないその他の事業サービス業</t>
  </si>
  <si>
    <t>中分類 93 政治・経済・文化団体</t>
  </si>
  <si>
    <t>931 経済団体</t>
  </si>
  <si>
    <t>9311 実業団体</t>
  </si>
  <si>
    <t>9312 同業団体</t>
  </si>
  <si>
    <t>932 労働団体</t>
  </si>
  <si>
    <t>9321 労働団体</t>
  </si>
  <si>
    <t>933 学術・文化団体</t>
  </si>
  <si>
    <t>9331 学術団体</t>
  </si>
  <si>
    <t>9332 文化団体</t>
  </si>
  <si>
    <t>934 政治団体</t>
  </si>
  <si>
    <t>9341 政治団体</t>
  </si>
  <si>
    <t>939 他に分類されない非営利的団体</t>
  </si>
  <si>
    <t>9399 他に分類されない非営利的団体</t>
  </si>
  <si>
    <t>中分類 94 宗教</t>
  </si>
  <si>
    <t>941 神道系宗教</t>
  </si>
  <si>
    <t>9411 神社，神道教会</t>
  </si>
  <si>
    <t>9412 教派事務所</t>
  </si>
  <si>
    <t>942 仏教系宗教</t>
  </si>
  <si>
    <t>9421 寺院，仏教教会</t>
  </si>
  <si>
    <t>9422 宗派事務所</t>
  </si>
  <si>
    <t>943 キリスト教系宗教</t>
  </si>
  <si>
    <t>9431 キリスト教教会，修道院</t>
  </si>
  <si>
    <t>9432 教団事務所</t>
  </si>
  <si>
    <t>949 その他の宗教</t>
  </si>
  <si>
    <t>9491 その他の宗教の教会</t>
  </si>
  <si>
    <t>9499 その他の宗教の教団事務所</t>
  </si>
  <si>
    <t>中分類 95 その他のサービス業</t>
  </si>
  <si>
    <t>950 管理，補助的経済活動を行う事業所（95その他のサービス業）</t>
  </si>
  <si>
    <t>9501 管理，補助的経済活動を行う事業所</t>
  </si>
  <si>
    <t>951 集会場</t>
  </si>
  <si>
    <t>9511 集会場</t>
  </si>
  <si>
    <t>952 と畜場</t>
  </si>
  <si>
    <t>9521 と畜場</t>
  </si>
  <si>
    <t>959 他に分類されないサービス業</t>
  </si>
  <si>
    <t>9599 他に分類されないサービス業</t>
  </si>
  <si>
    <t>中分類 96 外国公務</t>
  </si>
  <si>
    <t>961 外国公館</t>
  </si>
  <si>
    <t>9611 外国公館</t>
  </si>
  <si>
    <t>969 その他の外国公務</t>
  </si>
  <si>
    <t>9699 その他の外国公務</t>
  </si>
  <si>
    <t>大分類 S 公務（他に分類されるものを除く） 説明及び内容例示（PDF：52KB）</t>
  </si>
  <si>
    <t>中分類 97 国家公務</t>
  </si>
  <si>
    <t>971 立法機関</t>
  </si>
  <si>
    <t>9711 立法機関</t>
  </si>
  <si>
    <t>972 司法機関</t>
  </si>
  <si>
    <t>9721 司法機関</t>
  </si>
  <si>
    <t>973 行政機関</t>
  </si>
  <si>
    <t>9731 行政機関</t>
  </si>
  <si>
    <t>中分類 98 地方公務</t>
  </si>
  <si>
    <t>981 都道府県機関</t>
  </si>
  <si>
    <t>9811 都道府県機関</t>
  </si>
  <si>
    <t>982 市町村機関</t>
  </si>
  <si>
    <t>9821 市町村機関</t>
  </si>
  <si>
    <t>中分類 99 分類不能の産業</t>
  </si>
  <si>
    <t>999 分類不能の産業</t>
  </si>
  <si>
    <t>9999 分類不能の産業</t>
  </si>
  <si>
    <t>プライバシーポリシー</t>
  </si>
  <si>
    <t>当省ホームページについて</t>
  </si>
  <si>
    <t>法人番号2000012020001 〒100-8926 東京都千代田区霞が関2－1－2 中央合同庁舎第2号館 電話03-5253-5111（代表）【所在地図】</t>
  </si>
  <si>
    <t>© 2009 Ministry of Internal Affairs and Communications All Rights Reserved.</t>
  </si>
  <si>
    <t>放送・出版,生活関連サービス</t>
  </si>
  <si>
    <t>新聞,クリーニング</t>
  </si>
  <si>
    <t>教育・学習支援,生活用品小売</t>
  </si>
  <si>
    <t>学習塾・予備校,玩具・ベビー用品専門店</t>
  </si>
  <si>
    <t>クリーニング／遺品整理</t>
  </si>
  <si>
    <t>生活関連サービス,不動産サービス</t>
  </si>
  <si>
    <t>クリーニング,ビルメンテナンス</t>
  </si>
  <si>
    <t>生活関連サービス,衣服・装飾品製造</t>
  </si>
  <si>
    <t>クリーニング,靴・履物</t>
  </si>
  <si>
    <t>国際貨物フォワーダー,航空輸送</t>
  </si>
  <si>
    <t>航空輸送,空港施設・航空関連サービス</t>
  </si>
  <si>
    <t>空運,旅行・宿泊</t>
  </si>
  <si>
    <t>国際貨物フォワーダー,旅行代理店</t>
  </si>
  <si>
    <t>空運,水運</t>
  </si>
  <si>
    <t>国際貨物フォワーダー,港湾運送</t>
  </si>
  <si>
    <t>空運,陸上輸送</t>
  </si>
  <si>
    <t>国際貨物フォワーダー,トラック（企業物流）</t>
  </si>
  <si>
    <t>国際貨物フォワーダー,宅配便</t>
  </si>
  <si>
    <t>窯業・紙,自動車部品製造</t>
  </si>
  <si>
    <t>ファインセラミックス,自動車用電装品</t>
  </si>
  <si>
    <t>総合・商品小売</t>
  </si>
  <si>
    <t>総合・食品</t>
  </si>
  <si>
    <t>ディスカウントストア,食品スーパー</t>
  </si>
  <si>
    <t>ホームセンター,GMS</t>
  </si>
  <si>
    <t>小売中</t>
  </si>
  <si>
    <t>ディスカウントストア,GMS</t>
  </si>
  <si>
    <t>コンビニエスストア</t>
  </si>
  <si>
    <t>コンビニエンススト</t>
  </si>
  <si>
    <t>GMS,食品スーパー</t>
  </si>
  <si>
    <t>総合・食品小売,レジャー</t>
  </si>
  <si>
    <t>食品スーパー,アミューズメント施設</t>
  </si>
  <si>
    <t>総合・食品小売,医薬品小売</t>
  </si>
  <si>
    <t>食品スーパー,ドラッグストア</t>
  </si>
  <si>
    <t>総合・食品小売,生活用品小売</t>
  </si>
  <si>
    <t>ホームセンター,家具・インテリア専門店</t>
  </si>
  <si>
    <t>食品スーパー,紳士服専門店</t>
  </si>
  <si>
    <t>総合・食品小売,陸上輸送</t>
  </si>
  <si>
    <t>ホームセンター,バス輸送</t>
  </si>
  <si>
    <t>総合・食品小売,飲食店</t>
  </si>
  <si>
    <t>酒類専門店,居酒屋・バー</t>
  </si>
  <si>
    <t>総合・食品小売小</t>
  </si>
  <si>
    <t>繊維・織物・皮革,住設・建設資材,化学,自動車部品製造</t>
  </si>
  <si>
    <t>天然繊維,建材・建築資材（樹脂系）,合成樹脂,ボディー・内装部品</t>
  </si>
  <si>
    <t>タイヤ,自動車・産業用ゴム製品</t>
  </si>
  <si>
    <t>自動車部品製造,化学</t>
  </si>
  <si>
    <t>自動車・産業用ゴム製品,合成ゴム</t>
  </si>
  <si>
    <t>自動車部品製造,民生用電子機器製造</t>
  </si>
  <si>
    <t>自動車用電装品,カーナビゲーション</t>
  </si>
  <si>
    <t>自動車部品製造,生産用機械製造</t>
  </si>
  <si>
    <t>パワートレイン,運搬機械,動力伝動装置</t>
  </si>
  <si>
    <t>自動車部品製造,繊維・織物・皮革</t>
  </si>
  <si>
    <t>自動車シート,皮革</t>
  </si>
  <si>
    <t>自動車関連小売,石油・ガス</t>
  </si>
  <si>
    <t>自動車販売,ガソリンスタンド</t>
  </si>
  <si>
    <t>自動車関連小売,陸上輸送</t>
  </si>
  <si>
    <t>自動車販売,トラック（企業物流）</t>
  </si>
  <si>
    <t>衣服・装飾品製造,生活用品小売</t>
  </si>
  <si>
    <t>ベビー・子供服,玩具・ベビー用品専門店</t>
  </si>
  <si>
    <t>宅配便,トラック（企業物流）</t>
  </si>
  <si>
    <t>倉庫,トラック（企業物流）</t>
  </si>
  <si>
    <t>トラック（企業物流）,トラック（引越）</t>
  </si>
  <si>
    <t>トラック（企業物流）,宅配便</t>
  </si>
  <si>
    <t>トラック（引越）,トラック（企業物流）</t>
  </si>
  <si>
    <t>トラック（引越）,倉庫</t>
  </si>
  <si>
    <t>トラック（企業物流）,倉庫</t>
  </si>
  <si>
    <t>陸上輸送,ソフトウェア開発</t>
  </si>
  <si>
    <t>倉庫,ソフトウェア（業務支援）</t>
  </si>
  <si>
    <t>陸上輸送,リース・レンタル</t>
  </si>
  <si>
    <t>トラック（企業物流）,総合リース</t>
  </si>
  <si>
    <t>陸上輸送,人材関連サービス</t>
  </si>
  <si>
    <t>トラック（企業物流）,人材派遣（製造業・IT等）</t>
  </si>
  <si>
    <t>トラック（企業物流）,人材派遣（事務・営業販売等）</t>
  </si>
  <si>
    <t>陸上輸送,水運</t>
  </si>
  <si>
    <t>倉庫,港湾運送</t>
  </si>
  <si>
    <t>陸上輸送,空運</t>
  </si>
  <si>
    <t>倉庫,国際貨物フォワーダー</t>
  </si>
  <si>
    <t>トラック（企業物流）,国際貨物フォワーダー</t>
  </si>
  <si>
    <t>宅配便,国際貨物フォワーダー</t>
  </si>
  <si>
    <t>陸上輸送,自動車関連小売</t>
  </si>
  <si>
    <t>トラック（企業物流）,自動車販売</t>
  </si>
  <si>
    <t>陸上輸送,食品加工</t>
  </si>
  <si>
    <t>宅配便,冷凍食品</t>
  </si>
  <si>
    <t>陸上運輸</t>
  </si>
  <si>
    <t>菓子,漬物・煮物・大豆</t>
  </si>
  <si>
    <t>冷凍食品,乳業・乳製品</t>
  </si>
  <si>
    <t>調味・レトルト食品,水産加工品</t>
  </si>
  <si>
    <t>卵加工品,水産加工品</t>
  </si>
  <si>
    <t>冷凍食品,畜産加工品</t>
  </si>
  <si>
    <t>こんがりパン工房</t>
  </si>
  <si>
    <t>菓子,製パン</t>
  </si>
  <si>
    <t>製パン,菓子</t>
  </si>
  <si>
    <t>食品加工,化学</t>
  </si>
  <si>
    <t>卵加工品,肥料</t>
  </si>
  <si>
    <t>食品加工,弁当・宅配</t>
  </si>
  <si>
    <t>食品加工,飲食店</t>
  </si>
  <si>
    <t>製パン,ファストフード</t>
  </si>
  <si>
    <t>製パン,居酒屋・バー</t>
  </si>
  <si>
    <t>食品専門卸,飲食店</t>
  </si>
  <si>
    <t>専門食品卸（水産物卸）,持ち帰り・回転寿司</t>
  </si>
  <si>
    <t>飲料・たばこ製造,飲食店</t>
  </si>
  <si>
    <t>清涼飲料,喫茶・カフェ</t>
  </si>
  <si>
    <t>焼肉,中華麺</t>
  </si>
  <si>
    <t>喫茶・カフェ,高級レストラン</t>
  </si>
  <si>
    <t>ファストフード,カジュアルレストラン</t>
  </si>
  <si>
    <t>カジュアルレストラン,高級レストラン</t>
  </si>
  <si>
    <t>持ち帰り・回転寿司,ファストフード</t>
  </si>
  <si>
    <t>高級レストラン,居酒屋・バー</t>
  </si>
  <si>
    <t>高級レストラン,持ち帰り・回転寿司</t>
  </si>
  <si>
    <t>高級レストラン／寿司</t>
  </si>
  <si>
    <t>中華麺,高級レストラン</t>
  </si>
  <si>
    <t>外食・昼食</t>
  </si>
  <si>
    <t>焼肉店</t>
  </si>
  <si>
    <t>高級レストラン,カジュアルレストラン</t>
  </si>
  <si>
    <t>居酒屋・バー,高級レストラン</t>
  </si>
  <si>
    <t>喫茶店・カフェ</t>
  </si>
  <si>
    <t>イベント</t>
  </si>
  <si>
    <t>飲食店,インターネットメディア</t>
  </si>
  <si>
    <t>ファストフード,専門情報サイト</t>
  </si>
  <si>
    <t>飲食店,リース・レンタル</t>
  </si>
  <si>
    <t>ファストフード,清掃関連用具レンタル</t>
  </si>
  <si>
    <t>飲食店,レジャー</t>
  </si>
  <si>
    <t>カジュアルレストラン,アミューズメント施設</t>
  </si>
  <si>
    <t>飲食店,医療・福祉関連サービス</t>
  </si>
  <si>
    <t>カジュアルレストラン,介護サービス</t>
  </si>
  <si>
    <t>飲食店,弁当・宅配</t>
  </si>
  <si>
    <t>飲食店,本・映像・ゲーム小売</t>
  </si>
  <si>
    <t>居酒屋・バー,書店</t>
  </si>
  <si>
    <t>飲食店,生活関連サービス</t>
  </si>
  <si>
    <t>中華麺,美容・エステ</t>
  </si>
  <si>
    <t>飲食店,畜産・水産業</t>
  </si>
  <si>
    <t>焼肉,食肉</t>
  </si>
  <si>
    <t>居酒屋・バー,食肉</t>
  </si>
  <si>
    <t>飲食店,空運</t>
  </si>
  <si>
    <t>高級レストラン,空港施設・航空関連サービス</t>
  </si>
  <si>
    <t>飲食店,総合・食品小売</t>
  </si>
  <si>
    <t>ファストフード,食品スーパー</t>
  </si>
  <si>
    <t>飲食店,食品加工</t>
  </si>
  <si>
    <t>カジュアルレストラン,菓子</t>
  </si>
  <si>
    <t>飲食店,食品専門卸</t>
  </si>
  <si>
    <t>高級レストラン,専門食品卸（水産物卸）</t>
  </si>
  <si>
    <t>持ち帰り・回転寿司,専門食品卸（水産物卸）</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</si>
</sst>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M/dd"/>
    <numFmt numFmtId="166" formatCode="yyyy-mm-dd"/>
    <numFmt numFmtId="167" formatCode="m/d/yyyy h:mm:ss"/>
    <numFmt numFmtId="168" formatCode="yyyy/mm/dd h:mm"/>
  </numFmts>
  <fonts count="54">
    <font>
      <sz val="10.0"/>
      <color rgb="FF000000"/>
      <name val="Arial"/>
      <scheme val="minor"/>
    </font>
    <font>
      <sz val="18.0"/>
      <color theme="1"/>
      <name val="Arial"/>
    </font>
    <font>
      <sz val="18.0"/>
      <color rgb="FF000000"/>
      <name val="Arial"/>
    </font>
    <font>
      <color theme="1"/>
      <name val="Arial"/>
      <scheme val="minor"/>
    </font>
    <font>
      <b/>
      <color theme="1"/>
      <name val="Arial"/>
    </font>
    <font>
      <u/>
      <sz val="18.0"/>
      <color rgb="FF1155CC"/>
      <name val="Arial"/>
    </font>
    <font/>
    <font>
      <color theme="1"/>
      <name val="Arial"/>
    </font>
    <font>
      <color rgb="FF000000"/>
      <name val="Arial"/>
    </font>
    <font>
      <u/>
      <color rgb="FF0000FF"/>
    </font>
    <font>
      <b/>
      <sz val="18.0"/>
      <color theme="1"/>
      <name val="Arial"/>
    </font>
    <font>
      <u/>
      <sz val="18.0"/>
      <color rgb="FF0000FF"/>
    </font>
    <font>
      <u/>
      <sz val="18.0"/>
      <color rgb="FF1155CC"/>
      <name val="Arial"/>
    </font>
    <font>
      <u/>
      <sz val="10.0"/>
      <color rgb="FF000000"/>
      <name val="Arial"/>
    </font>
    <font>
      <sz val="10.0"/>
      <color rgb="FF000000"/>
      <name val="Arial"/>
    </font>
    <font>
      <u/>
      <color rgb="FF0000FF"/>
    </font>
    <font>
      <u/>
      <color rgb="FF1155CC"/>
    </font>
    <font>
      <u/>
      <color rgb="FF0000FF"/>
    </font>
    <font>
      <u/>
      <color rgb="FF1155CC"/>
      <name val="Arial"/>
    </font>
    <font>
      <u/>
      <sz val="18.0"/>
      <color rgb="FF0000FF"/>
      <name val="Arial"/>
    </font>
    <font>
      <u/>
      <color rgb="FF1155CC"/>
      <name val="Arial"/>
    </font>
    <font>
      <color rgb="FF000000"/>
      <name val="&quot;MS Gothic&quot;"/>
    </font>
    <font>
      <u/>
      <color rgb="FF0000FF"/>
      <name val="Arial"/>
    </font>
    <font>
      <u/>
      <color rgb="FF0000FF"/>
      <name val="Arial"/>
    </font>
    <font>
      <u/>
      <color rgb="FF1155CC"/>
      <name val="Arial"/>
    </font>
    <font>
      <u/>
      <color rgb="FF1155CC"/>
      <name val="Arial"/>
    </font>
    <font>
      <u/>
      <color rgb="FF1155CC"/>
      <name val="Arial"/>
    </font>
    <font>
      <sz val="18.0"/>
      <color theme="1"/>
      <name val="Arial"/>
      <scheme val="minor"/>
    </font>
    <font>
      <color rgb="FF000000"/>
      <name val="Arial"/>
      <scheme val="minor"/>
    </font>
    <font>
      <b/>
      <sz val="9.0"/>
      <color theme="1"/>
      <name val="Monaco"/>
    </font>
    <font>
      <b/>
      <sz val="9.0"/>
      <color theme="1"/>
      <name val="Arial"/>
    </font>
    <font>
      <u/>
      <color rgb="FF0000FF"/>
      <name val="Arial"/>
    </font>
    <font>
      <b/>
      <sz val="10.0"/>
      <color theme="1"/>
      <name val="Arial"/>
      <scheme val="minor"/>
    </font>
    <font>
      <sz val="11.0"/>
      <color rgb="FF222222"/>
      <name val="&quot;Google Sans&quot;"/>
    </font>
    <font>
      <u/>
      <color rgb="FF0000FF"/>
    </font>
    <font>
      <b/>
      <sz val="8.0"/>
      <color rgb="FF000000"/>
      <name val="&quot;Hiragino Kaku Gothic ProN&quot;"/>
    </font>
    <font>
      <sz val="8.0"/>
      <color rgb="FF000000"/>
      <name val="&quot;Hiragino Kaku Gothic ProN&quot;"/>
    </font>
    <font>
      <b/>
      <color rgb="FF000000"/>
      <name val="HiraKakuPro-W3"/>
    </font>
    <font>
      <color theme="1"/>
      <name val="HiraKakuPro-W3"/>
    </font>
    <font>
      <color rgb="FF000000"/>
      <name val="HiraKakuPro-W3"/>
    </font>
    <font>
      <color rgb="FFFFFFFF"/>
      <name val="HiraKakuPro-W3"/>
    </font>
    <font>
      <sz val="8.0"/>
      <color rgb="FF000000"/>
      <name val="Arial"/>
    </font>
    <font>
      <u/>
      <color rgb="FF206AFB"/>
      <name val="&quot;ＭＳ Ｐゴシック&quot;"/>
    </font>
    <font>
      <color rgb="FF333333"/>
      <name val="&quot;ＭＳ Ｐゴシック&quot;"/>
    </font>
    <font>
      <u/>
      <color rgb="FF206AFB"/>
      <name val="Arial"/>
    </font>
    <font>
      <u/>
      <color rgb="FF206AFB"/>
      <name val="Arial"/>
    </font>
    <font>
      <sz val="1.0"/>
      <color rgb="FF333333"/>
      <name val="&quot;ＭＳ Ｐゴシック&quot;"/>
    </font>
    <font>
      <u/>
      <color rgb="FF206AFB"/>
      <name val="&quot;ＭＳ Ｐゴシック&quot;"/>
    </font>
    <font>
      <u/>
      <sz val="8.0"/>
      <color rgb="FF206AFB"/>
      <name val="&quot;ＭＳ Ｐゴシック&quot;"/>
    </font>
    <font>
      <b/>
      <u/>
      <color rgb="FFFFFFFF"/>
      <name val="&quot;ＭＳ Ｐゴシック&quot;"/>
    </font>
    <font>
      <b/>
      <u/>
      <color rgb="FF206AFB"/>
      <name val="&quot;ＭＳ Ｐゴシック&quot;"/>
    </font>
    <font>
      <sz val="9.0"/>
      <color rgb="FFFFFFFF"/>
      <name val="メイリオ"/>
    </font>
    <font>
      <u/>
      <sz val="9.0"/>
      <color rgb="FFFFFFFF"/>
      <name val="メイリオ"/>
    </font>
    <font>
      <u/>
      <color rgb="FFFFFFFF"/>
      <name val="メイリオ"/>
    </font>
  </fonts>
  <fills count="15">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A4C2F4"/>
        <bgColor rgb="FFA4C2F4"/>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999999"/>
        <bgColor rgb="FF999999"/>
      </patternFill>
    </fill>
    <fill>
      <patternFill patternType="solid">
        <fgColor rgb="FFFFD966"/>
        <bgColor rgb="FFFFD966"/>
      </patternFill>
    </fill>
    <fill>
      <patternFill patternType="solid">
        <fgColor rgb="FFFFE599"/>
        <bgColor rgb="FFFFE599"/>
      </patternFill>
    </fill>
    <fill>
      <patternFill patternType="solid">
        <fgColor rgb="FFD9D2E9"/>
        <bgColor rgb="FFD9D2E9"/>
      </patternFill>
    </fill>
    <fill>
      <patternFill patternType="solid">
        <fgColor rgb="FF434343"/>
        <bgColor rgb="FF434343"/>
      </patternFill>
    </fill>
  </fills>
  <borders count="32">
    <border/>
    <border>
      <bottom style="double">
        <color rgb="FF000000"/>
      </bottom>
    </border>
    <border>
      <left style="double">
        <color rgb="FF000000"/>
      </left>
      <right style="double">
        <color rgb="FF000000"/>
      </right>
      <bottom style="double">
        <color rgb="FF000000"/>
      </bottom>
    </border>
    <border>
      <right style="dotted">
        <color rgb="FF000000"/>
      </right>
      <bottom style="double">
        <color rgb="FF000000"/>
      </bottom>
    </border>
    <border>
      <right style="double">
        <color rgb="FF000000"/>
      </right>
      <bottom style="double">
        <color rgb="FF000000"/>
      </bottom>
    </border>
    <border>
      <left style="double">
        <color rgb="FF000000"/>
      </left>
    </border>
    <border>
      <left style="double">
        <color rgb="FF000000"/>
      </left>
      <right style="double">
        <color rgb="FF000000"/>
      </right>
      <top style="double">
        <color rgb="FF000000"/>
      </top>
    </border>
    <border>
      <right style="double">
        <color rgb="FF000000"/>
      </right>
    </border>
    <border>
      <left style="double">
        <color rgb="FF000000"/>
      </left>
      <right style="double">
        <color rgb="FF000000"/>
      </right>
    </border>
    <border>
      <right style="dotted">
        <color rgb="FF000000"/>
      </right>
    </border>
    <border>
      <right style="dotted">
        <color rgb="FF000000"/>
      </right>
      <bottom style="dotted">
        <color rgb="FF000000"/>
      </bottom>
    </border>
    <border>
      <right style="double">
        <color rgb="FF000000"/>
      </right>
      <bottom style="dotted">
        <color rgb="FF000000"/>
      </bottom>
    </border>
    <border>
      <left style="double">
        <color rgb="FF000000"/>
      </left>
      <right style="dotted">
        <color rgb="FF000000"/>
      </right>
      <top style="double">
        <color rgb="FF000000"/>
      </top>
    </border>
    <border>
      <left style="dotted">
        <color rgb="FF000000"/>
      </left>
      <right style="double">
        <color rgb="FF000000"/>
      </right>
      <top style="double">
        <color rgb="FF000000"/>
      </top>
      <bottom style="dotted">
        <color rgb="FF000000"/>
      </bottom>
    </border>
    <border>
      <left style="double">
        <color rgb="FF000000"/>
      </left>
      <right style="dotted">
        <color rgb="FF000000"/>
      </right>
    </border>
    <border>
      <left style="dotted">
        <color rgb="FF000000"/>
      </left>
      <right style="double">
        <color rgb="FF000000"/>
      </right>
      <top style="dotted">
        <color rgb="FF000000"/>
      </top>
      <bottom style="dotted">
        <color rgb="FF000000"/>
      </bottom>
    </border>
    <border>
      <left style="double">
        <color rgb="FF000000"/>
      </left>
      <bottom style="double">
        <color rgb="FF000000"/>
      </bottom>
    </border>
    <border>
      <left style="double">
        <color rgb="FF000000"/>
      </left>
      <right style="dotted">
        <color rgb="FF000000"/>
      </right>
      <bottom style="double">
        <color rgb="FF000000"/>
      </bottom>
    </border>
    <border>
      <left style="dotted">
        <color rgb="FF000000"/>
      </left>
      <right style="double">
        <color rgb="FF000000"/>
      </right>
      <top style="dotted">
        <color rgb="FF000000"/>
      </top>
      <bottom style="double">
        <color rgb="FF000000"/>
      </bottom>
    </border>
    <border>
      <left style="dotted">
        <color rgb="FF000000"/>
      </left>
      <right style="double">
        <color rgb="FF000000"/>
      </right>
      <bottom style="dotted">
        <color rgb="FF000000"/>
      </bottom>
    </border>
    <border>
      <right style="dotted">
        <color rgb="FF000000"/>
      </right>
      <top style="dotted">
        <color rgb="FF000000"/>
      </top>
      <bottom style="dotted">
        <color rgb="FF000000"/>
      </bottom>
    </border>
    <border>
      <right style="dotted">
        <color rgb="FF000000"/>
      </right>
      <top style="dotted">
        <color rgb="FF000000"/>
      </top>
    </border>
    <border>
      <right style="double">
        <color rgb="FF000000"/>
      </right>
      <top style="dotted">
        <color rgb="FF000000"/>
      </top>
    </border>
    <border>
      <right style="dotted">
        <color rgb="FF000000"/>
      </right>
      <top style="dotted">
        <color rgb="FF000000"/>
      </top>
      <bottom style="double">
        <color rgb="FF000000"/>
      </bottom>
    </border>
    <border>
      <right style="double">
        <color rgb="FF000000"/>
      </right>
      <top style="dotted">
        <color rgb="FF000000"/>
      </top>
      <bottom style="double">
        <color rgb="FF000000"/>
      </bottom>
    </border>
    <border>
      <right style="thin">
        <color rgb="FFB7B7B7"/>
      </right>
    </border>
    <border>
      <right style="thin">
        <color rgb="FFD9D9D9"/>
      </right>
      <bottom style="thin">
        <color rgb="FFD9D9D9"/>
      </bottom>
    </border>
    <border>
      <bottom style="thin">
        <color rgb="FFD9D9D9"/>
      </bottom>
    </border>
    <border>
      <right style="thin">
        <color rgb="FFB7B7B7"/>
      </right>
      <bottom style="double">
        <color rgb="FF000000"/>
      </bottom>
    </border>
    <border>
      <right style="thin">
        <color rgb="FFD9D9D9"/>
      </right>
      <bottom style="double">
        <color rgb="FF000000"/>
      </bottom>
    </border>
    <border>
      <right style="thin">
        <color rgb="FFD9D9D9"/>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shrinkToFit="0" wrapText="1"/>
    </xf>
    <xf borderId="0" fillId="2" fontId="2" numFmtId="0" xfId="0" applyAlignment="1" applyFill="1" applyFont="1">
      <alignment horizontal="center" shrinkToFit="0" vertical="bottom" wrapText="1"/>
    </xf>
    <xf borderId="0" fillId="3" fontId="3" numFmtId="0" xfId="0" applyAlignment="1" applyFill="1" applyFont="1">
      <alignment readingOrder="0"/>
    </xf>
    <xf borderId="1" fillId="2" fontId="1" numFmtId="0" xfId="0" applyAlignment="1" applyBorder="1" applyFill="1" applyFont="1">
      <alignment horizontal="center" shrinkToFit="0" vertical="bottom" wrapText="1"/>
    </xf>
    <xf borderId="1" fillId="0" fontId="4" numFmtId="0" xfId="0" applyAlignment="1" applyBorder="1" applyFont="1">
      <alignment horizontal="center"/>
    </xf>
    <xf borderId="1" fillId="2" fontId="1" numFmtId="0" xfId="0" applyAlignment="1" applyBorder="1" applyFill="1" applyFont="1">
      <alignment horizontal="center" shrinkToFit="0" vertical="bottom" wrapText="1"/>
    </xf>
    <xf borderId="0" fillId="3" fontId="3" numFmtId="0" xfId="0" applyFill="1" applyFont="1"/>
    <xf borderId="1" fillId="4" fontId="1" numFmtId="0" xfId="0" applyAlignment="1" applyBorder="1" applyFill="1" applyFont="1">
      <alignment horizontal="center" readingOrder="0" shrinkToFit="0" vertical="bottom" wrapText="1"/>
    </xf>
    <xf borderId="0" fillId="2" fontId="2" numFmtId="0" xfId="0" applyAlignment="1" applyFill="1" applyFont="1">
      <alignment horizontal="center" readingOrder="0" shrinkToFit="0" vertical="bottom" wrapText="1"/>
    </xf>
    <xf borderId="1" fillId="0" fontId="4" numFmtId="0" xfId="0" applyAlignment="1" applyBorder="1" applyFont="1">
      <alignment horizontal="center" shrinkToFit="0" wrapText="1"/>
    </xf>
    <xf borderId="2" fillId="0" fontId="5" numFmtId="0" xfId="0" applyAlignment="1" applyBorder="1" applyFont="1">
      <alignment horizontal="center" shrinkToFit="0" vertical="center" wrapText="1"/>
    </xf>
    <xf borderId="1" fillId="0" fontId="6" numFmtId="0" xfId="0" applyBorder="1" applyFont="1"/>
    <xf borderId="1" fillId="0" fontId="7" numFmtId="0" xfId="0" applyAlignment="1" applyBorder="1" applyFont="1">
      <alignment vertical="bottom"/>
    </xf>
    <xf borderId="3" fillId="0" fontId="8" numFmtId="0" xfId="0" applyAlignment="1" applyBorder="1" applyFont="1">
      <alignment shrinkToFit="0" vertical="center" wrapText="1"/>
    </xf>
    <xf borderId="4" fillId="0" fontId="8" numFmtId="0" xfId="0" applyAlignment="1" applyBorder="1" applyFont="1">
      <alignment shrinkToFit="0" vertical="center" wrapText="1"/>
    </xf>
    <xf borderId="2" fillId="0" fontId="8" numFmtId="0" xfId="0" applyAlignment="1" applyBorder="1" applyFont="1">
      <alignment shrinkToFit="0" vertical="center" wrapText="1"/>
    </xf>
    <xf borderId="0" fillId="5" fontId="9" numFmtId="0" xfId="0" applyAlignment="1" applyFill="1" applyFont="1">
      <alignment readingOrder="0"/>
    </xf>
    <xf borderId="5" fillId="0" fontId="10" numFmtId="0" xfId="0" applyAlignment="1" applyBorder="1" applyFont="1">
      <alignment horizontal="left" vertical="center"/>
    </xf>
    <xf borderId="0" fillId="5" fontId="3" numFmtId="0" xfId="0" applyAlignment="1" applyFill="1" applyFont="1">
      <alignment readingOrder="0"/>
    </xf>
    <xf borderId="0" fillId="0" fontId="4" numFmtId="0" xfId="0" applyAlignment="1" applyFont="1">
      <alignment horizontal="left" vertical="center"/>
    </xf>
    <xf borderId="6" fillId="0" fontId="11" numFmtId="0" xfId="0" applyAlignment="1" applyBorder="1" applyFont="1">
      <alignment horizontal="center" readingOrder="0" shrinkToFit="0" vertical="center" wrapText="1"/>
    </xf>
    <xf borderId="0" fillId="5" fontId="3" numFmtId="0" xfId="0" applyAlignment="1" applyFill="1" applyFont="1">
      <alignment shrinkToFit="0" wrapText="1"/>
    </xf>
    <xf borderId="0" fillId="0" fontId="7" numFmtId="0" xfId="0" applyAlignment="1" applyFont="1">
      <alignment horizontal="left" shrinkToFit="0" vertical="center" wrapText="1"/>
    </xf>
    <xf borderId="0" fillId="5" fontId="3" numFmtId="0" xfId="0" applyFill="1" applyFont="1"/>
    <xf borderId="0" fillId="0" fontId="7" numFmtId="0" xfId="0" applyAlignment="1" applyFont="1">
      <alignment horizontal="left" vertical="center"/>
    </xf>
    <xf borderId="0" fillId="0" fontId="7" numFmtId="0" xfId="0" applyAlignment="1" applyFont="1">
      <alignment vertical="bottom"/>
    </xf>
    <xf borderId="7" fillId="0" fontId="7" numFmtId="0" xfId="0" applyAlignment="1" applyBorder="1" applyFont="1">
      <alignment vertical="bottom"/>
    </xf>
    <xf borderId="0" fillId="0" fontId="3" numFmtId="0" xfId="0" applyAlignment="1" applyFont="1">
      <alignment readingOrder="0"/>
    </xf>
    <xf borderId="5" fillId="0" fontId="6" numFmtId="0" xfId="0" applyBorder="1" applyFont="1"/>
    <xf borderId="8" fillId="0" fontId="12" numFmtId="0" xfId="0" applyAlignment="1" applyBorder="1" applyFont="1">
      <alignment horizontal="center" shrinkToFit="0" vertical="center" wrapText="1"/>
    </xf>
    <xf borderId="0" fillId="0" fontId="3" numFmtId="0" xfId="0" applyAlignment="1" applyFont="1">
      <alignment shrinkToFit="0" wrapText="1"/>
    </xf>
    <xf borderId="0" fillId="0" fontId="3" numFmtId="0" xfId="0" applyFont="1"/>
    <xf borderId="9" fillId="0" fontId="8" numFmtId="0" xfId="0" applyAlignment="1" applyBorder="1" applyFont="1">
      <alignment shrinkToFit="0" vertical="center" wrapText="1"/>
    </xf>
    <xf borderId="10" fillId="0" fontId="8" numFmtId="0" xfId="0" applyAlignment="1" applyBorder="1" applyFont="1">
      <alignment shrinkToFit="0" vertical="center" wrapText="1"/>
    </xf>
    <xf borderId="11" fillId="0" fontId="8" numFmtId="0" xfId="0" applyAlignment="1" applyBorder="1" applyFont="1">
      <alignment shrinkToFit="0" vertical="center" wrapText="1"/>
    </xf>
    <xf borderId="12" fillId="0" fontId="13" numFmtId="0" xfId="0" applyAlignment="1" applyBorder="1" applyFont="1">
      <alignment horizontal="left" readingOrder="0" shrinkToFit="0" vertical="center" wrapText="1"/>
    </xf>
    <xf borderId="8" fillId="0" fontId="8" numFmtId="0" xfId="0" applyAlignment="1" applyBorder="1" applyFont="1">
      <alignment shrinkToFit="0" vertical="center" wrapText="1"/>
    </xf>
    <xf borderId="8" fillId="0" fontId="6" numFmtId="0" xfId="0" applyBorder="1" applyFont="1"/>
    <xf borderId="9" fillId="0" fontId="6" numFmtId="0" xfId="0" applyBorder="1" applyFont="1"/>
    <xf borderId="13" fillId="0" fontId="14" numFmtId="0" xfId="0" applyAlignment="1" applyBorder="1" applyFont="1">
      <alignment horizontal="left" readingOrder="0" shrinkToFit="0" vertical="center" wrapText="1"/>
    </xf>
    <xf borderId="10" fillId="0" fontId="8" numFmtId="0" xfId="0" applyAlignment="1" applyBorder="1" applyFont="1">
      <alignment readingOrder="0" shrinkToFit="0" vertical="center" wrapText="1"/>
    </xf>
    <xf borderId="14" fillId="0" fontId="6" numFmtId="0" xfId="0" applyBorder="1" applyFont="1"/>
    <xf borderId="11" fillId="0" fontId="8" numFmtId="0" xfId="0" applyAlignment="1" applyBorder="1" applyFont="1">
      <alignment readingOrder="0" shrinkToFit="0" vertical="center" wrapText="1"/>
    </xf>
    <xf borderId="15" fillId="0" fontId="14" numFmtId="0" xfId="0" applyAlignment="1" applyBorder="1" applyFont="1">
      <alignment horizontal="left" readingOrder="0" shrinkToFit="0" vertical="center" wrapText="1"/>
    </xf>
    <xf borderId="8" fillId="0" fontId="8" numFmtId="0" xfId="0" applyAlignment="1" applyBorder="1" applyFont="1">
      <alignment readingOrder="0" shrinkToFit="0" vertical="center" wrapText="1"/>
    </xf>
    <xf borderId="2" fillId="0" fontId="6" numFmtId="0" xfId="0" applyBorder="1" applyFont="1"/>
    <xf borderId="16" fillId="0" fontId="6" numFmtId="0" xfId="0" applyBorder="1" applyFont="1"/>
    <xf borderId="17" fillId="0" fontId="6" numFmtId="0" xfId="0" applyBorder="1" applyFont="1"/>
    <xf borderId="1" fillId="0" fontId="4" numFmtId="0" xfId="0" applyAlignment="1" applyBorder="1" applyFont="1">
      <alignment horizontal="left" vertical="center"/>
    </xf>
    <xf borderId="18" fillId="0" fontId="14" numFmtId="0" xfId="0" applyAlignment="1" applyBorder="1" applyFont="1">
      <alignment horizontal="left" readingOrder="0" shrinkToFit="0" vertical="center" wrapText="1"/>
    </xf>
    <xf borderId="0" fillId="0" fontId="15" numFmtId="0" xfId="0" applyAlignment="1" applyFont="1">
      <alignment readingOrder="0" shrinkToFit="0" wrapText="1"/>
    </xf>
    <xf borderId="1" fillId="0" fontId="7" numFmtId="0" xfId="0" applyAlignment="1" applyBorder="1" applyFont="1">
      <alignment horizontal="left" shrinkToFit="0" vertical="center" wrapText="1"/>
    </xf>
    <xf borderId="1" fillId="0" fontId="7" numFmtId="0" xfId="0" applyAlignment="1" applyBorder="1" applyFont="1">
      <alignment horizontal="left" vertical="center"/>
    </xf>
    <xf borderId="19" fillId="0" fontId="8" numFmtId="0" xfId="0" applyAlignment="1" applyBorder="1" applyFont="1">
      <alignment shrinkToFit="0" vertical="center" wrapText="1"/>
    </xf>
    <xf borderId="4" fillId="0" fontId="7" numFmtId="0" xfId="0" applyAlignment="1" applyBorder="1" applyFont="1">
      <alignment vertical="bottom"/>
    </xf>
    <xf borderId="10" fillId="0" fontId="6" numFmtId="0" xfId="0" applyBorder="1" applyFont="1"/>
    <xf borderId="20" fillId="0" fontId="8" numFmtId="0" xfId="0" applyAlignment="1" applyBorder="1" applyFont="1">
      <alignment shrinkToFit="0" vertical="center" wrapText="1"/>
    </xf>
    <xf borderId="15" fillId="0" fontId="8" numFmtId="0" xfId="0" applyAlignment="1" applyBorder="1" applyFont="1">
      <alignment shrinkToFit="0" vertical="center" wrapText="1"/>
    </xf>
    <xf borderId="21" fillId="0" fontId="8" numFmtId="0" xfId="0" applyAlignment="1" applyBorder="1" applyFont="1">
      <alignment shrinkToFit="0" vertical="center" wrapText="1"/>
    </xf>
    <xf borderId="20" fillId="0" fontId="8" numFmtId="0" xfId="0" applyAlignment="1" applyBorder="1" applyFont="1">
      <alignment readingOrder="0" shrinkToFit="0" vertical="center" wrapText="1"/>
    </xf>
    <xf borderId="0" fillId="0" fontId="4" numFmtId="0" xfId="0" applyAlignment="1" applyFont="1">
      <alignment horizontal="left" vertical="center"/>
    </xf>
    <xf borderId="15" fillId="0" fontId="8" numFmtId="0" xfId="0" applyAlignment="1" applyBorder="1" applyFont="1">
      <alignment readingOrder="0" shrinkToFit="0" vertical="center" wrapText="1"/>
    </xf>
    <xf borderId="0" fillId="0" fontId="3" numFmtId="0" xfId="0" applyAlignment="1" applyFont="1">
      <alignment readingOrder="0" shrinkToFit="0" wrapText="1"/>
    </xf>
    <xf borderId="5" fillId="0" fontId="10" numFmtId="0" xfId="0" applyAlignment="1" applyBorder="1" applyFont="1">
      <alignment horizontal="left" vertical="center"/>
    </xf>
    <xf borderId="0" fillId="0" fontId="7" numFmtId="0" xfId="0" applyAlignment="1" applyFont="1">
      <alignment horizontal="left" shrinkToFit="0" vertical="center" wrapText="1"/>
    </xf>
    <xf borderId="9" fillId="0" fontId="8" numFmtId="0" xfId="0" applyAlignment="1" applyBorder="1" applyFont="1">
      <alignment readingOrder="0" shrinkToFit="0" vertical="center" wrapText="1"/>
    </xf>
    <xf borderId="0" fillId="0" fontId="16" numFmtId="0" xfId="0" applyAlignment="1" applyFont="1">
      <alignment readingOrder="0" shrinkToFit="0" wrapText="1"/>
    </xf>
    <xf borderId="7" fillId="0" fontId="8" numFmtId="0" xfId="0" applyAlignment="1" applyBorder="1" applyFont="1">
      <alignment readingOrder="0" shrinkToFit="0" vertical="center" wrapText="1"/>
    </xf>
    <xf borderId="21" fillId="0" fontId="8" numFmtId="0" xfId="0" applyAlignment="1" applyBorder="1" applyFont="1">
      <alignment readingOrder="0" shrinkToFit="0" vertical="center" wrapText="1"/>
    </xf>
    <xf borderId="0" fillId="0" fontId="17" numFmtId="0" xfId="0" applyAlignment="1" applyFont="1">
      <alignment readingOrder="0" shrinkToFit="0" wrapText="1"/>
    </xf>
    <xf borderId="22" fillId="0" fontId="8" numFmtId="0" xfId="0" applyAlignment="1" applyBorder="1" applyFont="1">
      <alignment readingOrder="0" shrinkToFit="0" vertical="center" wrapText="1"/>
    </xf>
    <xf borderId="3" fillId="0" fontId="6" numFmtId="0" xfId="0" applyBorder="1" applyFont="1"/>
    <xf borderId="0" fillId="0" fontId="4" numFmtId="0" xfId="0" applyAlignment="1" applyFont="1">
      <alignment horizontal="left" shrinkToFit="0" vertical="center" wrapText="1"/>
    </xf>
    <xf borderId="23" fillId="0" fontId="8" numFmtId="0" xfId="0" applyAlignment="1" applyBorder="1" applyFont="1">
      <alignment shrinkToFit="0" vertical="center" wrapText="1"/>
    </xf>
    <xf borderId="24" fillId="0" fontId="8" numFmtId="0" xfId="0" applyAlignment="1" applyBorder="1" applyFont="1">
      <alignment shrinkToFit="0" vertical="center" wrapText="1"/>
    </xf>
    <xf borderId="1" fillId="0" fontId="4" numFmtId="0" xfId="0" applyAlignment="1" applyBorder="1" applyFont="1">
      <alignment horizontal="left" vertical="center"/>
    </xf>
    <xf borderId="1" fillId="0" fontId="7" numFmtId="0" xfId="0" applyAlignment="1" applyBorder="1" applyFont="1">
      <alignment horizontal="left" shrinkToFit="0" vertical="center" wrapText="1"/>
    </xf>
    <xf borderId="3" fillId="0" fontId="8" numFmtId="0" xfId="0" applyAlignment="1" applyBorder="1" applyFont="1">
      <alignment readingOrder="0" shrinkToFit="0" vertical="center" wrapText="1"/>
    </xf>
    <xf borderId="4" fillId="0" fontId="8" numFmtId="0" xfId="0" applyAlignment="1" applyBorder="1" applyFont="1">
      <alignment readingOrder="0" shrinkToFit="0" vertical="center" wrapText="1"/>
    </xf>
    <xf borderId="25" fillId="0" fontId="4" numFmtId="0" xfId="0" applyAlignment="1" applyBorder="1" applyFont="1">
      <alignment horizontal="left" vertical="center"/>
    </xf>
    <xf borderId="0" fillId="0" fontId="8" numFmtId="0" xfId="0" applyAlignment="1" applyFont="1">
      <alignment readingOrder="0" shrinkToFit="0" vertical="center" wrapText="1"/>
    </xf>
    <xf borderId="25" fillId="0" fontId="6" numFmtId="0" xfId="0" applyBorder="1" applyFont="1"/>
    <xf borderId="7" fillId="0" fontId="8" numFmtId="0" xfId="0" applyAlignment="1" applyBorder="1" applyFont="1">
      <alignment shrinkToFit="0" vertical="center" wrapText="1"/>
    </xf>
    <xf borderId="0" fillId="0" fontId="8" numFmtId="0" xfId="0" applyAlignment="1" applyFont="1">
      <alignment shrinkToFit="0" vertical="center" wrapText="1"/>
    </xf>
    <xf borderId="0" fillId="0" fontId="7" numFmtId="0" xfId="0" applyAlignment="1" applyFont="1">
      <alignment horizontal="left" vertical="center"/>
    </xf>
    <xf borderId="1" fillId="0" fontId="8" numFmtId="0" xfId="0" applyAlignment="1" applyBorder="1" applyFont="1">
      <alignment readingOrder="0" shrinkToFit="0" vertical="center" wrapText="1"/>
    </xf>
    <xf borderId="1" fillId="0" fontId="8" numFmtId="0" xfId="0" applyAlignment="1" applyBorder="1" applyFont="1">
      <alignment shrinkToFit="0" vertical="center" wrapText="1"/>
    </xf>
    <xf borderId="26" fillId="0" fontId="7" numFmtId="0" xfId="0" applyAlignment="1" applyBorder="1" applyFont="1">
      <alignment horizontal="left" shrinkToFit="0" vertical="center" wrapText="1"/>
    </xf>
    <xf borderId="0" fillId="4" fontId="3" numFmtId="0" xfId="0" applyFill="1" applyFont="1"/>
    <xf borderId="27" fillId="0" fontId="7" numFmtId="0" xfId="0" applyAlignment="1" applyBorder="1" applyFont="1">
      <alignment horizontal="left" vertical="center"/>
    </xf>
    <xf borderId="28" fillId="0" fontId="6" numFmtId="0" xfId="0" applyBorder="1" applyFont="1"/>
    <xf borderId="29" fillId="0" fontId="7" numFmtId="0" xfId="0" applyAlignment="1" applyBorder="1" applyFont="1">
      <alignment horizontal="left" shrinkToFit="0" vertical="center" wrapText="1"/>
    </xf>
    <xf borderId="29" fillId="0" fontId="7" numFmtId="0" xfId="0" applyAlignment="1" applyBorder="1" applyFont="1">
      <alignment horizontal="left" vertical="center"/>
    </xf>
    <xf borderId="0" fillId="4" fontId="3" numFmtId="0" xfId="0" applyAlignment="1" applyFill="1" applyFont="1">
      <alignment readingOrder="0"/>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1"/>
    </xf>
    <xf borderId="2" fillId="0" fontId="8" numFmtId="0" xfId="0" applyAlignment="1" applyBorder="1" applyFont="1">
      <alignment readingOrder="0" shrinkToFit="0" vertical="center" wrapText="1"/>
    </xf>
    <xf borderId="0" fillId="0" fontId="18" numFmtId="0" xfId="0" applyAlignment="1" applyFont="1">
      <alignment horizontal="left" readingOrder="0" shrinkToFit="0" vertical="center" wrapText="0"/>
    </xf>
    <xf borderId="2" fillId="0" fontId="19" numFmtId="0" xfId="0" applyAlignment="1" applyBorder="1" applyFont="1">
      <alignment horizontal="center" readingOrder="0" shrinkToFit="0" vertical="center" wrapText="1"/>
    </xf>
    <xf borderId="0" fillId="0" fontId="20" numFmtId="0" xfId="0" applyAlignment="1" applyFont="1">
      <alignment horizontal="left" shrinkToFit="0" vertical="center" wrapText="0"/>
    </xf>
    <xf borderId="1" fillId="0" fontId="4" numFmtId="0" xfId="0" applyAlignment="1" applyBorder="1" applyFont="1">
      <alignment horizontal="left" shrinkToFit="0" vertical="center" wrapText="1"/>
    </xf>
    <xf borderId="3" fillId="0" fontId="21" numFmtId="0" xfId="0" applyAlignment="1" applyBorder="1" applyFont="1">
      <alignment shrinkToFit="0" vertical="center" wrapText="1"/>
    </xf>
    <xf borderId="0" fillId="0" fontId="7" numFmtId="0" xfId="0" applyAlignment="1" applyFont="1">
      <alignment horizontal="left" readingOrder="0" shrinkToFit="0" vertical="center" wrapText="1"/>
    </xf>
    <xf borderId="0" fillId="0" fontId="22" numFmtId="0" xfId="0" applyAlignment="1" applyFont="1">
      <alignment horizontal="left" readingOrder="0" vertical="center"/>
    </xf>
    <xf borderId="3" fillId="5" fontId="23" numFmtId="0" xfId="0" applyAlignment="1" applyBorder="1" applyFill="1" applyFont="1">
      <alignment readingOrder="0" shrinkToFit="0" vertical="center" wrapText="1"/>
    </xf>
    <xf borderId="1" fillId="0" fontId="24" numFmtId="0" xfId="0" applyAlignment="1" applyBorder="1" applyFont="1">
      <alignment horizontal="left" shrinkToFit="0" vertical="center" wrapText="0"/>
    </xf>
    <xf borderId="3" fillId="5" fontId="8" numFmtId="0" xfId="0" applyAlignment="1" applyBorder="1" applyFill="1" applyFont="1">
      <alignment shrinkToFit="0" vertical="center" wrapText="1"/>
    </xf>
    <xf borderId="30" fillId="0" fontId="4" numFmtId="0" xfId="0" applyAlignment="1" applyBorder="1" applyFont="1">
      <alignment horizontal="left" vertical="center"/>
    </xf>
    <xf borderId="27" fillId="0" fontId="4" numFmtId="0" xfId="0" applyAlignment="1" applyBorder="1" applyFont="1">
      <alignment horizontal="left" shrinkToFit="0" vertical="center" wrapText="1"/>
    </xf>
    <xf borderId="30" fillId="0" fontId="6" numFmtId="0" xfId="0" applyBorder="1" applyFont="1"/>
    <xf borderId="10" fillId="0" fontId="21" numFmtId="0" xfId="0" applyAlignment="1" applyBorder="1" applyFont="1">
      <alignment shrinkToFit="0" vertical="center" wrapText="1"/>
    </xf>
    <xf borderId="26" fillId="0" fontId="4" numFmtId="0" xfId="0" applyAlignment="1" applyBorder="1" applyFont="1">
      <alignment horizontal="left" shrinkToFit="0" vertical="center" wrapText="1"/>
    </xf>
    <xf borderId="0" fillId="0" fontId="25" numFmtId="0" xfId="0" applyAlignment="1" applyFont="1">
      <alignment horizontal="left" vertical="center"/>
    </xf>
    <xf borderId="0" fillId="0" fontId="26" numFmtId="0" xfId="0" applyAlignment="1" applyFont="1">
      <alignment shrinkToFit="0" wrapText="0"/>
    </xf>
    <xf borderId="29" fillId="0" fontId="6" numFmtId="0" xfId="0" applyBorder="1" applyFont="1"/>
    <xf borderId="0" fillId="0" fontId="27" numFmtId="0" xfId="0" applyAlignment="1" applyFont="1">
      <alignment horizontal="center" shrinkToFit="0" vertical="center" wrapText="1"/>
    </xf>
    <xf borderId="0" fillId="0" fontId="28" numFmtId="0" xfId="0" applyAlignment="1" applyFont="1">
      <alignment shrinkToFit="0" wrapText="1"/>
    </xf>
    <xf borderId="0" fillId="0" fontId="14" numFmtId="0" xfId="0" applyAlignment="1" applyFont="1">
      <alignment shrinkToFit="0" wrapText="1"/>
    </xf>
    <xf borderId="0" fillId="0" fontId="29" numFmtId="0" xfId="0" applyAlignment="1" applyFont="1">
      <alignment horizontal="left" shrinkToFit="0" vertical="center" wrapText="1"/>
    </xf>
    <xf borderId="0" fillId="0" fontId="30" numFmtId="0" xfId="0" applyAlignment="1" applyFont="1">
      <alignment horizontal="left" readingOrder="0" shrinkToFit="0" vertical="center" wrapText="1"/>
    </xf>
    <xf borderId="0" fillId="6" fontId="7" numFmtId="0" xfId="0" applyAlignment="1" applyFill="1" applyFont="1">
      <alignment readingOrder="0" shrinkToFit="0" vertical="bottom" wrapText="1"/>
    </xf>
    <xf borderId="0" fillId="0" fontId="31" numFmtId="0" xfId="0" applyAlignment="1" applyFont="1">
      <alignment horizontal="left" readingOrder="0" shrinkToFit="0" vertical="center" wrapText="0"/>
    </xf>
    <xf borderId="0" fillId="6" fontId="7" numFmtId="0" xfId="0" applyAlignment="1" applyFill="1" applyFont="1">
      <alignment horizontal="left" readingOrder="0" shrinkToFit="0" vertical="bottom" wrapText="1"/>
    </xf>
    <xf borderId="0" fillId="6" fontId="7" numFmtId="0" xfId="0" applyAlignment="1" applyFill="1" applyFont="1">
      <alignment horizontal="left" shrinkToFit="0" vertical="bottom" wrapText="1"/>
    </xf>
    <xf borderId="1" fillId="0" fontId="4" numFmtId="0" xfId="0" applyAlignment="1" applyBorder="1" applyFont="1">
      <alignment horizontal="left" readingOrder="0" vertical="center"/>
    </xf>
    <xf borderId="0" fillId="6" fontId="7" numFmtId="0" xfId="0" applyAlignment="1" applyFill="1" applyFont="1">
      <alignment vertical="bottom"/>
    </xf>
    <xf borderId="1" fillId="0" fontId="4" numFmtId="0" xfId="0" applyAlignment="1" applyBorder="1" applyFont="1">
      <alignment horizontal="left" readingOrder="0" shrinkToFit="0" vertical="center" wrapText="1"/>
    </xf>
    <xf borderId="0" fillId="0" fontId="3" numFmtId="164" xfId="0" applyAlignment="1" applyFont="1" applyNumberFormat="1">
      <alignment readingOrder="0" shrinkToFit="0" wrapText="1"/>
    </xf>
    <xf borderId="0" fillId="0" fontId="32" numFmtId="0" xfId="0" applyAlignment="1" applyFont="1">
      <alignment horizontal="center" vertical="center"/>
    </xf>
    <xf borderId="0" fillId="0" fontId="32" numFmtId="0" xfId="0" applyAlignment="1" applyFont="1">
      <alignment horizontal="left" vertical="center"/>
    </xf>
    <xf borderId="0" fillId="7" fontId="33" numFmtId="0" xfId="0" applyAlignment="1" applyFill="1" applyFont="1">
      <alignment readingOrder="0" shrinkToFit="0" wrapText="1"/>
    </xf>
    <xf borderId="0" fillId="0" fontId="32" numFmtId="0" xfId="0" applyAlignment="1" applyFont="1">
      <alignment horizontal="left" shrinkToFit="0" vertical="center" wrapText="1"/>
    </xf>
    <xf borderId="0" fillId="0" fontId="3" numFmtId="0" xfId="0" applyAlignment="1" applyFont="1">
      <alignment horizontal="center" shrinkToFit="0" vertical="center" wrapText="0"/>
    </xf>
    <xf borderId="0" fillId="0" fontId="32" numFmtId="0" xfId="0" applyAlignment="1" applyFont="1">
      <alignment horizontal="center" readingOrder="0" vertical="center"/>
    </xf>
    <xf borderId="0" fillId="0" fontId="32" numFmtId="0" xfId="0" applyAlignment="1" applyFont="1">
      <alignment horizontal="left" readingOrder="0" vertical="center"/>
    </xf>
    <xf borderId="0" fillId="0" fontId="3" numFmtId="165" xfId="0" applyAlignment="1" applyFont="1" applyNumberFormat="1">
      <alignment readingOrder="0" shrinkToFit="0" wrapText="1"/>
    </xf>
    <xf borderId="0" fillId="0" fontId="7" numFmtId="0" xfId="0" applyAlignment="1" applyFont="1">
      <alignment horizontal="left" vertical="bottom"/>
    </xf>
    <xf borderId="0" fillId="0" fontId="7" numFmtId="0" xfId="0" applyAlignment="1" applyFont="1">
      <alignment horizontal="left" readingOrder="0" vertical="bottom"/>
    </xf>
    <xf borderId="0" fillId="0" fontId="3" numFmtId="166" xfId="0" applyAlignment="1" applyFont="1" applyNumberFormat="1">
      <alignment readingOrder="0" shrinkToFit="0" wrapText="1"/>
    </xf>
    <xf borderId="0" fillId="0" fontId="3" numFmtId="0" xfId="0" applyAlignment="1" applyFont="1">
      <alignment horizontal="left"/>
    </xf>
    <xf borderId="0" fillId="0" fontId="34" numFmtId="0" xfId="0" applyAlignment="1" applyFont="1">
      <alignment horizontal="left" readingOrder="0"/>
    </xf>
    <xf borderId="0" fillId="0" fontId="3" numFmtId="0" xfId="0" applyAlignment="1" applyFont="1">
      <alignment horizontal="left" readingOrder="0"/>
    </xf>
    <xf borderId="0" fillId="0" fontId="3" numFmtId="167" xfId="0" applyAlignment="1" applyFont="1" applyNumberFormat="1">
      <alignment horizontal="left"/>
    </xf>
    <xf borderId="0" fillId="0" fontId="3" numFmtId="168" xfId="0" applyAlignment="1" applyFont="1" applyNumberFormat="1">
      <alignment horizontal="left" readingOrder="0"/>
    </xf>
    <xf borderId="0" fillId="0" fontId="3" numFmtId="0" xfId="0" applyAlignment="1" applyFont="1">
      <alignment readingOrder="0" shrinkToFit="0" wrapText="1"/>
    </xf>
    <xf borderId="0" fillId="0" fontId="3" numFmtId="14" xfId="0" applyAlignment="1" applyFont="1" applyNumberFormat="1">
      <alignment readingOrder="0" shrinkToFit="0" wrapText="1"/>
    </xf>
    <xf borderId="31" fillId="8" fontId="35" numFmtId="0" xfId="0" applyAlignment="1" applyBorder="1" applyFill="1" applyFont="1">
      <alignment readingOrder="0" vertical="top"/>
    </xf>
    <xf borderId="31" fillId="9" fontId="3" numFmtId="0" xfId="0" applyAlignment="1" applyBorder="1" applyFill="1" applyFont="1">
      <alignment readingOrder="0" vertical="top"/>
    </xf>
    <xf borderId="31" fillId="0" fontId="36" numFmtId="0" xfId="0" applyAlignment="1" applyBorder="1" applyFont="1">
      <alignment readingOrder="0" vertical="top"/>
    </xf>
    <xf borderId="31" fillId="9" fontId="35" numFmtId="0" xfId="0" applyAlignment="1" applyBorder="1" applyFill="1" applyFont="1">
      <alignment readingOrder="0" vertical="top"/>
    </xf>
    <xf borderId="0" fillId="0" fontId="3" numFmtId="0" xfId="0" applyFont="1"/>
    <xf borderId="0" fillId="6" fontId="3" numFmtId="0" xfId="0" applyFill="1" applyFont="1"/>
    <xf borderId="0" fillId="6" fontId="3" numFmtId="0" xfId="0" applyFill="1" applyFont="1"/>
    <xf borderId="0" fillId="10" fontId="3" numFmtId="0" xfId="0" applyFill="1" applyFont="1"/>
    <xf borderId="0" fillId="11" fontId="3" numFmtId="0" xfId="0" applyFill="1" applyFont="1"/>
    <xf borderId="0" fillId="12" fontId="3" numFmtId="0" xfId="0" applyFill="1" applyFont="1"/>
    <xf borderId="0" fillId="10" fontId="37" numFmtId="0" xfId="0" applyAlignment="1" applyFill="1" applyFont="1">
      <alignment vertical="top"/>
    </xf>
    <xf borderId="0" fillId="2" fontId="38" numFmtId="0" xfId="0" applyAlignment="1" applyFill="1" applyFont="1">
      <alignment vertical="top"/>
    </xf>
    <xf borderId="0" fillId="11" fontId="39" numFmtId="0" xfId="0" applyAlignment="1" applyFill="1" applyFont="1">
      <alignment vertical="top"/>
    </xf>
    <xf borderId="0" fillId="0" fontId="39" numFmtId="0" xfId="0" applyAlignment="1" applyFont="1">
      <alignment vertical="top"/>
    </xf>
    <xf borderId="0" fillId="12" fontId="39" numFmtId="0" xfId="0" applyAlignment="1" applyFill="1" applyFont="1">
      <alignment vertical="top"/>
    </xf>
    <xf borderId="0" fillId="4" fontId="39" numFmtId="0" xfId="0" applyAlignment="1" applyFill="1" applyFont="1">
      <alignment vertical="top"/>
    </xf>
    <xf borderId="0" fillId="13" fontId="3" numFmtId="0" xfId="0" applyAlignment="1" applyFill="1" applyFont="1">
      <alignment readingOrder="0"/>
    </xf>
    <xf borderId="0" fillId="3" fontId="38" numFmtId="0" xfId="0" applyAlignment="1" applyFill="1" applyFont="1">
      <alignment vertical="top"/>
    </xf>
    <xf borderId="0" fillId="14" fontId="40" numFmtId="0" xfId="0" applyAlignment="1" applyFill="1" applyFont="1">
      <alignment vertical="top"/>
    </xf>
    <xf borderId="0" fillId="5" fontId="38" numFmtId="0" xfId="0" applyAlignment="1" applyFill="1" applyFont="1">
      <alignment vertical="top"/>
    </xf>
    <xf borderId="31" fillId="0" fontId="41" numFmtId="0" xfId="0" applyAlignment="1" applyBorder="1" applyFont="1">
      <alignment readingOrder="0" vertical="top"/>
    </xf>
    <xf borderId="31" fillId="0" fontId="3" numFmtId="0" xfId="0" applyAlignment="1" applyBorder="1" applyFont="1">
      <alignment readingOrder="0" vertical="top"/>
    </xf>
    <xf borderId="0" fillId="7" fontId="42" numFmtId="0" xfId="0" applyAlignment="1" applyFill="1" applyFont="1">
      <alignment readingOrder="0"/>
    </xf>
    <xf borderId="0" fillId="7" fontId="43" numFmtId="0" xfId="0" applyAlignment="1" applyFill="1" applyFont="1">
      <alignment horizontal="left" readingOrder="0"/>
    </xf>
    <xf borderId="0" fillId="7" fontId="43" numFmtId="0" xfId="0" applyAlignment="1" applyFill="1" applyFont="1">
      <alignment readingOrder="0"/>
    </xf>
    <xf borderId="0" fillId="7" fontId="43" numFmtId="0" xfId="0" applyFill="1" applyFont="1"/>
    <xf borderId="0" fillId="7" fontId="44" numFmtId="0" xfId="0" applyAlignment="1" applyFill="1" applyFont="1">
      <alignment vertical="bottom"/>
    </xf>
    <xf borderId="0" fillId="7" fontId="45" numFmtId="0" xfId="0" applyAlignment="1" applyFill="1" applyFont="1">
      <alignment vertical="bottom"/>
    </xf>
    <xf borderId="0" fillId="7" fontId="46" numFmtId="0" xfId="0" applyAlignment="1" applyFill="1" applyFont="1">
      <alignment readingOrder="0"/>
    </xf>
    <xf borderId="0" fillId="0" fontId="43" numFmtId="0" xfId="0" applyAlignment="1" applyFont="1">
      <alignment readingOrder="0"/>
    </xf>
    <xf borderId="0" fillId="0" fontId="47" numFmtId="0" xfId="0" applyAlignment="1" applyFont="1">
      <alignment horizontal="right" readingOrder="0"/>
    </xf>
    <xf borderId="0" fillId="0" fontId="48" numFmtId="0" xfId="0" applyAlignment="1" applyFont="1">
      <alignment horizontal="right" readingOrder="0"/>
    </xf>
    <xf borderId="0" fillId="0" fontId="49" numFmtId="0" xfId="0" applyAlignment="1" applyFont="1">
      <alignment horizontal="right" readingOrder="0"/>
    </xf>
    <xf borderId="0" fillId="0" fontId="50" numFmtId="0" xfId="0" applyAlignment="1" applyFont="1">
      <alignment horizontal="right" readingOrder="0"/>
    </xf>
    <xf borderId="0" fillId="0" fontId="51" numFmtId="0" xfId="0" applyAlignment="1" applyFont="1">
      <alignment horizontal="center" readingOrder="0"/>
    </xf>
    <xf borderId="0" fillId="0" fontId="52" numFmtId="0" xfId="0" applyAlignment="1" applyFont="1">
      <alignment horizontal="center" readingOrder="0"/>
    </xf>
    <xf borderId="0" fillId="0" fontId="53" numFmtId="0" xfId="0" applyAlignment="1" applyFont="1">
      <alignment horizontal="center" readingOrder="0"/>
    </xf>
  </cellXfs>
  <cellStyles count="1">
    <cellStyle xfId="0" name="Normal" builtinId="0"/>
  </cellStyles>
  <dxfs count="7">
    <dxf>
      <font/>
      <fill>
        <patternFill patternType="solid">
          <fgColor rgb="FF999999"/>
          <bgColor rgb="FF999999"/>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2E9"/>
          <bgColor rgb="FFD9D2E9"/>
        </patternFill>
      </fill>
      <border/>
    </dxf>
    <dxf>
      <font/>
      <fill>
        <patternFill patternType="solid">
          <fgColor rgb="FFC9DAF8"/>
          <bgColor rgb="FFC9DAF8"/>
        </patternFill>
      </fill>
      <border/>
    </dxf>
    <dxf>
      <font/>
      <fill>
        <patternFill patternType="solid">
          <fgColor rgb="FFDD7E6B"/>
          <bgColor rgb="FFDD7E6B"/>
        </patternFill>
      </fill>
      <border/>
    </dxf>
    <dxf>
      <font/>
      <fill>
        <patternFill patternType="solid">
          <fgColor rgb="FFF6B26B"/>
          <bgColor rgb="FFF6B2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29</xdr:row>
      <xdr:rowOff>9525</xdr:rowOff>
    </xdr:from>
    <xdr:ext cx="9372600" cy="648652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29</xdr:row>
      <xdr:rowOff>66675</xdr:rowOff>
    </xdr:from>
    <xdr:ext cx="9372600" cy="3143250"/>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hlw.go.jp/stf/seisakunitsuite/bunya/koyou_roudou/roudoukijun/faq/faq_kijyunhou.html" TargetMode="External"/><Relationship Id="rId2" Type="http://schemas.openxmlformats.org/officeDocument/2006/relationships/hyperlink" Target="https://www.mhlw.go.jp/stf/seisakunitsuite/bunya/0000087600.html" TargetMode="External"/><Relationship Id="rId3" Type="http://schemas.openxmlformats.org/officeDocument/2006/relationships/hyperlink" Target="https://www.mhlw.go.jp/stf/seisakunitsuite/bunya/0000087600.html" TargetMode="External"/><Relationship Id="rId4" Type="http://schemas.openxmlformats.org/officeDocument/2006/relationships/hyperlink" Target="https://www.mhlw.go.jp/stf/seisakunitsuite/bunya/0000087600.html" TargetMode="External"/><Relationship Id="rId11" Type="http://schemas.openxmlformats.org/officeDocument/2006/relationships/drawing" Target="../drawings/drawing1.xml"/><Relationship Id="rId10" Type="http://schemas.openxmlformats.org/officeDocument/2006/relationships/hyperlink" Target="https://corp.timee.co.jp/news/detail-196/" TargetMode="External"/><Relationship Id="rId9" Type="http://schemas.openxmlformats.org/officeDocument/2006/relationships/hyperlink" Target="https://www.bunka.go.jp/seisaku/chosakuken/seidokaisetsu/gaiyo/" TargetMode="External"/><Relationship Id="rId5" Type="http://schemas.openxmlformats.org/officeDocument/2006/relationships/hyperlink" Target="https://www.mhlw.go.jp/stf/seisakunitsuite/bunya/koyou_roudou/koyou/topics/tp070831-1.html" TargetMode="External"/><Relationship Id="rId6" Type="http://schemas.openxmlformats.org/officeDocument/2006/relationships/hyperlink" Target="https://www.mhlw.go.jp/stf/seisakunitsuite/bunya/0000172497.html" TargetMode="External"/><Relationship Id="rId7" Type="http://schemas.openxmlformats.org/officeDocument/2006/relationships/hyperlink" Target="https://www.mhlw.go.jp/bunya/koyou/haken-shoukai20/dl/12.pdf" TargetMode="External"/><Relationship Id="rId8" Type="http://schemas.openxmlformats.org/officeDocument/2006/relationships/hyperlink" Target="https://www.mhlw.go.jp/stf/seisakunitsuite/bunya/0000172497.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otion.so/timee/1e3c5579d2b880f5854cda45bc096db6" TargetMode="External"/><Relationship Id="rId2" Type="http://schemas.openxmlformats.org/officeDocument/2006/relationships/hyperlink" Target="https://www.notion.so/timee/b3ff33bc00e8480685aa2f5875209530" TargetMode="External"/><Relationship Id="rId3" Type="http://schemas.openxmlformats.org/officeDocument/2006/relationships/hyperlink" Target="https://www.notion.so/timee/70729b4d71ee46c18706a4a738e6c553" TargetMode="External"/><Relationship Id="rId4" Type="http://schemas.openxmlformats.org/officeDocument/2006/relationships/hyperlink" Target="https://www.notion.so/timee/810e0c907b6443d0aeca7195f03f96c4" TargetMode="External"/><Relationship Id="rId10" Type="http://schemas.openxmlformats.org/officeDocument/2006/relationships/drawing" Target="../drawings/drawing2.xml"/><Relationship Id="rId9" Type="http://schemas.openxmlformats.org/officeDocument/2006/relationships/hyperlink" Target="https://www.notion.so/timee/27f039169f714572a34e3cd4998faccd" TargetMode="External"/><Relationship Id="rId5" Type="http://schemas.openxmlformats.org/officeDocument/2006/relationships/hyperlink" Target="https://www.notion.so/timee/e27a16fa309c49dfa70815b786d88d49" TargetMode="External"/><Relationship Id="rId6" Type="http://schemas.openxmlformats.org/officeDocument/2006/relationships/hyperlink" Target="https://drive.google.com/file/d/1nktA_Z3ZWaBYAlgNoj8t2Oc_5TpDinSx/view" TargetMode="External"/><Relationship Id="rId7" Type="http://schemas.openxmlformats.org/officeDocument/2006/relationships/hyperlink" Target="https://docs.google.com/spreadsheets/d/1Lyvt9k5v29f1oazrHmn1WdAvk6Dsn3GtuVu_KFfZg2E/edit" TargetMode="External"/><Relationship Id="rId8" Type="http://schemas.openxmlformats.org/officeDocument/2006/relationships/hyperlink" Target="https://www.notion.so/timee/e773e90b88bb4c36bc2e3ab4d439175d"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taimee.slack.com/archives/C01PZEG7XDG/p1615804824060500" TargetMode="External"/><Relationship Id="rId10" Type="http://schemas.openxmlformats.org/officeDocument/2006/relationships/hyperlink" Target="https://www.notion.so/timee/e27a16fa309c49dfa70815b786d88d49" TargetMode="External"/><Relationship Id="rId13" Type="http://schemas.openxmlformats.org/officeDocument/2006/relationships/hyperlink" Target="https://taimee.slack.com/archives/CECP4KLCX/p1662449346505169" TargetMode="External"/><Relationship Id="rId12" Type="http://schemas.openxmlformats.org/officeDocument/2006/relationships/hyperlink" Target="https://www.notion.so/timee/ffc80a7e0e11490181e53c28eff4f7cd" TargetMode="External"/><Relationship Id="rId1" Type="http://schemas.openxmlformats.org/officeDocument/2006/relationships/hyperlink" Target="https://help.timee.co.jp/ja/knowledge/timee%E4%BA%8B%E6%A5%AD%E8%80%85%E5%88%A9%E7%94%A8%E8%A6%8F%E7%B4%84%E4%BA%8B%E6%A5%AD%E8%80%85%E6%A7%98%E5%90%91%E3%81%91-2022%E5%B9%B410%E6%9C%881%E6%97%A5%E6%94%B9%E5%AE%9A%E7%89%88" TargetMode="External"/><Relationship Id="rId2" Type="http://schemas.openxmlformats.org/officeDocument/2006/relationships/hyperlink" Target="https://taimee.slack.com/archives/C01PZEG7XDG/p1615804824060500" TargetMode="External"/><Relationship Id="rId3" Type="http://schemas.openxmlformats.org/officeDocument/2006/relationships/hyperlink" Target="https://xn--xmq28ju4vf9rm0o.com/kinshi/" TargetMode="External"/><Relationship Id="rId4" Type="http://schemas.openxmlformats.org/officeDocument/2006/relationships/hyperlink" Target="https://xn--xmq28ju4vf9rm0o.com/kinshi/" TargetMode="External"/><Relationship Id="rId9" Type="http://schemas.openxmlformats.org/officeDocument/2006/relationships/hyperlink" Target="https://www.notion.so/timee/b3ff33bc00e8480685aa2f5875209530" TargetMode="External"/><Relationship Id="rId14" Type="http://schemas.openxmlformats.org/officeDocument/2006/relationships/drawing" Target="../drawings/drawing3.xml"/><Relationship Id="rId5" Type="http://schemas.openxmlformats.org/officeDocument/2006/relationships/hyperlink" Target="https://www.notion.so/timee/810e0c907b6443d0aeca7195f03f96c4" TargetMode="External"/><Relationship Id="rId6" Type="http://schemas.openxmlformats.org/officeDocument/2006/relationships/hyperlink" Target="https://www.notion.so/timee/a4af94d4b4c3452f8d2456794ec58ab5" TargetMode="External"/><Relationship Id="rId7" Type="http://schemas.openxmlformats.org/officeDocument/2006/relationships/hyperlink" Target="https://www.nta.go.jp/law/shitsugi/inshi/19/01.htm" TargetMode="External"/><Relationship Id="rId8" Type="http://schemas.openxmlformats.org/officeDocument/2006/relationships/hyperlink" Target="https://taimee.slack.com/archives/CECP4KLCX/p164990020195901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otion.so/timee/49c1fefc31aa46369f1f8d2ef9d32515" TargetMode="External"/><Relationship Id="rId2" Type="http://schemas.openxmlformats.org/officeDocument/2006/relationships/hyperlink" Target="https://www.sankei.com/article/20230317-N6QQQRLYBVJMLPUNIYSZ2WPK3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notion.so/timee/1e3c5579d2b880f5854cda45bc096db6" TargetMode="External"/><Relationship Id="rId10" Type="http://schemas.openxmlformats.org/officeDocument/2006/relationships/hyperlink" Target="https://taimee.slack.com/archives/CECP4KLCX/p1744597500200799" TargetMode="External"/><Relationship Id="rId13" Type="http://schemas.openxmlformats.org/officeDocument/2006/relationships/hyperlink" Target="https://taimee.slack.com/archives/CECP4KLCX/p1698141209580119?thread_ts=1698134026.581079&amp;cid=CECP4KLCX" TargetMode="External"/><Relationship Id="rId12" Type="http://schemas.openxmlformats.org/officeDocument/2006/relationships/hyperlink" Target="https://taimee.slack.com/archives/C02FXSC397F/p1747876218609719" TargetMode="External"/><Relationship Id="rId1" Type="http://schemas.openxmlformats.org/officeDocument/2006/relationships/hyperlink" Target="https://taimee.slack.com/archives/CECP4KLCX/p1632034587344300" TargetMode="External"/><Relationship Id="rId2" Type="http://schemas.openxmlformats.org/officeDocument/2006/relationships/hyperlink" Target="https://taimee.slack.com/archives/CECP4KLCX/p1662449346505169" TargetMode="External"/><Relationship Id="rId3" Type="http://schemas.openxmlformats.org/officeDocument/2006/relationships/hyperlink" Target="https://taimee.slack.com/archives/C0247BB4DNW/p1686127243203299" TargetMode="External"/><Relationship Id="rId4" Type="http://schemas.openxmlformats.org/officeDocument/2006/relationships/hyperlink" Target="https://taimee.slack.com/archives/CECP4KLCX/p1687918796535029" TargetMode="External"/><Relationship Id="rId9" Type="http://schemas.openxmlformats.org/officeDocument/2006/relationships/hyperlink" Target="https://www.notion.so/timee/1adc5579d2b8806d8b7ccc4cddf43da7" TargetMode="External"/><Relationship Id="rId14" Type="http://schemas.openxmlformats.org/officeDocument/2006/relationships/drawing" Target="../drawings/drawing6.xml"/><Relationship Id="rId5" Type="http://schemas.openxmlformats.org/officeDocument/2006/relationships/hyperlink" Target="https://taimee.slack.com/archives/CECP4KLCX/p1710751611113069" TargetMode="External"/><Relationship Id="rId6" Type="http://schemas.openxmlformats.org/officeDocument/2006/relationships/hyperlink" Target="https://taimee.slack.com/archives/CECP4KLCX/p1716174930730639" TargetMode="External"/><Relationship Id="rId7" Type="http://schemas.openxmlformats.org/officeDocument/2006/relationships/hyperlink" Target="https://www.notion.so/timee/181c5579d2b8807fa73cd5d0dfc57213" TargetMode="External"/><Relationship Id="rId8" Type="http://schemas.openxmlformats.org/officeDocument/2006/relationships/hyperlink" Target="https://www.notion.so/timee/181c5579d2b880729738c58275399fc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aimee.slack.com/archives/C02D2DUAH2M/p1630203893000500" TargetMode="External"/><Relationship Id="rId2" Type="http://schemas.openxmlformats.org/officeDocument/2006/relationships/hyperlink" Target="https://taimee.slack.com/archives/C02D2DUAH2M/p1630208516003000"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soumu.go.jp/toukei_toukatsu/index/seido/sangyo/02toukatsu01_03000023.html" TargetMode="External"/><Relationship Id="rId42" Type="http://schemas.openxmlformats.org/officeDocument/2006/relationships/hyperlink" Target="https://www.soumu.go.jp/main_content/000290730.pdf" TargetMode="External"/><Relationship Id="rId41" Type="http://schemas.openxmlformats.org/officeDocument/2006/relationships/hyperlink" Target="https://www.soumu.go.jp/toukei_toukatsu/index/seido/sangyo/02toukatsu01_03000023.html" TargetMode="External"/><Relationship Id="rId44" Type="http://schemas.openxmlformats.org/officeDocument/2006/relationships/hyperlink" Target="https://www.soumu.go.jp/toukei_toukatsu/index/seido/sangyo/02toukatsu01_03000023.html" TargetMode="External"/><Relationship Id="rId43" Type="http://schemas.openxmlformats.org/officeDocument/2006/relationships/hyperlink" Target="https://www.soumu.go.jp/main_content/000290730.pdf" TargetMode="External"/><Relationship Id="rId46" Type="http://schemas.openxmlformats.org/officeDocument/2006/relationships/hyperlink" Target="https://www.soumu.go.jp/main_content/000290731.pdf" TargetMode="External"/><Relationship Id="rId45" Type="http://schemas.openxmlformats.org/officeDocument/2006/relationships/hyperlink" Target="https://www.soumu.go.jp/toukei_toukatsu/index/seido/sangyo/02toukatsu01_03000023.html" TargetMode="External"/><Relationship Id="rId80" Type="http://schemas.openxmlformats.org/officeDocument/2006/relationships/drawing" Target="../drawings/drawing11.xml"/><Relationship Id="rId1" Type="http://schemas.openxmlformats.org/officeDocument/2006/relationships/hyperlink" Target="https://www.soumu.go.jp/toukei_toukatsu/index/seido/sangyo/02toukatsu01_03000044.html" TargetMode="External"/><Relationship Id="rId2" Type="http://schemas.openxmlformats.org/officeDocument/2006/relationships/hyperlink" Target="https://www.soumu.go.jp/toukei_toukatsu/index/seido/sangyo/02toukatsu01_03000044.html" TargetMode="External"/><Relationship Id="rId3" Type="http://schemas.openxmlformats.org/officeDocument/2006/relationships/hyperlink" Target="https://www.soumu.go.jp/toukei_toukatsu/index/seido/sangyo/02toukatsu01_03000044.html" TargetMode="External"/><Relationship Id="rId4" Type="http://schemas.openxmlformats.org/officeDocument/2006/relationships/hyperlink" Target="https://www.soumu.go.jp/toukei_toukatsu/index/seido/sangyo/02toukatsu01_03000044.html" TargetMode="External"/><Relationship Id="rId9" Type="http://schemas.openxmlformats.org/officeDocument/2006/relationships/hyperlink" Target="https://www.soumu.go.jp/toukei_toukatsu/index/seido/sangyo/02toukatsu01_03000044.html" TargetMode="External"/><Relationship Id="rId48" Type="http://schemas.openxmlformats.org/officeDocument/2006/relationships/hyperlink" Target="https://www.soumu.go.jp/toukei_toukatsu/index/seido/sangyo/02toukatsu01_03000023.html" TargetMode="External"/><Relationship Id="rId47" Type="http://schemas.openxmlformats.org/officeDocument/2006/relationships/hyperlink" Target="https://www.soumu.go.jp/main_content/000290731.pdf" TargetMode="External"/><Relationship Id="rId49" Type="http://schemas.openxmlformats.org/officeDocument/2006/relationships/hyperlink" Target="https://www.soumu.go.jp/toukei_toukatsu/index/seido/sangyo/02toukatsu01_03000023.html" TargetMode="External"/><Relationship Id="rId5" Type="http://schemas.openxmlformats.org/officeDocument/2006/relationships/hyperlink" Target="https://www.soumu.go.jp/toukei_toukatsu/index/seido/sangyo/02toukatsu01_03000044.html" TargetMode="External"/><Relationship Id="rId6" Type="http://schemas.openxmlformats.org/officeDocument/2006/relationships/hyperlink" Target="https://www.soumu.go.jp/toukei_toukatsu/index/seido/sangyo/02toukatsu01_03000044.html" TargetMode="External"/><Relationship Id="rId7" Type="http://schemas.openxmlformats.org/officeDocument/2006/relationships/hyperlink" Target="https://www.soumu.go.jp/toukei_toukatsu/index/seido/sangyo/02toukatsu01_03000044.html" TargetMode="External"/><Relationship Id="rId8" Type="http://schemas.openxmlformats.org/officeDocument/2006/relationships/hyperlink" Target="https://www.soumu.go.jp/toukei_toukatsu/index/seido/sangyo/02toukatsu01_03000044.html" TargetMode="External"/><Relationship Id="rId73" Type="http://schemas.openxmlformats.org/officeDocument/2006/relationships/hyperlink" Target="https://www.soumu.go.jp/main_content/000290738.pdf" TargetMode="External"/><Relationship Id="rId72" Type="http://schemas.openxmlformats.org/officeDocument/2006/relationships/hyperlink" Target="https://www.soumu.go.jp/main_content/000290738.pdf" TargetMode="External"/><Relationship Id="rId31" Type="http://schemas.openxmlformats.org/officeDocument/2006/relationships/hyperlink" Target="https://www.soumu.go.jp/main_content/000290727.pdf" TargetMode="External"/><Relationship Id="rId75" Type="http://schemas.openxmlformats.org/officeDocument/2006/relationships/hyperlink" Target="https://www.soumu.go.jp/menu_kyotsuu/policy/policy.html" TargetMode="External"/><Relationship Id="rId30" Type="http://schemas.openxmlformats.org/officeDocument/2006/relationships/hyperlink" Target="https://www.soumu.go.jp/main_content/000290727.pdf" TargetMode="External"/><Relationship Id="rId74" Type="http://schemas.openxmlformats.org/officeDocument/2006/relationships/hyperlink" Target="https://www.soumu.go.jp/menu_kyotsuu/policy/policy.html" TargetMode="External"/><Relationship Id="rId33" Type="http://schemas.openxmlformats.org/officeDocument/2006/relationships/hyperlink" Target="https://www.soumu.go.jp/toukei_toukatsu/index/seido/sangyo/02toukatsu01_03000023.html" TargetMode="External"/><Relationship Id="rId77" Type="http://schemas.openxmlformats.org/officeDocument/2006/relationships/hyperlink" Target="https://www.soumu.go.jp/menu_kyotsuu/policy/tyosaku.html" TargetMode="External"/><Relationship Id="rId32" Type="http://schemas.openxmlformats.org/officeDocument/2006/relationships/hyperlink" Target="https://www.soumu.go.jp/toukei_toukatsu/index/seido/sangyo/02toukatsu01_03000023.html" TargetMode="External"/><Relationship Id="rId76" Type="http://schemas.openxmlformats.org/officeDocument/2006/relationships/hyperlink" Target="https://www.soumu.go.jp/menu_kyotsuu/policy/tyosaku.html" TargetMode="External"/><Relationship Id="rId35" Type="http://schemas.openxmlformats.org/officeDocument/2006/relationships/hyperlink" Target="https://www.soumu.go.jp/main_content/000290728.pdf" TargetMode="External"/><Relationship Id="rId79" Type="http://schemas.openxmlformats.org/officeDocument/2006/relationships/hyperlink" Target="https://www.soumu.go.jp/menu_sosiki/annai/map-1.html" TargetMode="External"/><Relationship Id="rId34" Type="http://schemas.openxmlformats.org/officeDocument/2006/relationships/hyperlink" Target="https://www.soumu.go.jp/main_content/000290728.pdf" TargetMode="External"/><Relationship Id="rId78" Type="http://schemas.openxmlformats.org/officeDocument/2006/relationships/hyperlink" Target="https://www.soumu.go.jp/menu_sosiki/annai/map-1.html" TargetMode="External"/><Relationship Id="rId71" Type="http://schemas.openxmlformats.org/officeDocument/2006/relationships/hyperlink" Target="https://www.soumu.go.jp/main_content/000290737.pdf" TargetMode="External"/><Relationship Id="rId70" Type="http://schemas.openxmlformats.org/officeDocument/2006/relationships/hyperlink" Target="https://www.soumu.go.jp/main_content/000290737.pdf" TargetMode="External"/><Relationship Id="rId37" Type="http://schemas.openxmlformats.org/officeDocument/2006/relationships/hyperlink" Target="https://www.soumu.go.jp/toukei_toukatsu/index/seido/sangyo/02toukatsu01_03000023.html" TargetMode="External"/><Relationship Id="rId36" Type="http://schemas.openxmlformats.org/officeDocument/2006/relationships/hyperlink" Target="https://www.soumu.go.jp/toukei_toukatsu/index/seido/sangyo/02toukatsu01_03000023.html" TargetMode="External"/><Relationship Id="rId39" Type="http://schemas.openxmlformats.org/officeDocument/2006/relationships/hyperlink" Target="https://www.soumu.go.jp/main_content/000290729.pdf" TargetMode="External"/><Relationship Id="rId38" Type="http://schemas.openxmlformats.org/officeDocument/2006/relationships/hyperlink" Target="https://www.soumu.go.jp/main_content/000290729.pdf" TargetMode="External"/><Relationship Id="rId62" Type="http://schemas.openxmlformats.org/officeDocument/2006/relationships/hyperlink" Target="https://www.soumu.go.jp/main_content/000290735.pdf" TargetMode="External"/><Relationship Id="rId61" Type="http://schemas.openxmlformats.org/officeDocument/2006/relationships/hyperlink" Target="https://www.soumu.go.jp/toukei_toukatsu/index/seido/sangyo/02toukatsu01_03000023.html" TargetMode="External"/><Relationship Id="rId20" Type="http://schemas.openxmlformats.org/officeDocument/2006/relationships/hyperlink" Target="https://www.soumu.go.jp/toukei_toukatsu/index/seido/sangyo/02toukatsu01_03000023.html" TargetMode="External"/><Relationship Id="rId64" Type="http://schemas.openxmlformats.org/officeDocument/2006/relationships/hyperlink" Target="https://www.soumu.go.jp/toukei_toukatsu/index/seido/sangyo/02toukatsu01_03000023.html" TargetMode="External"/><Relationship Id="rId63" Type="http://schemas.openxmlformats.org/officeDocument/2006/relationships/hyperlink" Target="https://www.soumu.go.jp/main_content/000290735.pdf" TargetMode="External"/><Relationship Id="rId22" Type="http://schemas.openxmlformats.org/officeDocument/2006/relationships/hyperlink" Target="https://www.soumu.go.jp/main_content/000290725.pdf" TargetMode="External"/><Relationship Id="rId66" Type="http://schemas.openxmlformats.org/officeDocument/2006/relationships/hyperlink" Target="https://www.soumu.go.jp/main_content/000290736.pdf" TargetMode="External"/><Relationship Id="rId21" Type="http://schemas.openxmlformats.org/officeDocument/2006/relationships/hyperlink" Target="https://www.soumu.go.jp/toukei_toukatsu/index/seido/sangyo/02toukatsu01_03000023.html" TargetMode="External"/><Relationship Id="rId65" Type="http://schemas.openxmlformats.org/officeDocument/2006/relationships/hyperlink" Target="https://www.soumu.go.jp/toukei_toukatsu/index/seido/sangyo/02toukatsu01_03000023.html" TargetMode="External"/><Relationship Id="rId24" Type="http://schemas.openxmlformats.org/officeDocument/2006/relationships/hyperlink" Target="https://www.soumu.go.jp/toukei_toukatsu/index/seido/sangyo/02toukatsu01_03000023.html" TargetMode="External"/><Relationship Id="rId68" Type="http://schemas.openxmlformats.org/officeDocument/2006/relationships/hyperlink" Target="https://www.soumu.go.jp/toukei_toukatsu/index/seido/sangyo/02toukatsu01_03000023.html" TargetMode="External"/><Relationship Id="rId23" Type="http://schemas.openxmlformats.org/officeDocument/2006/relationships/hyperlink" Target="https://www.soumu.go.jp/main_content/000290725.pdf" TargetMode="External"/><Relationship Id="rId67" Type="http://schemas.openxmlformats.org/officeDocument/2006/relationships/hyperlink" Target="https://www.soumu.go.jp/main_content/000290736.pdf" TargetMode="External"/><Relationship Id="rId60" Type="http://schemas.openxmlformats.org/officeDocument/2006/relationships/hyperlink" Target="https://www.soumu.go.jp/toukei_toukatsu/index/seido/sangyo/02toukatsu01_03000023.html" TargetMode="External"/><Relationship Id="rId26" Type="http://schemas.openxmlformats.org/officeDocument/2006/relationships/hyperlink" Target="https://www.soumu.go.jp/main_content/000290726.pdf" TargetMode="External"/><Relationship Id="rId25" Type="http://schemas.openxmlformats.org/officeDocument/2006/relationships/hyperlink" Target="https://www.soumu.go.jp/toukei_toukatsu/index/seido/sangyo/02toukatsu01_03000023.html" TargetMode="External"/><Relationship Id="rId69" Type="http://schemas.openxmlformats.org/officeDocument/2006/relationships/hyperlink" Target="https://www.soumu.go.jp/toukei_toukatsu/index/seido/sangyo/02toukatsu01_03000023.html" TargetMode="External"/><Relationship Id="rId28" Type="http://schemas.openxmlformats.org/officeDocument/2006/relationships/hyperlink" Target="https://www.soumu.go.jp/toukei_toukatsu/index/seido/sangyo/02toukatsu01_03000023.html" TargetMode="External"/><Relationship Id="rId27" Type="http://schemas.openxmlformats.org/officeDocument/2006/relationships/hyperlink" Target="https://www.soumu.go.jp/main_content/000290726.pdf" TargetMode="External"/><Relationship Id="rId29" Type="http://schemas.openxmlformats.org/officeDocument/2006/relationships/hyperlink" Target="https://www.soumu.go.jp/toukei_toukatsu/index/seido/sangyo/02toukatsu01_03000023.html" TargetMode="External"/><Relationship Id="rId51" Type="http://schemas.openxmlformats.org/officeDocument/2006/relationships/hyperlink" Target="https://www.soumu.go.jp/main_content/000290732.pdf" TargetMode="External"/><Relationship Id="rId50" Type="http://schemas.openxmlformats.org/officeDocument/2006/relationships/hyperlink" Target="https://www.soumu.go.jp/main_content/000290732.pdf" TargetMode="External"/><Relationship Id="rId53" Type="http://schemas.openxmlformats.org/officeDocument/2006/relationships/hyperlink" Target="https://www.soumu.go.jp/toukei_toukatsu/index/seido/sangyo/02toukatsu01_03000023.html" TargetMode="External"/><Relationship Id="rId52" Type="http://schemas.openxmlformats.org/officeDocument/2006/relationships/hyperlink" Target="https://www.soumu.go.jp/toukei_toukatsu/index/seido/sangyo/02toukatsu01_03000023.html" TargetMode="External"/><Relationship Id="rId11" Type="http://schemas.openxmlformats.org/officeDocument/2006/relationships/hyperlink" Target="https://www.soumu.go.jp/toukei_toukatsu/index/seido/sangyo/02toukatsu01_03000044.html" TargetMode="External"/><Relationship Id="rId55" Type="http://schemas.openxmlformats.org/officeDocument/2006/relationships/hyperlink" Target="https://www.soumu.go.jp/main_content/000290733.pdf" TargetMode="External"/><Relationship Id="rId10" Type="http://schemas.openxmlformats.org/officeDocument/2006/relationships/hyperlink" Target="https://www.soumu.go.jp/toukei_toukatsu/index/seido/sangyo/02toukatsu01_03000044.html" TargetMode="External"/><Relationship Id="rId54" Type="http://schemas.openxmlformats.org/officeDocument/2006/relationships/hyperlink" Target="https://www.soumu.go.jp/main_content/000290733.pdf" TargetMode="External"/><Relationship Id="rId13" Type="http://schemas.openxmlformats.org/officeDocument/2006/relationships/hyperlink" Target="https://www.soumu.go.jp/toukei_toukatsu/index/seido/sangyo/02toukatsu01_03000044.html" TargetMode="External"/><Relationship Id="rId57" Type="http://schemas.openxmlformats.org/officeDocument/2006/relationships/hyperlink" Target="https://www.soumu.go.jp/toukei_toukatsu/index/seido/sangyo/02toukatsu01_03000023.html" TargetMode="External"/><Relationship Id="rId12" Type="http://schemas.openxmlformats.org/officeDocument/2006/relationships/hyperlink" Target="https://www.soumu.go.jp/toukei_toukatsu/index/seido/sangyo/02toukatsu01_03000044.html" TargetMode="External"/><Relationship Id="rId56" Type="http://schemas.openxmlformats.org/officeDocument/2006/relationships/hyperlink" Target="https://www.soumu.go.jp/toukei_toukatsu/index/seido/sangyo/02toukatsu01_03000023.html" TargetMode="External"/><Relationship Id="rId15" Type="http://schemas.openxmlformats.org/officeDocument/2006/relationships/hyperlink" Target="https://www.soumu.go.jp/toukei_toukatsu/index/seido/sangyo/02toukatsu01_03000044.html" TargetMode="External"/><Relationship Id="rId59" Type="http://schemas.openxmlformats.org/officeDocument/2006/relationships/hyperlink" Target="https://www.soumu.go.jp/main_content/000290734.pdf" TargetMode="External"/><Relationship Id="rId14" Type="http://schemas.openxmlformats.org/officeDocument/2006/relationships/hyperlink" Target="https://www.soumu.go.jp/toukei_toukatsu/index/seido/sangyo/02toukatsu01_03000044.html" TargetMode="External"/><Relationship Id="rId58" Type="http://schemas.openxmlformats.org/officeDocument/2006/relationships/hyperlink" Target="https://www.soumu.go.jp/main_content/000290734.pdf" TargetMode="External"/><Relationship Id="rId17" Type="http://schemas.openxmlformats.org/officeDocument/2006/relationships/hyperlink" Target="https://www.soumu.go.jp/toukei_toukatsu/index/seido/sangyo/02toukatsu01_03000044.html" TargetMode="External"/><Relationship Id="rId16" Type="http://schemas.openxmlformats.org/officeDocument/2006/relationships/hyperlink" Target="https://www.soumu.go.jp/toukei_toukatsu/index/seido/sangyo/02toukatsu01_03000044.html" TargetMode="External"/><Relationship Id="rId19" Type="http://schemas.openxmlformats.org/officeDocument/2006/relationships/hyperlink" Target="https://www.soumu.go.jp/toukei_toukatsu/index/seido/sangyo/02toukatsu01_03000044.html" TargetMode="External"/><Relationship Id="rId18" Type="http://schemas.openxmlformats.org/officeDocument/2006/relationships/hyperlink" Target="https://www.soumu.go.jp/toukei_toukatsu/index/seido/sangyo/02toukatsu01_03000044.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54.38"/>
    <col customWidth="1" min="3" max="3" width="78.25"/>
    <col customWidth="1" min="4" max="4" width="81.63"/>
    <col customWidth="1" min="5" max="5" width="41.88"/>
  </cols>
  <sheetData>
    <row r="1">
      <c r="A1" s="2" t="s">
        <v>2</v>
      </c>
      <c r="B1" s="5" t="s">
        <v>3</v>
      </c>
      <c r="C1" s="7" t="s">
        <v>5</v>
      </c>
      <c r="D1" s="7" t="s">
        <v>11</v>
      </c>
      <c r="E1" s="9" t="s">
        <v>13</v>
      </c>
    </row>
    <row r="2">
      <c r="A2" s="12" t="s">
        <v>17</v>
      </c>
      <c r="B2" s="15" t="s">
        <v>21</v>
      </c>
      <c r="C2" s="15" t="s">
        <v>22</v>
      </c>
      <c r="D2" s="16" t="s">
        <v>23</v>
      </c>
      <c r="E2" s="17"/>
    </row>
    <row r="3">
      <c r="A3" s="31" t="s">
        <v>25</v>
      </c>
      <c r="B3" s="34" t="s">
        <v>38</v>
      </c>
      <c r="C3" s="35" t="s">
        <v>44</v>
      </c>
      <c r="D3" s="36" t="s">
        <v>47</v>
      </c>
      <c r="E3" s="38"/>
    </row>
    <row r="4">
      <c r="A4" s="39"/>
      <c r="B4" s="40"/>
      <c r="C4" s="42" t="s">
        <v>56</v>
      </c>
      <c r="D4" s="44" t="s">
        <v>61</v>
      </c>
      <c r="E4" s="46"/>
    </row>
    <row r="5">
      <c r="A5" s="39"/>
      <c r="B5" s="40"/>
      <c r="C5" s="35" t="s">
        <v>70</v>
      </c>
      <c r="D5" s="36" t="s">
        <v>71</v>
      </c>
      <c r="E5" s="38"/>
    </row>
    <row r="6">
      <c r="A6" s="39"/>
      <c r="B6" s="40"/>
      <c r="C6" s="42" t="s">
        <v>72</v>
      </c>
      <c r="D6" s="44" t="s">
        <v>73</v>
      </c>
      <c r="E6" s="46"/>
    </row>
    <row r="7">
      <c r="A7" s="39"/>
      <c r="B7" s="40"/>
      <c r="C7" s="35" t="s">
        <v>75</v>
      </c>
      <c r="D7" s="36" t="s">
        <v>76</v>
      </c>
      <c r="E7" s="38"/>
    </row>
    <row r="8">
      <c r="A8" s="39"/>
      <c r="B8" s="40"/>
      <c r="C8" s="42" t="s">
        <v>79</v>
      </c>
      <c r="D8" s="55"/>
      <c r="E8" s="38"/>
    </row>
    <row r="9">
      <c r="A9" s="39"/>
      <c r="B9" s="57"/>
      <c r="C9" s="58" t="s">
        <v>90</v>
      </c>
      <c r="D9" s="59" t="s">
        <v>92</v>
      </c>
      <c r="E9" s="38"/>
    </row>
    <row r="10">
      <c r="A10" s="39"/>
      <c r="B10" s="60" t="s">
        <v>95</v>
      </c>
      <c r="C10" s="61" t="s">
        <v>100</v>
      </c>
      <c r="D10" s="63" t="s">
        <v>107</v>
      </c>
      <c r="E10" s="46"/>
    </row>
    <row r="11">
      <c r="A11" s="39"/>
      <c r="B11" s="40"/>
      <c r="C11" s="35" t="s">
        <v>110</v>
      </c>
      <c r="D11" s="36" t="s">
        <v>112</v>
      </c>
      <c r="E11" s="38"/>
    </row>
    <row r="12">
      <c r="A12" s="39"/>
      <c r="B12" s="40"/>
      <c r="C12" s="42" t="s">
        <v>117</v>
      </c>
      <c r="D12" s="36"/>
      <c r="E12" s="38"/>
    </row>
    <row r="13">
      <c r="A13" s="39"/>
      <c r="B13" s="57"/>
      <c r="C13" s="35" t="s">
        <v>122</v>
      </c>
      <c r="D13" s="36" t="s">
        <v>123</v>
      </c>
      <c r="E13" s="38"/>
    </row>
    <row r="14">
      <c r="A14" s="39"/>
      <c r="B14" s="34" t="s">
        <v>124</v>
      </c>
      <c r="C14" s="35" t="s">
        <v>128</v>
      </c>
      <c r="D14" s="36" t="s">
        <v>131</v>
      </c>
      <c r="E14" s="38"/>
    </row>
    <row r="15">
      <c r="A15" s="39"/>
      <c r="B15" s="40"/>
      <c r="C15" s="42" t="s">
        <v>133</v>
      </c>
      <c r="D15" s="44" t="s">
        <v>134</v>
      </c>
      <c r="E15" s="38"/>
    </row>
    <row r="16">
      <c r="A16" s="39"/>
      <c r="B16" s="57"/>
      <c r="C16" s="67" t="s">
        <v>137</v>
      </c>
      <c r="D16" s="69" t="s">
        <v>138</v>
      </c>
      <c r="E16" s="38"/>
    </row>
    <row r="17">
      <c r="A17" s="39"/>
      <c r="B17" s="34" t="s">
        <v>142</v>
      </c>
      <c r="C17" s="70" t="s">
        <v>143</v>
      </c>
      <c r="D17" s="72" t="s">
        <v>146</v>
      </c>
      <c r="E17" s="38"/>
    </row>
    <row r="18">
      <c r="A18" s="47"/>
      <c r="B18" s="73"/>
      <c r="C18" s="75" t="s">
        <v>156</v>
      </c>
      <c r="D18" s="76" t="s">
        <v>158</v>
      </c>
      <c r="E18" s="17"/>
    </row>
    <row r="19">
      <c r="A19" s="12" t="s">
        <v>165</v>
      </c>
      <c r="B19" s="15" t="s">
        <v>166</v>
      </c>
      <c r="C19" s="79" t="s">
        <v>167</v>
      </c>
      <c r="D19" s="80" t="s">
        <v>172</v>
      </c>
      <c r="E19" s="17"/>
    </row>
    <row r="20">
      <c r="A20" s="31" t="s">
        <v>178</v>
      </c>
      <c r="B20" s="82" t="s">
        <v>184</v>
      </c>
      <c r="C20" s="82" t="s">
        <v>189</v>
      </c>
      <c r="D20" s="69" t="s">
        <v>190</v>
      </c>
      <c r="E20" s="84"/>
    </row>
    <row r="21">
      <c r="A21" s="39"/>
      <c r="B21" s="82" t="s">
        <v>192</v>
      </c>
      <c r="C21" s="85"/>
      <c r="D21" s="69" t="s">
        <v>198</v>
      </c>
      <c r="E21" s="84"/>
    </row>
    <row r="22">
      <c r="A22" s="39"/>
      <c r="B22" s="82" t="s">
        <v>200</v>
      </c>
      <c r="C22" s="82" t="s">
        <v>201</v>
      </c>
      <c r="D22" s="69" t="s">
        <v>203</v>
      </c>
      <c r="E22" s="69" t="s">
        <v>205</v>
      </c>
    </row>
    <row r="23">
      <c r="A23" s="39"/>
      <c r="B23" s="29" t="s">
        <v>207</v>
      </c>
      <c r="C23" s="85"/>
      <c r="D23" s="69" t="s">
        <v>208</v>
      </c>
      <c r="E23" s="84"/>
    </row>
    <row r="24" ht="47.25" customHeight="1">
      <c r="A24" s="47"/>
      <c r="B24" s="87" t="s">
        <v>211</v>
      </c>
      <c r="C24" s="88"/>
      <c r="D24" s="80" t="s">
        <v>213</v>
      </c>
      <c r="E24" s="16"/>
    </row>
    <row r="25">
      <c r="A25" s="31" t="s">
        <v>214</v>
      </c>
      <c r="B25" s="35" t="s">
        <v>220</v>
      </c>
      <c r="C25" s="35" t="s">
        <v>222</v>
      </c>
      <c r="D25" s="36" t="s">
        <v>224</v>
      </c>
      <c r="E25" s="38"/>
    </row>
    <row r="26">
      <c r="A26" s="39"/>
      <c r="B26" s="35" t="s">
        <v>226</v>
      </c>
      <c r="C26" s="35" t="s">
        <v>227</v>
      </c>
      <c r="D26" s="36" t="s">
        <v>228</v>
      </c>
      <c r="E26" s="38"/>
    </row>
    <row r="27">
      <c r="A27" s="47"/>
      <c r="B27" s="15" t="s">
        <v>230</v>
      </c>
      <c r="C27" s="15" t="s">
        <v>232</v>
      </c>
      <c r="D27" s="16" t="s">
        <v>234</v>
      </c>
      <c r="E27" s="17"/>
    </row>
    <row r="28">
      <c r="A28" s="31" t="s">
        <v>236</v>
      </c>
      <c r="B28" s="35" t="s">
        <v>256</v>
      </c>
      <c r="C28" s="35" t="s">
        <v>258</v>
      </c>
      <c r="D28" s="36" t="s">
        <v>259</v>
      </c>
      <c r="E28" s="38"/>
    </row>
    <row r="29">
      <c r="A29" s="39"/>
      <c r="B29" s="35" t="s">
        <v>261</v>
      </c>
      <c r="C29" s="35" t="s">
        <v>262</v>
      </c>
      <c r="D29" s="36" t="s">
        <v>263</v>
      </c>
      <c r="E29" s="38"/>
    </row>
    <row r="30">
      <c r="A30" s="39"/>
      <c r="B30" s="35" t="s">
        <v>265</v>
      </c>
      <c r="C30" s="35" t="s">
        <v>266</v>
      </c>
      <c r="D30" s="36" t="s">
        <v>269</v>
      </c>
      <c r="E30" s="38"/>
    </row>
    <row r="31">
      <c r="A31" s="39"/>
      <c r="B31" s="35" t="s">
        <v>270</v>
      </c>
      <c r="C31" s="35" t="s">
        <v>272</v>
      </c>
      <c r="D31" s="36" t="s">
        <v>273</v>
      </c>
      <c r="E31" s="38"/>
    </row>
    <row r="32">
      <c r="A32" s="39"/>
      <c r="B32" s="35" t="s">
        <v>275</v>
      </c>
      <c r="C32" s="35" t="s">
        <v>277</v>
      </c>
      <c r="D32" s="36" t="s">
        <v>278</v>
      </c>
      <c r="E32" s="38"/>
    </row>
    <row r="33">
      <c r="A33" s="47"/>
      <c r="B33" s="15" t="s">
        <v>63</v>
      </c>
      <c r="C33" s="79" t="s">
        <v>280</v>
      </c>
      <c r="D33" s="80" t="s">
        <v>282</v>
      </c>
      <c r="E33" s="98"/>
    </row>
    <row r="34">
      <c r="A34" s="100" t="s">
        <v>284</v>
      </c>
      <c r="B34" s="79" t="s">
        <v>296</v>
      </c>
      <c r="C34" s="79" t="s">
        <v>297</v>
      </c>
      <c r="D34" s="80" t="s">
        <v>298</v>
      </c>
      <c r="E34" s="98"/>
    </row>
    <row r="35">
      <c r="A35" s="31" t="s">
        <v>300</v>
      </c>
      <c r="B35" s="35" t="s">
        <v>308</v>
      </c>
      <c r="C35" s="35" t="s">
        <v>309</v>
      </c>
      <c r="D35" s="36" t="s">
        <v>310</v>
      </c>
      <c r="E35" s="38"/>
    </row>
    <row r="36">
      <c r="A36" s="39"/>
      <c r="B36" s="15" t="s">
        <v>313</v>
      </c>
      <c r="C36" s="15" t="s">
        <v>315</v>
      </c>
      <c r="D36" s="16" t="s">
        <v>310</v>
      </c>
      <c r="E36" s="17"/>
    </row>
    <row r="37">
      <c r="A37" s="47"/>
      <c r="B37" s="15" t="s">
        <v>317</v>
      </c>
      <c r="C37" s="103" t="s">
        <v>319</v>
      </c>
      <c r="D37" s="16" t="s">
        <v>322</v>
      </c>
      <c r="E37" s="17"/>
    </row>
    <row r="38">
      <c r="A38" s="12" t="s">
        <v>323</v>
      </c>
      <c r="B38" s="15" t="s">
        <v>331</v>
      </c>
      <c r="C38" s="15" t="s">
        <v>332</v>
      </c>
      <c r="D38" s="16" t="s">
        <v>333</v>
      </c>
      <c r="E38" s="17"/>
    </row>
    <row r="39">
      <c r="A39" s="31" t="s">
        <v>335</v>
      </c>
      <c r="B39" s="106" t="s">
        <v>337</v>
      </c>
      <c r="C39" s="108" t="s">
        <v>343</v>
      </c>
      <c r="D39" s="16" t="s">
        <v>344</v>
      </c>
      <c r="E39" s="17"/>
    </row>
    <row r="40">
      <c r="A40" s="39"/>
      <c r="B40" s="35" t="s">
        <v>347</v>
      </c>
      <c r="C40" s="35" t="s">
        <v>349</v>
      </c>
      <c r="D40" s="36"/>
      <c r="E40" s="38"/>
    </row>
    <row r="41">
      <c r="A41" s="39"/>
      <c r="B41" s="15" t="s">
        <v>351</v>
      </c>
      <c r="C41" s="15" t="s">
        <v>349</v>
      </c>
      <c r="D41" s="16" t="s">
        <v>353</v>
      </c>
      <c r="E41" s="17"/>
    </row>
    <row r="42">
      <c r="A42" s="39"/>
      <c r="B42" s="35" t="s">
        <v>354</v>
      </c>
      <c r="C42" s="35" t="s">
        <v>355</v>
      </c>
      <c r="D42" s="36"/>
      <c r="E42" s="38"/>
    </row>
    <row r="43">
      <c r="A43" s="39"/>
      <c r="B43" s="35" t="s">
        <v>356</v>
      </c>
      <c r="C43" s="35" t="s">
        <v>357</v>
      </c>
      <c r="D43" s="36"/>
      <c r="E43" s="38"/>
    </row>
    <row r="44">
      <c r="A44" s="39"/>
      <c r="B44" s="35" t="s">
        <v>358</v>
      </c>
      <c r="C44" s="35" t="s">
        <v>357</v>
      </c>
      <c r="D44" s="36"/>
      <c r="E44" s="38"/>
    </row>
    <row r="45">
      <c r="A45" s="39"/>
      <c r="B45" s="112" t="s">
        <v>360</v>
      </c>
      <c r="C45" s="35" t="s">
        <v>357</v>
      </c>
      <c r="D45" s="36"/>
      <c r="E45" s="38"/>
    </row>
    <row r="46">
      <c r="A46" s="39"/>
      <c r="B46" s="42" t="s">
        <v>363</v>
      </c>
      <c r="C46" s="42" t="s">
        <v>357</v>
      </c>
      <c r="D46" s="44"/>
      <c r="E46" s="46"/>
    </row>
    <row r="47">
      <c r="A47" s="39"/>
      <c r="B47" s="42" t="s">
        <v>364</v>
      </c>
      <c r="C47" s="42" t="s">
        <v>365</v>
      </c>
      <c r="D47" s="44"/>
      <c r="E47" s="46"/>
    </row>
    <row r="48">
      <c r="A48" s="39"/>
      <c r="B48" s="15" t="s">
        <v>366</v>
      </c>
      <c r="C48" s="79" t="s">
        <v>368</v>
      </c>
      <c r="D48" s="80" t="s">
        <v>369</v>
      </c>
      <c r="E48" s="98"/>
    </row>
    <row r="49">
      <c r="A49" s="39"/>
      <c r="B49" s="79" t="s">
        <v>370</v>
      </c>
      <c r="C49" s="79" t="s">
        <v>371</v>
      </c>
      <c r="D49" s="80"/>
      <c r="E49" s="98"/>
    </row>
    <row r="50">
      <c r="A50" s="39"/>
      <c r="B50" s="79" t="s">
        <v>372</v>
      </c>
      <c r="C50" s="79" t="s">
        <v>373</v>
      </c>
      <c r="D50" s="80" t="s">
        <v>374</v>
      </c>
      <c r="E50" s="98"/>
    </row>
    <row r="51">
      <c r="A51" s="39"/>
      <c r="B51" s="79" t="s">
        <v>375</v>
      </c>
      <c r="C51" s="79" t="s">
        <v>376</v>
      </c>
      <c r="D51" s="80" t="s">
        <v>377</v>
      </c>
      <c r="E51" s="98"/>
    </row>
    <row r="52">
      <c r="A52" s="39"/>
      <c r="B52" s="79" t="s">
        <v>380</v>
      </c>
      <c r="C52" s="79" t="s">
        <v>381</v>
      </c>
      <c r="D52" s="16"/>
      <c r="E52" s="17"/>
    </row>
    <row r="53">
      <c r="A53" s="47"/>
      <c r="B53" s="15" t="s">
        <v>382</v>
      </c>
      <c r="C53" s="15" t="s">
        <v>383</v>
      </c>
      <c r="D53" s="16"/>
      <c r="E53" s="17"/>
    </row>
    <row r="54">
      <c r="A54" s="117"/>
      <c r="B54" s="118"/>
      <c r="C54" s="119"/>
      <c r="D54" s="119"/>
      <c r="E54" s="119"/>
    </row>
    <row r="55">
      <c r="A55" s="117"/>
      <c r="B55" s="118"/>
      <c r="C55" s="119"/>
      <c r="D55" s="119"/>
      <c r="E55" s="119"/>
    </row>
    <row r="56">
      <c r="A56" s="117"/>
      <c r="B56" s="118"/>
      <c r="C56" s="119"/>
      <c r="D56" s="119"/>
      <c r="E56" s="119"/>
    </row>
  </sheetData>
  <mergeCells count="10">
    <mergeCell ref="A28:A33"/>
    <mergeCell ref="A35:A37"/>
    <mergeCell ref="A39:A53"/>
    <mergeCell ref="A3:A18"/>
    <mergeCell ref="B3:B9"/>
    <mergeCell ref="B10:B13"/>
    <mergeCell ref="B14:B16"/>
    <mergeCell ref="B17:B18"/>
    <mergeCell ref="A20:A24"/>
    <mergeCell ref="A25:A27"/>
  </mergeCells>
  <hyperlinks>
    <hyperlink r:id="rId1" ref="A2"/>
    <hyperlink r:id="rId2" ref="A3"/>
    <hyperlink r:id="rId3" ref="A19"/>
    <hyperlink r:id="rId4" ref="A20"/>
    <hyperlink r:id="rId5" ref="A25"/>
    <hyperlink r:id="rId6" ref="A28"/>
    <hyperlink r:id="rId7" ref="A34"/>
    <hyperlink r:id="rId8" ref="A35"/>
    <hyperlink r:id="rId9" ref="A38"/>
    <hyperlink r:id="rId10" ref="B39"/>
  </hyperlinks>
  <printOptions gridLines="1" horizontalCentered="1"/>
  <pageMargins bottom="0.75" footer="0.0" header="0.0" left="0.25" right="0.25" top="0.75"/>
  <pageSetup paperSize="9" cellComments="atEnd" orientation="portrait" pageOrder="overThenDown"/>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5.75"/>
    <col customWidth="1" min="3" max="3" width="14.63"/>
    <col customWidth="1" min="4" max="4" width="32.38"/>
    <col customWidth="1" min="5" max="5" width="24.75"/>
    <col customWidth="1" min="6" max="6" width="78.63"/>
    <col customWidth="1" min="7" max="7" width="14.13"/>
  </cols>
  <sheetData>
    <row r="1">
      <c r="A1" s="6" t="s">
        <v>1</v>
      </c>
      <c r="B1" s="6" t="s">
        <v>10</v>
      </c>
      <c r="C1" s="6" t="s">
        <v>12</v>
      </c>
      <c r="D1" s="6" t="s">
        <v>14</v>
      </c>
      <c r="E1" s="6" t="s">
        <v>15</v>
      </c>
      <c r="F1" s="11" t="s">
        <v>16</v>
      </c>
      <c r="G1" s="6" t="s">
        <v>19</v>
      </c>
      <c r="H1" s="13"/>
      <c r="I1" s="14"/>
      <c r="J1" s="14"/>
      <c r="K1" s="14"/>
      <c r="L1" s="14"/>
      <c r="M1" s="14"/>
      <c r="N1" s="14"/>
      <c r="O1" s="14"/>
      <c r="P1" s="14"/>
      <c r="Q1" s="14"/>
      <c r="R1" s="14"/>
      <c r="S1" s="14"/>
      <c r="T1" s="14"/>
      <c r="U1" s="14"/>
      <c r="V1" s="14"/>
      <c r="W1" s="14"/>
      <c r="X1" s="14"/>
      <c r="Y1" s="14"/>
      <c r="Z1" s="14"/>
      <c r="AA1" s="14"/>
    </row>
    <row r="2">
      <c r="A2" s="19" t="s">
        <v>24</v>
      </c>
      <c r="B2" s="21" t="s">
        <v>26</v>
      </c>
      <c r="C2" s="21" t="s">
        <v>27</v>
      </c>
      <c r="D2" s="21" t="s">
        <v>28</v>
      </c>
      <c r="E2" s="21" t="s">
        <v>29</v>
      </c>
      <c r="F2" s="24"/>
      <c r="G2" s="26"/>
      <c r="H2" s="27"/>
      <c r="I2" s="27"/>
      <c r="J2" s="27"/>
      <c r="K2" s="27"/>
      <c r="L2" s="27"/>
      <c r="M2" s="27"/>
      <c r="N2" s="27"/>
      <c r="O2" s="27"/>
      <c r="P2" s="27"/>
      <c r="Q2" s="27"/>
      <c r="R2" s="27"/>
      <c r="S2" s="27"/>
      <c r="T2" s="27"/>
      <c r="U2" s="27"/>
      <c r="V2" s="27"/>
      <c r="W2" s="27"/>
      <c r="X2" s="27"/>
      <c r="Y2" s="27"/>
      <c r="Z2" s="27"/>
      <c r="AA2" s="28"/>
    </row>
    <row r="3">
      <c r="A3" s="30"/>
      <c r="B3" s="21" t="s">
        <v>35</v>
      </c>
      <c r="F3" s="24"/>
      <c r="G3" s="26"/>
      <c r="H3" s="27"/>
      <c r="I3" s="27"/>
      <c r="J3" s="27"/>
      <c r="K3" s="27"/>
      <c r="L3" s="27"/>
      <c r="M3" s="27"/>
      <c r="N3" s="27"/>
      <c r="O3" s="27"/>
      <c r="P3" s="27"/>
      <c r="Q3" s="27"/>
      <c r="R3" s="27"/>
      <c r="S3" s="27"/>
      <c r="T3" s="27"/>
      <c r="U3" s="27"/>
      <c r="V3" s="27"/>
      <c r="W3" s="27"/>
      <c r="X3" s="27"/>
      <c r="Y3" s="27"/>
      <c r="Z3" s="27"/>
      <c r="AA3" s="28"/>
    </row>
    <row r="4">
      <c r="A4" s="30"/>
      <c r="B4" s="21" t="s">
        <v>40</v>
      </c>
      <c r="F4" s="24"/>
      <c r="G4" s="26"/>
      <c r="H4" s="27"/>
      <c r="I4" s="27"/>
      <c r="J4" s="27"/>
      <c r="K4" s="27"/>
      <c r="L4" s="27"/>
      <c r="M4" s="27"/>
      <c r="N4" s="27"/>
      <c r="O4" s="27"/>
      <c r="P4" s="27"/>
      <c r="Q4" s="27"/>
      <c r="R4" s="27"/>
      <c r="S4" s="27"/>
      <c r="T4" s="27"/>
      <c r="U4" s="27"/>
      <c r="V4" s="27"/>
      <c r="W4" s="27"/>
      <c r="X4" s="27"/>
      <c r="Y4" s="27"/>
      <c r="Z4" s="27"/>
      <c r="AA4" s="28"/>
    </row>
    <row r="5">
      <c r="A5" s="30"/>
      <c r="B5" s="21" t="s">
        <v>48</v>
      </c>
      <c r="F5" s="24"/>
      <c r="G5" s="26"/>
      <c r="H5" s="27"/>
      <c r="I5" s="27"/>
      <c r="J5" s="27"/>
      <c r="K5" s="27"/>
      <c r="L5" s="27"/>
      <c r="M5" s="27"/>
      <c r="N5" s="27"/>
      <c r="O5" s="27"/>
      <c r="P5" s="27"/>
      <c r="Q5" s="27"/>
      <c r="R5" s="27"/>
      <c r="S5" s="27"/>
      <c r="T5" s="27"/>
      <c r="U5" s="27"/>
      <c r="V5" s="27"/>
      <c r="W5" s="27"/>
      <c r="X5" s="27"/>
      <c r="Y5" s="27"/>
      <c r="Z5" s="27"/>
      <c r="AA5" s="28"/>
    </row>
    <row r="6">
      <c r="A6" s="30"/>
      <c r="B6" s="21" t="s">
        <v>52</v>
      </c>
      <c r="F6" s="24"/>
      <c r="G6" s="26"/>
      <c r="H6" s="27"/>
      <c r="I6" s="27"/>
      <c r="J6" s="27"/>
      <c r="K6" s="27"/>
      <c r="L6" s="27"/>
      <c r="M6" s="27"/>
      <c r="N6" s="27"/>
      <c r="O6" s="27"/>
      <c r="P6" s="27"/>
      <c r="Q6" s="27"/>
      <c r="R6" s="27"/>
      <c r="S6" s="27"/>
      <c r="T6" s="27"/>
      <c r="U6" s="27"/>
      <c r="V6" s="27"/>
      <c r="W6" s="27"/>
      <c r="X6" s="27"/>
      <c r="Y6" s="27"/>
      <c r="Z6" s="27"/>
      <c r="AA6" s="28"/>
    </row>
    <row r="7">
      <c r="A7" s="30"/>
      <c r="B7" s="21" t="s">
        <v>58</v>
      </c>
      <c r="F7" s="24"/>
      <c r="G7" s="26"/>
      <c r="H7" s="27"/>
      <c r="I7" s="27"/>
      <c r="J7" s="27"/>
      <c r="K7" s="27"/>
      <c r="L7" s="27"/>
      <c r="M7" s="27"/>
      <c r="N7" s="27"/>
      <c r="O7" s="27"/>
      <c r="P7" s="27"/>
      <c r="Q7" s="27"/>
      <c r="R7" s="27"/>
      <c r="S7" s="27"/>
      <c r="T7" s="27"/>
      <c r="U7" s="27"/>
      <c r="V7" s="27"/>
      <c r="W7" s="27"/>
      <c r="X7" s="27"/>
      <c r="Y7" s="27"/>
      <c r="Z7" s="27"/>
      <c r="AA7" s="28"/>
    </row>
    <row r="8">
      <c r="A8" s="30"/>
      <c r="B8" s="21" t="s">
        <v>66</v>
      </c>
      <c r="F8" s="24"/>
      <c r="G8" s="26"/>
      <c r="H8" s="27"/>
      <c r="I8" s="27"/>
      <c r="J8" s="27"/>
      <c r="K8" s="27"/>
      <c r="L8" s="27"/>
      <c r="M8" s="27"/>
      <c r="N8" s="27"/>
      <c r="O8" s="27"/>
      <c r="P8" s="27"/>
      <c r="Q8" s="27"/>
      <c r="R8" s="27"/>
      <c r="S8" s="27"/>
      <c r="T8" s="27"/>
      <c r="U8" s="27"/>
      <c r="V8" s="27"/>
      <c r="W8" s="27"/>
      <c r="X8" s="27"/>
      <c r="Y8" s="27"/>
      <c r="Z8" s="27"/>
      <c r="AA8" s="28"/>
    </row>
    <row r="9">
      <c r="A9" s="48"/>
      <c r="B9" s="50" t="s">
        <v>63</v>
      </c>
      <c r="C9" s="13"/>
      <c r="D9" s="13"/>
      <c r="E9" s="13"/>
      <c r="F9" s="53"/>
      <c r="G9" s="54"/>
      <c r="H9" s="14"/>
      <c r="I9" s="14"/>
      <c r="J9" s="14"/>
      <c r="K9" s="14"/>
      <c r="L9" s="14"/>
      <c r="M9" s="14"/>
      <c r="N9" s="14"/>
      <c r="O9" s="14"/>
      <c r="P9" s="14"/>
      <c r="Q9" s="14"/>
      <c r="R9" s="14"/>
      <c r="S9" s="14"/>
      <c r="T9" s="14"/>
      <c r="U9" s="14"/>
      <c r="V9" s="14"/>
      <c r="W9" s="14"/>
      <c r="X9" s="14"/>
      <c r="Y9" s="14"/>
      <c r="Z9" s="14"/>
      <c r="AA9" s="56"/>
    </row>
    <row r="10">
      <c r="A10" s="19" t="s">
        <v>88</v>
      </c>
      <c r="B10" s="21" t="s">
        <v>89</v>
      </c>
      <c r="C10" s="21" t="s">
        <v>27</v>
      </c>
      <c r="D10" s="21" t="s">
        <v>91</v>
      </c>
      <c r="E10" s="21" t="s">
        <v>29</v>
      </c>
      <c r="F10" s="24"/>
      <c r="G10" s="26"/>
      <c r="H10" s="27"/>
      <c r="I10" s="27"/>
      <c r="J10" s="27"/>
      <c r="K10" s="27"/>
      <c r="L10" s="27"/>
      <c r="M10" s="27"/>
      <c r="N10" s="27"/>
      <c r="O10" s="27"/>
      <c r="P10" s="27"/>
      <c r="Q10" s="27"/>
      <c r="R10" s="27"/>
      <c r="S10" s="27"/>
      <c r="T10" s="27"/>
      <c r="U10" s="27"/>
      <c r="V10" s="27"/>
      <c r="W10" s="27"/>
      <c r="X10" s="27"/>
      <c r="Y10" s="27"/>
      <c r="Z10" s="27"/>
      <c r="AA10" s="28"/>
    </row>
    <row r="11">
      <c r="A11" s="30"/>
      <c r="B11" s="21" t="s">
        <v>93</v>
      </c>
      <c r="D11" s="21" t="s">
        <v>94</v>
      </c>
      <c r="F11" s="24"/>
      <c r="G11" s="26"/>
      <c r="H11" s="27"/>
      <c r="I11" s="27"/>
      <c r="J11" s="27"/>
      <c r="K11" s="27"/>
      <c r="L11" s="27"/>
      <c r="M11" s="27"/>
      <c r="N11" s="27"/>
      <c r="O11" s="27"/>
      <c r="P11" s="27"/>
      <c r="Q11" s="27"/>
      <c r="R11" s="27"/>
      <c r="S11" s="27"/>
      <c r="T11" s="27"/>
      <c r="U11" s="27"/>
      <c r="V11" s="27"/>
      <c r="W11" s="27"/>
      <c r="X11" s="27"/>
      <c r="Y11" s="27"/>
      <c r="Z11" s="27"/>
      <c r="AA11" s="28"/>
    </row>
    <row r="12">
      <c r="A12" s="30"/>
      <c r="B12" s="21" t="s">
        <v>97</v>
      </c>
      <c r="F12" s="24" t="s">
        <v>101</v>
      </c>
      <c r="G12" s="26"/>
      <c r="H12" s="27"/>
      <c r="I12" s="27"/>
      <c r="J12" s="27"/>
      <c r="K12" s="27"/>
      <c r="L12" s="27"/>
      <c r="M12" s="27"/>
      <c r="N12" s="27"/>
      <c r="O12" s="27"/>
      <c r="P12" s="27"/>
      <c r="Q12" s="27"/>
      <c r="R12" s="27"/>
      <c r="S12" s="27"/>
      <c r="T12" s="27"/>
      <c r="U12" s="27"/>
      <c r="V12" s="27"/>
      <c r="W12" s="27"/>
      <c r="X12" s="27"/>
      <c r="Y12" s="27"/>
      <c r="Z12" s="27"/>
      <c r="AA12" s="28"/>
    </row>
    <row r="13">
      <c r="A13" s="30"/>
      <c r="B13" s="62" t="s">
        <v>105</v>
      </c>
      <c r="F13" s="24"/>
      <c r="G13" s="26"/>
      <c r="H13" s="27"/>
      <c r="I13" s="27"/>
      <c r="J13" s="27"/>
      <c r="K13" s="27"/>
      <c r="L13" s="27"/>
      <c r="M13" s="27"/>
      <c r="N13" s="27"/>
      <c r="O13" s="27"/>
      <c r="P13" s="27"/>
      <c r="Q13" s="27"/>
      <c r="R13" s="27"/>
      <c r="S13" s="27"/>
      <c r="T13" s="27"/>
      <c r="U13" s="27"/>
      <c r="V13" s="27"/>
      <c r="W13" s="27"/>
      <c r="X13" s="27"/>
      <c r="Y13" s="27"/>
      <c r="Z13" s="27"/>
      <c r="AA13" s="28"/>
    </row>
    <row r="14">
      <c r="A14" s="30"/>
      <c r="B14" s="21" t="s">
        <v>120</v>
      </c>
      <c r="D14" s="21" t="s">
        <v>121</v>
      </c>
      <c r="F14" s="24"/>
      <c r="G14" s="26"/>
      <c r="H14" s="27"/>
      <c r="I14" s="27"/>
      <c r="J14" s="27"/>
      <c r="K14" s="27"/>
      <c r="L14" s="27"/>
      <c r="M14" s="27"/>
      <c r="N14" s="27"/>
      <c r="O14" s="27"/>
      <c r="P14" s="27"/>
      <c r="Q14" s="27"/>
      <c r="R14" s="27"/>
      <c r="S14" s="27"/>
      <c r="T14" s="27"/>
      <c r="U14" s="27"/>
      <c r="V14" s="27"/>
      <c r="W14" s="27"/>
      <c r="X14" s="27"/>
      <c r="Y14" s="27"/>
      <c r="Z14" s="27"/>
      <c r="AA14" s="28"/>
    </row>
    <row r="15">
      <c r="A15" s="48"/>
      <c r="B15" s="50" t="s">
        <v>63</v>
      </c>
      <c r="C15" s="13"/>
      <c r="D15" s="13"/>
      <c r="E15" s="13"/>
      <c r="F15" s="53"/>
      <c r="G15" s="54"/>
      <c r="H15" s="14"/>
      <c r="I15" s="14"/>
      <c r="J15" s="14"/>
      <c r="K15" s="14"/>
      <c r="L15" s="14"/>
      <c r="M15" s="14"/>
      <c r="N15" s="14"/>
      <c r="O15" s="14"/>
      <c r="P15" s="14"/>
      <c r="Q15" s="14"/>
      <c r="R15" s="14"/>
      <c r="S15" s="14"/>
      <c r="T15" s="14"/>
      <c r="U15" s="14"/>
      <c r="V15" s="14"/>
      <c r="W15" s="14"/>
      <c r="X15" s="14"/>
      <c r="Y15" s="14"/>
      <c r="Z15" s="14"/>
      <c r="AA15" s="56"/>
    </row>
    <row r="16">
      <c r="A16" s="65" t="s">
        <v>132</v>
      </c>
      <c r="B16" s="62" t="s">
        <v>135</v>
      </c>
      <c r="C16" s="21" t="s">
        <v>27</v>
      </c>
      <c r="D16" s="21" t="s">
        <v>136</v>
      </c>
      <c r="E16" s="21" t="s">
        <v>29</v>
      </c>
      <c r="F16" s="66"/>
      <c r="G16" s="26"/>
      <c r="H16" s="27"/>
      <c r="I16" s="27"/>
      <c r="J16" s="27"/>
      <c r="K16" s="27"/>
      <c r="L16" s="27"/>
      <c r="M16" s="27"/>
      <c r="N16" s="27"/>
      <c r="O16" s="27"/>
      <c r="P16" s="27"/>
      <c r="Q16" s="27"/>
      <c r="R16" s="27"/>
      <c r="S16" s="27"/>
      <c r="T16" s="27"/>
      <c r="U16" s="27"/>
      <c r="V16" s="27"/>
      <c r="W16" s="27"/>
      <c r="X16" s="27"/>
      <c r="Y16" s="27"/>
      <c r="Z16" s="27"/>
      <c r="AA16" s="28"/>
    </row>
    <row r="17">
      <c r="A17" s="30"/>
      <c r="B17" s="62" t="s">
        <v>140</v>
      </c>
      <c r="D17" s="21" t="s">
        <v>141</v>
      </c>
      <c r="F17" s="66"/>
      <c r="G17" s="26"/>
      <c r="H17" s="27"/>
      <c r="I17" s="27"/>
      <c r="J17" s="27"/>
      <c r="K17" s="27"/>
      <c r="L17" s="27"/>
      <c r="M17" s="27"/>
      <c r="N17" s="27"/>
      <c r="O17" s="27"/>
      <c r="P17" s="27"/>
      <c r="Q17" s="27"/>
      <c r="R17" s="27"/>
      <c r="S17" s="27"/>
      <c r="T17" s="27"/>
      <c r="U17" s="27"/>
      <c r="V17" s="27"/>
      <c r="W17" s="27"/>
      <c r="X17" s="27"/>
      <c r="Y17" s="27"/>
      <c r="Z17" s="27"/>
      <c r="AA17" s="28"/>
    </row>
    <row r="18">
      <c r="A18" s="30"/>
      <c r="B18" s="62" t="s">
        <v>144</v>
      </c>
      <c r="D18" s="21" t="s">
        <v>145</v>
      </c>
      <c r="F18" s="66"/>
      <c r="G18" s="26"/>
      <c r="H18" s="27"/>
      <c r="I18" s="27"/>
      <c r="J18" s="27"/>
      <c r="K18" s="27"/>
      <c r="L18" s="27"/>
      <c r="M18" s="27"/>
      <c r="N18" s="27"/>
      <c r="O18" s="27"/>
      <c r="P18" s="27"/>
      <c r="Q18" s="27"/>
      <c r="R18" s="27"/>
      <c r="S18" s="27"/>
      <c r="T18" s="27"/>
      <c r="U18" s="27"/>
      <c r="V18" s="27"/>
      <c r="W18" s="27"/>
      <c r="X18" s="27"/>
      <c r="Y18" s="27"/>
      <c r="Z18" s="27"/>
      <c r="AA18" s="28"/>
    </row>
    <row r="19">
      <c r="A19" s="30"/>
      <c r="B19" s="62" t="s">
        <v>151</v>
      </c>
      <c r="D19" s="21" t="s">
        <v>153</v>
      </c>
      <c r="F19" s="74" t="s">
        <v>155</v>
      </c>
      <c r="G19" s="26"/>
      <c r="H19" s="27"/>
      <c r="I19" s="27"/>
      <c r="J19" s="27"/>
      <c r="K19" s="27"/>
      <c r="L19" s="27"/>
      <c r="M19" s="27"/>
      <c r="N19" s="27"/>
      <c r="O19" s="27"/>
      <c r="P19" s="27"/>
      <c r="Q19" s="27"/>
      <c r="R19" s="27"/>
      <c r="S19" s="27"/>
      <c r="T19" s="27"/>
      <c r="U19" s="27"/>
      <c r="V19" s="27"/>
      <c r="W19" s="27"/>
      <c r="X19" s="27"/>
      <c r="Y19" s="27"/>
      <c r="Z19" s="27"/>
      <c r="AA19" s="28"/>
    </row>
    <row r="20">
      <c r="A20" s="30"/>
      <c r="B20" s="62" t="s">
        <v>157</v>
      </c>
      <c r="F20" s="66"/>
      <c r="G20" s="26"/>
      <c r="H20" s="27"/>
      <c r="I20" s="27"/>
      <c r="J20" s="27"/>
      <c r="K20" s="27"/>
      <c r="L20" s="27"/>
      <c r="M20" s="27"/>
      <c r="N20" s="27"/>
      <c r="O20" s="27"/>
      <c r="P20" s="27"/>
      <c r="Q20" s="27"/>
      <c r="R20" s="27"/>
      <c r="S20" s="27"/>
      <c r="T20" s="27"/>
      <c r="U20" s="27"/>
      <c r="V20" s="27"/>
      <c r="W20" s="27"/>
      <c r="X20" s="27"/>
      <c r="Y20" s="27"/>
      <c r="Z20" s="27"/>
      <c r="AA20" s="28"/>
    </row>
    <row r="21">
      <c r="A21" s="48"/>
      <c r="B21" s="77" t="s">
        <v>63</v>
      </c>
      <c r="C21" s="13"/>
      <c r="D21" s="13"/>
      <c r="E21" s="13"/>
      <c r="F21" s="78"/>
      <c r="G21" s="54"/>
      <c r="H21" s="14"/>
      <c r="I21" s="14"/>
      <c r="J21" s="14"/>
      <c r="K21" s="14"/>
      <c r="L21" s="14"/>
      <c r="M21" s="14"/>
      <c r="N21" s="14"/>
      <c r="O21" s="14"/>
      <c r="P21" s="14"/>
      <c r="Q21" s="14"/>
      <c r="R21" s="14"/>
      <c r="S21" s="14"/>
      <c r="T21" s="14"/>
      <c r="U21" s="14"/>
      <c r="V21" s="14"/>
      <c r="W21" s="14"/>
      <c r="X21" s="14"/>
      <c r="Y21" s="14"/>
      <c r="Z21" s="14"/>
      <c r="AA21" s="56"/>
    </row>
    <row r="22">
      <c r="A22" s="65" t="s">
        <v>168</v>
      </c>
      <c r="B22" s="62" t="s">
        <v>171</v>
      </c>
      <c r="C22" s="21" t="s">
        <v>27</v>
      </c>
      <c r="D22" s="21" t="s">
        <v>175</v>
      </c>
      <c r="E22" s="81" t="s">
        <v>29</v>
      </c>
      <c r="F22" s="24"/>
      <c r="G22" s="26"/>
      <c r="H22" s="27"/>
      <c r="I22" s="27"/>
      <c r="J22" s="27"/>
      <c r="K22" s="27"/>
      <c r="L22" s="27"/>
      <c r="M22" s="27"/>
      <c r="N22" s="27"/>
      <c r="O22" s="27"/>
      <c r="P22" s="27"/>
      <c r="Q22" s="27"/>
      <c r="R22" s="27"/>
      <c r="S22" s="27"/>
      <c r="T22" s="27"/>
      <c r="U22" s="27"/>
      <c r="V22" s="27"/>
      <c r="W22" s="27"/>
      <c r="X22" s="27"/>
      <c r="Y22" s="27"/>
      <c r="Z22" s="27"/>
      <c r="AA22" s="28"/>
    </row>
    <row r="23">
      <c r="A23" s="30"/>
      <c r="B23" s="62" t="s">
        <v>187</v>
      </c>
      <c r="D23" s="21" t="s">
        <v>188</v>
      </c>
      <c r="E23" s="83"/>
      <c r="F23" s="74" t="s">
        <v>191</v>
      </c>
      <c r="G23" s="26"/>
      <c r="H23" s="27"/>
      <c r="I23" s="27"/>
      <c r="J23" s="27"/>
      <c r="K23" s="27"/>
      <c r="L23" s="27"/>
      <c r="M23" s="27"/>
      <c r="N23" s="27"/>
      <c r="O23" s="27"/>
      <c r="P23" s="27"/>
      <c r="Q23" s="27"/>
      <c r="R23" s="27"/>
      <c r="S23" s="27"/>
      <c r="T23" s="27"/>
      <c r="U23" s="27"/>
      <c r="V23" s="27"/>
      <c r="W23" s="27"/>
      <c r="X23" s="27"/>
      <c r="Y23" s="27"/>
      <c r="Z23" s="27"/>
      <c r="AA23" s="28"/>
    </row>
    <row r="24">
      <c r="A24" s="30"/>
      <c r="B24" s="62" t="s">
        <v>193</v>
      </c>
      <c r="C24" s="21" t="s">
        <v>27</v>
      </c>
      <c r="D24" s="21" t="s">
        <v>196</v>
      </c>
      <c r="E24" s="83"/>
      <c r="F24" s="24"/>
      <c r="G24" s="26"/>
      <c r="H24" s="27"/>
      <c r="I24" s="27"/>
      <c r="J24" s="27"/>
      <c r="K24" s="27"/>
      <c r="L24" s="27"/>
      <c r="M24" s="27"/>
      <c r="N24" s="27"/>
      <c r="O24" s="27"/>
      <c r="P24" s="27"/>
      <c r="Q24" s="27"/>
      <c r="R24" s="27"/>
      <c r="S24" s="27"/>
      <c r="T24" s="27"/>
      <c r="U24" s="27"/>
      <c r="V24" s="27"/>
      <c r="W24" s="27"/>
      <c r="X24" s="27"/>
      <c r="Y24" s="27"/>
      <c r="Z24" s="27"/>
      <c r="AA24" s="28"/>
    </row>
    <row r="25">
      <c r="A25" s="30"/>
      <c r="B25" s="62" t="s">
        <v>202</v>
      </c>
      <c r="D25" s="21" t="s">
        <v>204</v>
      </c>
      <c r="E25" s="83"/>
      <c r="F25" s="74" t="s">
        <v>206</v>
      </c>
      <c r="G25" s="86"/>
      <c r="H25" s="27"/>
      <c r="I25" s="27"/>
      <c r="J25" s="27"/>
      <c r="K25" s="27"/>
      <c r="L25" s="27"/>
      <c r="M25" s="27"/>
      <c r="N25" s="27"/>
      <c r="O25" s="27"/>
      <c r="P25" s="27"/>
      <c r="Q25" s="27"/>
      <c r="R25" s="27"/>
      <c r="S25" s="27"/>
      <c r="T25" s="27"/>
      <c r="U25" s="27"/>
      <c r="V25" s="27"/>
      <c r="W25" s="27"/>
      <c r="X25" s="27"/>
      <c r="Y25" s="27"/>
      <c r="Z25" s="27"/>
      <c r="AA25" s="28"/>
    </row>
    <row r="26">
      <c r="A26" s="30"/>
      <c r="B26" s="62" t="s">
        <v>209</v>
      </c>
      <c r="D26" s="21" t="s">
        <v>210</v>
      </c>
      <c r="E26" s="83"/>
      <c r="F26" s="24"/>
      <c r="G26" s="26"/>
      <c r="H26" s="27"/>
      <c r="I26" s="27"/>
      <c r="J26" s="27"/>
      <c r="K26" s="27"/>
      <c r="L26" s="27"/>
      <c r="M26" s="27"/>
      <c r="N26" s="27"/>
      <c r="O26" s="27"/>
      <c r="P26" s="27"/>
      <c r="Q26" s="27"/>
      <c r="R26" s="27"/>
      <c r="S26" s="27"/>
      <c r="T26" s="27"/>
      <c r="U26" s="27"/>
      <c r="V26" s="27"/>
      <c r="W26" s="27"/>
      <c r="X26" s="27"/>
      <c r="Y26" s="27"/>
      <c r="Z26" s="27"/>
      <c r="AA26" s="28"/>
    </row>
    <row r="27">
      <c r="A27" s="30"/>
      <c r="B27" s="62" t="s">
        <v>212</v>
      </c>
      <c r="E27" s="83"/>
      <c r="F27" s="24"/>
      <c r="G27" s="26"/>
      <c r="H27" s="27"/>
      <c r="I27" s="27"/>
      <c r="J27" s="27"/>
      <c r="K27" s="27"/>
      <c r="L27" s="27"/>
      <c r="M27" s="27"/>
      <c r="N27" s="27"/>
      <c r="O27" s="27"/>
      <c r="P27" s="27"/>
      <c r="Q27" s="27"/>
      <c r="R27" s="27"/>
      <c r="S27" s="27"/>
      <c r="T27" s="27"/>
      <c r="U27" s="27"/>
      <c r="V27" s="27"/>
      <c r="W27" s="27"/>
      <c r="X27" s="27"/>
      <c r="Y27" s="27"/>
      <c r="Z27" s="27"/>
      <c r="AA27" s="28"/>
    </row>
    <row r="28">
      <c r="A28" s="30"/>
      <c r="B28" s="62" t="s">
        <v>215</v>
      </c>
      <c r="D28" s="21" t="s">
        <v>216</v>
      </c>
      <c r="E28" s="83"/>
      <c r="F28" s="24"/>
      <c r="G28" s="26"/>
      <c r="H28" s="27"/>
      <c r="I28" s="27"/>
      <c r="J28" s="27"/>
      <c r="K28" s="27"/>
      <c r="L28" s="27"/>
      <c r="M28" s="27"/>
      <c r="N28" s="27"/>
      <c r="O28" s="27"/>
      <c r="P28" s="27"/>
      <c r="Q28" s="27"/>
      <c r="R28" s="27"/>
      <c r="S28" s="27"/>
      <c r="T28" s="27"/>
      <c r="U28" s="27"/>
      <c r="V28" s="27"/>
      <c r="W28" s="27"/>
      <c r="X28" s="27"/>
      <c r="Y28" s="27"/>
      <c r="Z28" s="27"/>
      <c r="AA28" s="28"/>
    </row>
    <row r="29">
      <c r="A29" s="30"/>
      <c r="B29" s="62" t="s">
        <v>217</v>
      </c>
      <c r="E29" s="83"/>
      <c r="F29" s="89"/>
      <c r="G29" s="91"/>
      <c r="H29" s="27"/>
      <c r="I29" s="27"/>
      <c r="J29" s="27"/>
      <c r="K29" s="27"/>
      <c r="L29" s="27"/>
      <c r="M29" s="27"/>
      <c r="N29" s="27"/>
      <c r="O29" s="27"/>
      <c r="P29" s="27"/>
      <c r="Q29" s="27"/>
      <c r="R29" s="27"/>
      <c r="S29" s="27"/>
      <c r="T29" s="27"/>
      <c r="U29" s="27"/>
      <c r="V29" s="27"/>
      <c r="W29" s="27"/>
      <c r="X29" s="27"/>
      <c r="Y29" s="27"/>
      <c r="Z29" s="27"/>
      <c r="AA29" s="28"/>
    </row>
    <row r="30">
      <c r="A30" s="48"/>
      <c r="B30" s="77" t="s">
        <v>63</v>
      </c>
      <c r="C30" s="13"/>
      <c r="D30" s="50" t="s">
        <v>218</v>
      </c>
      <c r="E30" s="92"/>
      <c r="F30" s="93"/>
      <c r="G30" s="94"/>
      <c r="H30" s="14"/>
      <c r="I30" s="14"/>
      <c r="J30" s="14"/>
      <c r="K30" s="14"/>
      <c r="L30" s="14"/>
      <c r="M30" s="14"/>
      <c r="N30" s="14"/>
      <c r="O30" s="14"/>
      <c r="P30" s="14"/>
      <c r="Q30" s="14"/>
      <c r="R30" s="14"/>
      <c r="S30" s="14"/>
      <c r="T30" s="14"/>
      <c r="U30" s="14"/>
      <c r="V30" s="14"/>
      <c r="W30" s="14"/>
      <c r="X30" s="14"/>
      <c r="Y30" s="14"/>
      <c r="Z30" s="14"/>
      <c r="AA30" s="56"/>
    </row>
    <row r="31">
      <c r="A31" s="19" t="s">
        <v>219</v>
      </c>
      <c r="B31" s="62" t="s">
        <v>221</v>
      </c>
      <c r="C31" s="21" t="s">
        <v>27</v>
      </c>
      <c r="D31" s="21" t="s">
        <v>223</v>
      </c>
      <c r="E31" s="21" t="s">
        <v>29</v>
      </c>
      <c r="F31" s="24"/>
      <c r="G31" s="26"/>
      <c r="H31" s="27"/>
      <c r="I31" s="27"/>
      <c r="J31" s="27"/>
      <c r="K31" s="27"/>
      <c r="L31" s="27"/>
      <c r="M31" s="27"/>
      <c r="N31" s="27"/>
      <c r="O31" s="27"/>
      <c r="P31" s="27"/>
      <c r="Q31" s="27"/>
      <c r="R31" s="27"/>
      <c r="S31" s="27"/>
      <c r="T31" s="27"/>
      <c r="U31" s="27"/>
      <c r="V31" s="27"/>
      <c r="W31" s="27"/>
      <c r="X31" s="27"/>
      <c r="Y31" s="27"/>
      <c r="Z31" s="27"/>
      <c r="AA31" s="28"/>
    </row>
    <row r="32">
      <c r="A32" s="30"/>
      <c r="B32" s="62" t="s">
        <v>229</v>
      </c>
      <c r="C32" s="21" t="s">
        <v>27</v>
      </c>
      <c r="D32" s="21" t="s">
        <v>231</v>
      </c>
      <c r="F32" s="74" t="s">
        <v>233</v>
      </c>
      <c r="G32" s="26"/>
      <c r="H32" s="27"/>
      <c r="I32" s="27"/>
      <c r="J32" s="27"/>
      <c r="K32" s="27"/>
      <c r="L32" s="27"/>
      <c r="M32" s="27"/>
      <c r="N32" s="27"/>
      <c r="O32" s="27"/>
      <c r="P32" s="27"/>
      <c r="Q32" s="27"/>
      <c r="R32" s="27"/>
      <c r="S32" s="27"/>
      <c r="T32" s="27"/>
      <c r="U32" s="27"/>
      <c r="V32" s="27"/>
      <c r="W32" s="27"/>
      <c r="X32" s="27"/>
      <c r="Y32" s="27"/>
      <c r="Z32" s="27"/>
      <c r="AA32" s="28"/>
    </row>
    <row r="33">
      <c r="A33" s="30"/>
      <c r="B33" s="62" t="s">
        <v>237</v>
      </c>
      <c r="D33" s="21" t="s">
        <v>239</v>
      </c>
      <c r="F33" s="24"/>
      <c r="G33" s="26"/>
      <c r="H33" s="27"/>
      <c r="I33" s="27"/>
      <c r="J33" s="27"/>
      <c r="K33" s="27"/>
      <c r="L33" s="27"/>
      <c r="M33" s="27"/>
      <c r="N33" s="27"/>
      <c r="O33" s="27"/>
      <c r="P33" s="27"/>
      <c r="Q33" s="27"/>
      <c r="R33" s="27"/>
      <c r="S33" s="27"/>
      <c r="T33" s="27"/>
      <c r="U33" s="27"/>
      <c r="V33" s="27"/>
      <c r="W33" s="27"/>
      <c r="X33" s="27"/>
      <c r="Y33" s="27"/>
      <c r="Z33" s="27"/>
      <c r="AA33" s="28"/>
    </row>
    <row r="34">
      <c r="A34" s="30"/>
      <c r="B34" s="62" t="s">
        <v>241</v>
      </c>
      <c r="D34" s="21" t="s">
        <v>243</v>
      </c>
      <c r="F34" s="24"/>
      <c r="G34" s="26"/>
      <c r="H34" s="27"/>
      <c r="I34" s="27"/>
      <c r="J34" s="27"/>
      <c r="K34" s="27"/>
      <c r="L34" s="27"/>
      <c r="M34" s="27"/>
      <c r="N34" s="27"/>
      <c r="O34" s="27"/>
      <c r="P34" s="27"/>
      <c r="Q34" s="27"/>
      <c r="R34" s="27"/>
      <c r="S34" s="27"/>
      <c r="T34" s="27"/>
      <c r="U34" s="27"/>
      <c r="V34" s="27"/>
      <c r="W34" s="27"/>
      <c r="X34" s="27"/>
      <c r="Y34" s="27"/>
      <c r="Z34" s="27"/>
      <c r="AA34" s="28"/>
    </row>
    <row r="35">
      <c r="A35" s="30"/>
      <c r="B35" s="62" t="s">
        <v>246</v>
      </c>
      <c r="D35" s="21" t="s">
        <v>247</v>
      </c>
      <c r="F35" s="24"/>
      <c r="G35" s="26"/>
      <c r="H35" s="27"/>
      <c r="I35" s="27"/>
      <c r="J35" s="27"/>
      <c r="K35" s="27"/>
      <c r="L35" s="27"/>
      <c r="M35" s="27"/>
      <c r="N35" s="27"/>
      <c r="O35" s="27"/>
      <c r="P35" s="27"/>
      <c r="Q35" s="27"/>
      <c r="R35" s="27"/>
      <c r="S35" s="27"/>
      <c r="T35" s="27"/>
      <c r="U35" s="27"/>
      <c r="V35" s="27"/>
      <c r="W35" s="27"/>
      <c r="X35" s="27"/>
      <c r="Y35" s="27"/>
      <c r="Z35" s="27"/>
      <c r="AA35" s="28"/>
    </row>
    <row r="36">
      <c r="A36" s="30"/>
      <c r="B36" s="62" t="s">
        <v>250</v>
      </c>
      <c r="D36" s="21" t="s">
        <v>251</v>
      </c>
      <c r="F36" s="24"/>
      <c r="G36" s="26"/>
      <c r="H36" s="27"/>
      <c r="I36" s="27"/>
      <c r="J36" s="27"/>
      <c r="K36" s="27"/>
      <c r="L36" s="27"/>
      <c r="M36" s="27"/>
      <c r="N36" s="27"/>
      <c r="O36" s="27"/>
      <c r="P36" s="27"/>
      <c r="Q36" s="27"/>
      <c r="R36" s="27"/>
      <c r="S36" s="27"/>
      <c r="T36" s="27"/>
      <c r="U36" s="27"/>
      <c r="V36" s="27"/>
      <c r="W36" s="27"/>
      <c r="X36" s="27"/>
      <c r="Y36" s="27"/>
      <c r="Z36" s="27"/>
      <c r="AA36" s="28"/>
    </row>
    <row r="37">
      <c r="A37" s="30"/>
      <c r="B37" s="62" t="s">
        <v>254</v>
      </c>
      <c r="D37" s="21" t="s">
        <v>255</v>
      </c>
      <c r="F37" s="24"/>
      <c r="G37" s="26"/>
      <c r="H37" s="27"/>
      <c r="I37" s="27"/>
      <c r="J37" s="27"/>
      <c r="K37" s="27"/>
      <c r="L37" s="27"/>
      <c r="M37" s="27"/>
      <c r="N37" s="27"/>
      <c r="O37" s="27"/>
      <c r="P37" s="27"/>
      <c r="Q37" s="27"/>
      <c r="R37" s="27"/>
      <c r="S37" s="27"/>
      <c r="T37" s="27"/>
      <c r="U37" s="27"/>
      <c r="V37" s="27"/>
      <c r="W37" s="27"/>
      <c r="X37" s="27"/>
      <c r="Y37" s="27"/>
      <c r="Z37" s="27"/>
      <c r="AA37" s="28"/>
    </row>
    <row r="38">
      <c r="A38" s="30"/>
      <c r="B38" s="62" t="s">
        <v>63</v>
      </c>
      <c r="D38" s="21" t="s">
        <v>219</v>
      </c>
      <c r="F38" s="24"/>
      <c r="G38" s="26"/>
      <c r="H38" s="27"/>
      <c r="I38" s="27"/>
      <c r="J38" s="27"/>
      <c r="K38" s="27"/>
      <c r="L38" s="27"/>
      <c r="M38" s="27"/>
      <c r="N38" s="27"/>
      <c r="O38" s="27"/>
      <c r="P38" s="27"/>
      <c r="Q38" s="27"/>
      <c r="R38" s="27"/>
      <c r="S38" s="27"/>
      <c r="T38" s="27"/>
      <c r="U38" s="27"/>
      <c r="V38" s="27"/>
      <c r="W38" s="27"/>
      <c r="X38" s="27"/>
      <c r="Y38" s="27"/>
      <c r="Z38" s="27"/>
      <c r="AA38" s="28"/>
    </row>
    <row r="39">
      <c r="A39" s="30"/>
      <c r="D39" s="96" t="s">
        <v>267</v>
      </c>
      <c r="E39" s="96" t="s">
        <v>274</v>
      </c>
      <c r="F39" s="97" t="s">
        <v>276</v>
      </c>
      <c r="G39" s="99" t="s">
        <v>279</v>
      </c>
      <c r="H39" s="27"/>
      <c r="I39" s="27"/>
      <c r="J39" s="27"/>
      <c r="K39" s="27"/>
      <c r="L39" s="27"/>
      <c r="M39" s="27"/>
      <c r="N39" s="27"/>
      <c r="O39" s="27"/>
      <c r="P39" s="27"/>
      <c r="Q39" s="27"/>
      <c r="R39" s="27"/>
      <c r="S39" s="27"/>
      <c r="T39" s="27"/>
      <c r="U39" s="27"/>
      <c r="V39" s="27"/>
      <c r="W39" s="27"/>
      <c r="X39" s="27"/>
      <c r="Y39" s="27"/>
      <c r="Z39" s="27"/>
      <c r="AA39" s="28"/>
    </row>
    <row r="40">
      <c r="A40" s="30"/>
      <c r="B40" s="62" t="s">
        <v>289</v>
      </c>
      <c r="D40" s="21" t="s">
        <v>290</v>
      </c>
      <c r="E40" s="21" t="s">
        <v>291</v>
      </c>
      <c r="F40" s="97" t="s">
        <v>292</v>
      </c>
      <c r="G40" s="101" t="s">
        <v>154</v>
      </c>
      <c r="H40" s="27"/>
      <c r="I40" s="27"/>
      <c r="J40" s="27"/>
      <c r="K40" s="27"/>
      <c r="L40" s="27"/>
      <c r="M40" s="27"/>
      <c r="N40" s="27"/>
      <c r="O40" s="27"/>
      <c r="P40" s="27"/>
      <c r="Q40" s="27"/>
      <c r="R40" s="27"/>
      <c r="S40" s="27"/>
      <c r="T40" s="27"/>
      <c r="U40" s="27"/>
      <c r="V40" s="27"/>
      <c r="W40" s="27"/>
      <c r="X40" s="27"/>
      <c r="Y40" s="27"/>
      <c r="Z40" s="27"/>
      <c r="AA40" s="28"/>
    </row>
    <row r="41">
      <c r="A41" s="48"/>
      <c r="B41" s="77" t="s">
        <v>302</v>
      </c>
      <c r="C41" s="77" t="s">
        <v>303</v>
      </c>
      <c r="D41" s="50" t="s">
        <v>304</v>
      </c>
      <c r="E41" s="50" t="s">
        <v>305</v>
      </c>
      <c r="F41" s="102" t="s">
        <v>306</v>
      </c>
      <c r="G41" s="54"/>
      <c r="H41" s="14"/>
      <c r="I41" s="14"/>
      <c r="J41" s="14"/>
      <c r="K41" s="14"/>
      <c r="L41" s="14"/>
      <c r="M41" s="14"/>
      <c r="N41" s="14"/>
      <c r="O41" s="14"/>
      <c r="P41" s="14"/>
      <c r="Q41" s="14"/>
      <c r="R41" s="14"/>
      <c r="S41" s="14"/>
      <c r="T41" s="14"/>
      <c r="U41" s="14"/>
      <c r="V41" s="14"/>
      <c r="W41" s="14"/>
      <c r="X41" s="14"/>
      <c r="Y41" s="14"/>
      <c r="Z41" s="14"/>
      <c r="AA41" s="56"/>
    </row>
    <row r="42">
      <c r="A42" s="19" t="s">
        <v>312</v>
      </c>
      <c r="B42" s="62" t="s">
        <v>314</v>
      </c>
      <c r="C42" s="21" t="s">
        <v>27</v>
      </c>
      <c r="D42" s="21" t="s">
        <v>314</v>
      </c>
      <c r="E42" s="21" t="s">
        <v>29</v>
      </c>
      <c r="F42" s="74" t="s">
        <v>320</v>
      </c>
      <c r="G42" s="26"/>
      <c r="H42" s="27"/>
      <c r="I42" s="27"/>
      <c r="J42" s="27"/>
      <c r="K42" s="27"/>
      <c r="L42" s="27"/>
      <c r="M42" s="27"/>
      <c r="N42" s="27"/>
      <c r="O42" s="27"/>
      <c r="P42" s="27"/>
      <c r="Q42" s="27"/>
      <c r="R42" s="27"/>
      <c r="S42" s="27"/>
      <c r="T42" s="27"/>
      <c r="U42" s="27"/>
      <c r="V42" s="27"/>
      <c r="W42" s="27"/>
      <c r="X42" s="27"/>
      <c r="Y42" s="27"/>
      <c r="Z42" s="27"/>
      <c r="AA42" s="28"/>
    </row>
    <row r="43">
      <c r="A43" s="30"/>
      <c r="B43" s="62" t="s">
        <v>324</v>
      </c>
      <c r="C43" s="21" t="s">
        <v>27</v>
      </c>
      <c r="D43" s="62" t="s">
        <v>324</v>
      </c>
      <c r="F43" s="66"/>
      <c r="G43" s="26"/>
      <c r="H43" s="27"/>
      <c r="I43" s="27"/>
      <c r="J43" s="27"/>
      <c r="K43" s="27"/>
      <c r="L43" s="27"/>
      <c r="M43" s="27"/>
      <c r="N43" s="27"/>
      <c r="O43" s="27"/>
      <c r="P43" s="27"/>
      <c r="Q43" s="27"/>
      <c r="R43" s="27"/>
      <c r="S43" s="27"/>
      <c r="T43" s="27"/>
      <c r="U43" s="27"/>
      <c r="V43" s="27"/>
      <c r="W43" s="27"/>
      <c r="X43" s="27"/>
      <c r="Y43" s="27"/>
      <c r="Z43" s="27"/>
      <c r="AA43" s="28"/>
    </row>
    <row r="44">
      <c r="A44" s="30"/>
      <c r="B44" s="62" t="s">
        <v>326</v>
      </c>
      <c r="D44" s="62" t="s">
        <v>326</v>
      </c>
      <c r="F44" s="24"/>
      <c r="G44" s="26"/>
      <c r="H44" s="27"/>
      <c r="I44" s="27"/>
      <c r="J44" s="27"/>
      <c r="K44" s="27"/>
      <c r="L44" s="27"/>
      <c r="M44" s="27"/>
      <c r="N44" s="27"/>
      <c r="O44" s="27"/>
      <c r="P44" s="27"/>
      <c r="Q44" s="27"/>
      <c r="R44" s="27"/>
      <c r="S44" s="27"/>
      <c r="T44" s="27"/>
      <c r="U44" s="27"/>
      <c r="V44" s="27"/>
      <c r="W44" s="27"/>
      <c r="X44" s="27"/>
      <c r="Y44" s="27"/>
      <c r="Z44" s="27"/>
      <c r="AA44" s="28"/>
    </row>
    <row r="45">
      <c r="A45" s="30"/>
      <c r="B45" s="62" t="s">
        <v>327</v>
      </c>
      <c r="D45" s="62" t="s">
        <v>327</v>
      </c>
      <c r="F45" s="66"/>
      <c r="G45" s="26"/>
      <c r="H45" s="27"/>
      <c r="I45" s="27"/>
      <c r="J45" s="27"/>
      <c r="K45" s="27"/>
      <c r="L45" s="27"/>
      <c r="M45" s="27"/>
      <c r="N45" s="27"/>
      <c r="O45" s="27"/>
      <c r="P45" s="27"/>
      <c r="Q45" s="27"/>
      <c r="R45" s="27"/>
      <c r="S45" s="27"/>
      <c r="T45" s="27"/>
      <c r="U45" s="27"/>
      <c r="V45" s="27"/>
      <c r="W45" s="27"/>
      <c r="X45" s="27"/>
      <c r="Y45" s="27"/>
      <c r="Z45" s="27"/>
      <c r="AA45" s="28"/>
    </row>
    <row r="46">
      <c r="A46" s="30"/>
      <c r="B46" s="62" t="s">
        <v>328</v>
      </c>
      <c r="D46" s="62" t="s">
        <v>328</v>
      </c>
      <c r="F46" s="104" t="s">
        <v>329</v>
      </c>
      <c r="G46" s="105" t="s">
        <v>330</v>
      </c>
      <c r="H46" s="27"/>
      <c r="I46" s="27"/>
      <c r="J46" s="27"/>
      <c r="K46" s="27"/>
      <c r="L46" s="27"/>
      <c r="M46" s="27"/>
      <c r="N46" s="27"/>
      <c r="O46" s="27"/>
      <c r="P46" s="27"/>
      <c r="Q46" s="27"/>
      <c r="R46" s="27"/>
      <c r="S46" s="27"/>
      <c r="T46" s="27"/>
      <c r="U46" s="27"/>
      <c r="V46" s="27"/>
      <c r="W46" s="27"/>
      <c r="X46" s="27"/>
      <c r="Y46" s="27"/>
      <c r="Z46" s="27"/>
      <c r="AA46" s="28"/>
    </row>
    <row r="47">
      <c r="A47" s="30"/>
      <c r="B47" s="62" t="s">
        <v>334</v>
      </c>
      <c r="D47" s="62" t="s">
        <v>334</v>
      </c>
      <c r="F47" s="97" t="s">
        <v>336</v>
      </c>
      <c r="G47" s="26"/>
      <c r="H47" s="27"/>
      <c r="I47" s="27"/>
      <c r="J47" s="27"/>
      <c r="K47" s="27"/>
      <c r="L47" s="27"/>
      <c r="M47" s="27"/>
      <c r="N47" s="27"/>
      <c r="O47" s="27"/>
      <c r="P47" s="27"/>
      <c r="Q47" s="27"/>
      <c r="R47" s="27"/>
      <c r="S47" s="27"/>
      <c r="T47" s="27"/>
      <c r="U47" s="27"/>
      <c r="V47" s="27"/>
      <c r="W47" s="27"/>
      <c r="X47" s="27"/>
      <c r="Y47" s="27"/>
      <c r="Z47" s="27"/>
      <c r="AA47" s="28"/>
    </row>
    <row r="48" ht="92.25" customHeight="1">
      <c r="A48" s="30"/>
      <c r="B48" s="96" t="s">
        <v>338</v>
      </c>
      <c r="D48" s="96" t="s">
        <v>338</v>
      </c>
      <c r="G48" s="26"/>
      <c r="H48" s="27"/>
      <c r="I48" s="27"/>
      <c r="J48" s="27"/>
      <c r="K48" s="27"/>
      <c r="L48" s="27"/>
      <c r="M48" s="27"/>
      <c r="N48" s="27"/>
      <c r="O48" s="27"/>
      <c r="P48" s="27"/>
      <c r="Q48" s="27"/>
      <c r="R48" s="27"/>
      <c r="S48" s="27"/>
      <c r="T48" s="27"/>
      <c r="U48" s="27"/>
      <c r="V48" s="27"/>
      <c r="W48" s="27"/>
      <c r="X48" s="27"/>
      <c r="Y48" s="27"/>
      <c r="Z48" s="27"/>
      <c r="AA48" s="28"/>
    </row>
    <row r="49">
      <c r="A49" s="30"/>
      <c r="B49" s="62" t="s">
        <v>339</v>
      </c>
      <c r="D49" s="62" t="s">
        <v>339</v>
      </c>
      <c r="F49" s="24"/>
      <c r="G49" s="26"/>
      <c r="H49" s="27"/>
      <c r="I49" s="27"/>
      <c r="J49" s="27"/>
      <c r="K49" s="27"/>
      <c r="L49" s="27"/>
      <c r="M49" s="27"/>
      <c r="N49" s="27"/>
      <c r="O49" s="27"/>
      <c r="P49" s="27"/>
      <c r="Q49" s="27"/>
      <c r="R49" s="27"/>
      <c r="S49" s="27"/>
      <c r="T49" s="27"/>
      <c r="U49" s="27"/>
      <c r="V49" s="27"/>
      <c r="W49" s="27"/>
      <c r="X49" s="27"/>
      <c r="Y49" s="27"/>
      <c r="Z49" s="27"/>
      <c r="AA49" s="28"/>
    </row>
    <row r="50">
      <c r="A50" s="30"/>
      <c r="B50" s="62" t="s">
        <v>340</v>
      </c>
      <c r="D50" s="62" t="s">
        <v>340</v>
      </c>
      <c r="F50" s="66"/>
      <c r="G50" s="26"/>
      <c r="H50" s="27"/>
      <c r="I50" s="27"/>
      <c r="J50" s="27"/>
      <c r="K50" s="27"/>
      <c r="L50" s="27"/>
      <c r="M50" s="27"/>
      <c r="N50" s="27"/>
      <c r="O50" s="27"/>
      <c r="P50" s="27"/>
      <c r="Q50" s="27"/>
      <c r="R50" s="27"/>
      <c r="S50" s="27"/>
      <c r="T50" s="27"/>
      <c r="U50" s="27"/>
      <c r="V50" s="27"/>
      <c r="W50" s="27"/>
      <c r="X50" s="27"/>
      <c r="Y50" s="27"/>
      <c r="Z50" s="27"/>
      <c r="AA50" s="28"/>
    </row>
    <row r="51">
      <c r="A51" s="48"/>
      <c r="B51" s="77" t="s">
        <v>63</v>
      </c>
      <c r="C51" s="13"/>
      <c r="D51" s="50" t="s">
        <v>341</v>
      </c>
      <c r="E51" s="13"/>
      <c r="F51" s="102" t="s">
        <v>342</v>
      </c>
      <c r="G51" s="107" t="s">
        <v>106</v>
      </c>
      <c r="H51" s="14"/>
      <c r="I51" s="14"/>
      <c r="J51" s="14"/>
      <c r="K51" s="14"/>
      <c r="L51" s="14"/>
      <c r="M51" s="14"/>
      <c r="N51" s="14"/>
      <c r="O51" s="14"/>
      <c r="P51" s="14"/>
      <c r="Q51" s="14"/>
      <c r="R51" s="14"/>
      <c r="S51" s="14"/>
      <c r="T51" s="14"/>
      <c r="U51" s="14"/>
      <c r="V51" s="14"/>
      <c r="W51" s="14"/>
      <c r="X51" s="14"/>
      <c r="Y51" s="14"/>
      <c r="Z51" s="14"/>
      <c r="AA51" s="56"/>
    </row>
    <row r="52">
      <c r="A52" s="65" t="s">
        <v>345</v>
      </c>
      <c r="B52" s="62" t="s">
        <v>346</v>
      </c>
      <c r="C52" s="21" t="s">
        <v>348</v>
      </c>
      <c r="D52" s="62" t="s">
        <v>346</v>
      </c>
      <c r="E52" s="109" t="s">
        <v>350</v>
      </c>
      <c r="F52" s="110" t="s">
        <v>352</v>
      </c>
      <c r="G52" s="101" t="s">
        <v>164</v>
      </c>
      <c r="H52" s="27"/>
      <c r="I52" s="27"/>
      <c r="J52" s="27"/>
      <c r="K52" s="27"/>
      <c r="L52" s="27"/>
      <c r="M52" s="27"/>
      <c r="N52" s="27"/>
      <c r="O52" s="27"/>
      <c r="P52" s="27"/>
      <c r="Q52" s="27"/>
      <c r="R52" s="27"/>
      <c r="S52" s="27"/>
      <c r="T52" s="27"/>
      <c r="U52" s="27"/>
      <c r="V52" s="27"/>
      <c r="W52" s="27"/>
      <c r="X52" s="27"/>
      <c r="Y52" s="27"/>
      <c r="Z52" s="27"/>
      <c r="AA52" s="28"/>
    </row>
    <row r="53">
      <c r="A53" s="30"/>
      <c r="B53" s="62" t="s">
        <v>359</v>
      </c>
      <c r="D53" s="62" t="s">
        <v>359</v>
      </c>
      <c r="E53" s="111"/>
      <c r="F53" s="113" t="s">
        <v>361</v>
      </c>
      <c r="G53" s="114" t="s">
        <v>362</v>
      </c>
      <c r="H53" s="115" t="s">
        <v>367</v>
      </c>
      <c r="I53" s="27"/>
      <c r="J53" s="27"/>
      <c r="K53" s="27"/>
      <c r="L53" s="27"/>
      <c r="M53" s="27"/>
      <c r="N53" s="27"/>
      <c r="O53" s="27"/>
      <c r="P53" s="27"/>
      <c r="Q53" s="27"/>
      <c r="R53" s="27"/>
      <c r="S53" s="27"/>
      <c r="T53" s="27"/>
      <c r="U53" s="27"/>
      <c r="V53" s="27"/>
      <c r="W53" s="27"/>
      <c r="X53" s="27"/>
      <c r="Y53" s="27"/>
      <c r="Z53" s="27"/>
      <c r="AA53" s="28"/>
    </row>
    <row r="54">
      <c r="A54" s="30"/>
      <c r="B54" s="62" t="s">
        <v>63</v>
      </c>
      <c r="D54" s="21" t="s">
        <v>378</v>
      </c>
      <c r="E54" s="111"/>
      <c r="F54" s="74" t="s">
        <v>379</v>
      </c>
      <c r="G54" s="26"/>
      <c r="H54" s="27"/>
      <c r="I54" s="27"/>
      <c r="J54" s="27"/>
      <c r="K54" s="27"/>
      <c r="L54" s="27"/>
      <c r="M54" s="27"/>
      <c r="N54" s="27"/>
      <c r="O54" s="27"/>
      <c r="P54" s="27"/>
      <c r="Q54" s="27"/>
      <c r="R54" s="27"/>
      <c r="S54" s="27"/>
      <c r="T54" s="27"/>
      <c r="U54" s="27"/>
      <c r="V54" s="27"/>
      <c r="W54" s="27"/>
      <c r="X54" s="27"/>
      <c r="Y54" s="27"/>
      <c r="Z54" s="27"/>
      <c r="AA54" s="28"/>
    </row>
    <row r="55">
      <c r="A55" s="48"/>
      <c r="B55" s="13"/>
      <c r="C55" s="13"/>
      <c r="D55" s="77" t="s">
        <v>63</v>
      </c>
      <c r="E55" s="116"/>
      <c r="F55" s="78"/>
      <c r="G55" s="54"/>
      <c r="H55" s="14"/>
      <c r="I55" s="14"/>
      <c r="J55" s="14"/>
      <c r="K55" s="14"/>
      <c r="L55" s="14"/>
      <c r="M55" s="14"/>
      <c r="N55" s="14"/>
      <c r="O55" s="14"/>
      <c r="P55" s="14"/>
      <c r="Q55" s="14"/>
      <c r="R55" s="14"/>
      <c r="S55" s="14"/>
      <c r="T55" s="14"/>
      <c r="U55" s="14"/>
      <c r="V55" s="14"/>
      <c r="W55" s="14"/>
      <c r="X55" s="14"/>
      <c r="Y55" s="14"/>
      <c r="Z55" s="14"/>
      <c r="AA55" s="56"/>
    </row>
    <row r="56">
      <c r="A56" s="65" t="s">
        <v>384</v>
      </c>
      <c r="B56" s="62" t="s">
        <v>385</v>
      </c>
      <c r="C56" s="21" t="s">
        <v>348</v>
      </c>
      <c r="D56" s="62" t="s">
        <v>385</v>
      </c>
      <c r="E56" s="21" t="s">
        <v>29</v>
      </c>
      <c r="F56" s="66"/>
      <c r="G56" s="26"/>
      <c r="H56" s="27"/>
      <c r="I56" s="27"/>
      <c r="J56" s="27"/>
      <c r="K56" s="27"/>
      <c r="L56" s="27"/>
      <c r="M56" s="27"/>
      <c r="N56" s="27"/>
      <c r="O56" s="27"/>
      <c r="P56" s="27"/>
      <c r="Q56" s="27"/>
      <c r="R56" s="27"/>
      <c r="S56" s="27"/>
      <c r="T56" s="27"/>
      <c r="U56" s="27"/>
      <c r="V56" s="27"/>
      <c r="W56" s="27"/>
      <c r="X56" s="27"/>
      <c r="Y56" s="27"/>
      <c r="Z56" s="27"/>
      <c r="AA56" s="28"/>
    </row>
    <row r="57">
      <c r="A57" s="30"/>
      <c r="B57" s="62" t="s">
        <v>386</v>
      </c>
      <c r="D57" s="62" t="s">
        <v>386</v>
      </c>
      <c r="F57" s="66"/>
      <c r="G57" s="26"/>
      <c r="H57" s="27"/>
      <c r="I57" s="27"/>
      <c r="J57" s="27"/>
      <c r="K57" s="27"/>
      <c r="L57" s="27"/>
      <c r="M57" s="27"/>
      <c r="N57" s="27"/>
      <c r="O57" s="27"/>
      <c r="P57" s="27"/>
      <c r="Q57" s="27"/>
      <c r="R57" s="27"/>
      <c r="S57" s="27"/>
      <c r="T57" s="27"/>
      <c r="U57" s="27"/>
      <c r="V57" s="27"/>
      <c r="W57" s="27"/>
      <c r="X57" s="27"/>
      <c r="Y57" s="27"/>
      <c r="Z57" s="27"/>
      <c r="AA57" s="28"/>
    </row>
    <row r="58">
      <c r="A58" s="48"/>
      <c r="B58" s="77" t="s">
        <v>63</v>
      </c>
      <c r="C58" s="13"/>
      <c r="D58" s="54"/>
      <c r="E58" s="13"/>
      <c r="F58" s="78"/>
      <c r="G58" s="54"/>
      <c r="H58" s="14"/>
      <c r="I58" s="14"/>
      <c r="J58" s="14"/>
      <c r="K58" s="14"/>
      <c r="L58" s="14"/>
      <c r="M58" s="14"/>
      <c r="N58" s="14"/>
      <c r="O58" s="14"/>
      <c r="P58" s="14"/>
      <c r="Q58" s="14"/>
      <c r="R58" s="14"/>
      <c r="S58" s="14"/>
      <c r="T58" s="14"/>
      <c r="U58" s="14"/>
      <c r="V58" s="14"/>
      <c r="W58" s="14"/>
      <c r="X58" s="14"/>
      <c r="Y58" s="14"/>
      <c r="Z58" s="14"/>
      <c r="AA58" s="56"/>
    </row>
    <row r="59">
      <c r="A59" s="65" t="s">
        <v>387</v>
      </c>
      <c r="B59" s="62" t="s">
        <v>388</v>
      </c>
      <c r="C59" s="21" t="s">
        <v>348</v>
      </c>
      <c r="D59" s="21" t="s">
        <v>389</v>
      </c>
      <c r="E59" s="21" t="s">
        <v>390</v>
      </c>
      <c r="F59" s="74" t="s">
        <v>391</v>
      </c>
      <c r="G59" s="86"/>
      <c r="H59" s="27"/>
      <c r="I59" s="27"/>
      <c r="J59" s="27"/>
      <c r="K59" s="27"/>
      <c r="L59" s="27"/>
      <c r="M59" s="27"/>
      <c r="N59" s="27"/>
      <c r="O59" s="27"/>
      <c r="P59" s="27"/>
      <c r="Q59" s="27"/>
      <c r="R59" s="27"/>
      <c r="S59" s="27"/>
      <c r="T59" s="27"/>
      <c r="U59" s="27"/>
      <c r="V59" s="27"/>
      <c r="W59" s="27"/>
      <c r="X59" s="27"/>
      <c r="Y59" s="27"/>
      <c r="Z59" s="27"/>
      <c r="AA59" s="28"/>
    </row>
    <row r="60">
      <c r="A60" s="30"/>
      <c r="D60" s="21" t="s">
        <v>392</v>
      </c>
      <c r="E60" s="120" t="s">
        <v>393</v>
      </c>
      <c r="F60" s="74" t="s">
        <v>394</v>
      </c>
      <c r="G60" s="101" t="s">
        <v>395</v>
      </c>
      <c r="H60" s="27"/>
      <c r="I60" s="27"/>
      <c r="J60" s="27"/>
      <c r="K60" s="27"/>
      <c r="L60" s="27"/>
      <c r="M60" s="27"/>
      <c r="N60" s="27"/>
      <c r="O60" s="27"/>
      <c r="P60" s="27"/>
      <c r="Q60" s="27"/>
      <c r="R60" s="27"/>
      <c r="S60" s="27"/>
      <c r="T60" s="27"/>
      <c r="U60" s="27"/>
      <c r="V60" s="27"/>
      <c r="W60" s="27"/>
      <c r="X60" s="27"/>
      <c r="Y60" s="27"/>
      <c r="Z60" s="27"/>
      <c r="AA60" s="28"/>
    </row>
    <row r="61">
      <c r="A61" s="30"/>
      <c r="D61" s="96" t="s">
        <v>396</v>
      </c>
      <c r="E61" s="121" t="s">
        <v>397</v>
      </c>
      <c r="F61" s="97" t="s">
        <v>398</v>
      </c>
      <c r="G61" s="123" t="s">
        <v>399</v>
      </c>
      <c r="H61" s="27"/>
      <c r="I61" s="27"/>
      <c r="J61" s="27"/>
      <c r="K61" s="27"/>
      <c r="L61" s="27"/>
      <c r="M61" s="27"/>
      <c r="N61" s="27"/>
      <c r="O61" s="27"/>
      <c r="P61" s="27"/>
      <c r="Q61" s="27"/>
      <c r="R61" s="27"/>
      <c r="S61" s="27"/>
      <c r="T61" s="27"/>
      <c r="U61" s="27"/>
      <c r="V61" s="27"/>
      <c r="W61" s="27"/>
      <c r="X61" s="27"/>
      <c r="Y61" s="27"/>
      <c r="Z61" s="27"/>
      <c r="AA61" s="28"/>
    </row>
    <row r="62">
      <c r="A62" s="30"/>
      <c r="B62" s="62" t="s">
        <v>63</v>
      </c>
      <c r="D62" s="21" t="s">
        <v>405</v>
      </c>
      <c r="E62" s="21" t="s">
        <v>407</v>
      </c>
      <c r="F62" s="74" t="s">
        <v>408</v>
      </c>
      <c r="G62" s="26"/>
      <c r="H62" s="27"/>
      <c r="I62" s="27"/>
      <c r="J62" s="27"/>
      <c r="K62" s="27"/>
      <c r="L62" s="27"/>
      <c r="M62" s="27"/>
      <c r="N62" s="27"/>
      <c r="O62" s="27"/>
      <c r="P62" s="27"/>
      <c r="Q62" s="27"/>
      <c r="R62" s="27"/>
      <c r="S62" s="27"/>
      <c r="T62" s="27"/>
      <c r="U62" s="27"/>
      <c r="V62" s="27"/>
      <c r="W62" s="27"/>
      <c r="X62" s="27"/>
      <c r="Y62" s="27"/>
      <c r="Z62" s="27"/>
      <c r="AA62" s="28"/>
    </row>
    <row r="63">
      <c r="A63" s="48"/>
      <c r="B63" s="13"/>
      <c r="C63" s="13"/>
      <c r="D63" s="126" t="s">
        <v>411</v>
      </c>
      <c r="E63" s="50"/>
      <c r="F63" s="128" t="s">
        <v>412</v>
      </c>
      <c r="G63" s="54"/>
      <c r="H63" s="14"/>
      <c r="I63" s="14"/>
      <c r="J63" s="14"/>
      <c r="K63" s="14"/>
      <c r="L63" s="14"/>
      <c r="M63" s="14"/>
      <c r="N63" s="14"/>
      <c r="O63" s="14"/>
      <c r="P63" s="14"/>
      <c r="Q63" s="14"/>
      <c r="R63" s="14"/>
      <c r="S63" s="14"/>
      <c r="T63" s="14"/>
      <c r="U63" s="14"/>
      <c r="V63" s="14"/>
      <c r="W63" s="14"/>
      <c r="X63" s="14"/>
      <c r="Y63" s="14"/>
      <c r="Z63" s="14"/>
      <c r="AA63" s="56"/>
    </row>
    <row r="64">
      <c r="A64" s="130"/>
      <c r="B64" s="131"/>
      <c r="C64" s="130"/>
      <c r="D64" s="130"/>
      <c r="E64" s="130"/>
      <c r="F64" s="133"/>
      <c r="G64" s="134"/>
    </row>
    <row r="65">
      <c r="A65" s="135"/>
      <c r="B65" s="131"/>
      <c r="C65" s="130"/>
      <c r="D65" s="130"/>
      <c r="E65" s="130"/>
      <c r="F65" s="133"/>
      <c r="G65" s="134"/>
    </row>
    <row r="66">
      <c r="A66" s="135"/>
      <c r="B66" s="131"/>
      <c r="C66" s="130"/>
      <c r="D66" s="130"/>
      <c r="E66" s="130"/>
      <c r="F66" s="133"/>
      <c r="G66" s="134"/>
    </row>
    <row r="67">
      <c r="A67" s="135"/>
      <c r="B67" s="131"/>
      <c r="C67" s="130"/>
      <c r="D67" s="130"/>
      <c r="E67" s="130"/>
      <c r="F67" s="133"/>
      <c r="G67" s="134"/>
    </row>
    <row r="68">
      <c r="A68" s="135"/>
      <c r="B68" s="131"/>
      <c r="C68" s="130"/>
      <c r="D68" s="130"/>
      <c r="E68" s="130"/>
      <c r="F68" s="133"/>
      <c r="G68" s="134"/>
    </row>
    <row r="69">
      <c r="A69" s="135"/>
      <c r="B69" s="131"/>
      <c r="C69" s="130"/>
      <c r="D69" s="130"/>
      <c r="E69" s="130"/>
      <c r="F69" s="133"/>
      <c r="G69" s="134"/>
    </row>
    <row r="70">
      <c r="A70" s="135"/>
      <c r="B70" s="131"/>
      <c r="C70" s="130"/>
      <c r="D70" s="130"/>
      <c r="E70" s="130"/>
      <c r="F70" s="133"/>
      <c r="G70" s="134"/>
    </row>
    <row r="71">
      <c r="A71" s="135"/>
      <c r="B71" s="131"/>
      <c r="C71" s="130"/>
      <c r="D71" s="130"/>
      <c r="E71" s="130"/>
      <c r="F71" s="133"/>
      <c r="G71" s="134"/>
    </row>
    <row r="72">
      <c r="A72" s="135"/>
      <c r="B72" s="131"/>
      <c r="C72" s="130"/>
      <c r="D72" s="130"/>
      <c r="E72" s="130"/>
      <c r="F72" s="133"/>
      <c r="G72" s="134"/>
    </row>
    <row r="73">
      <c r="A73" s="135"/>
      <c r="B73" s="131"/>
      <c r="C73" s="130"/>
      <c r="D73" s="130"/>
      <c r="E73" s="130"/>
      <c r="F73" s="133"/>
      <c r="G73" s="134"/>
    </row>
    <row r="74">
      <c r="A74" s="135"/>
      <c r="B74" s="131"/>
      <c r="C74" s="130"/>
      <c r="D74" s="130"/>
      <c r="E74" s="130"/>
      <c r="F74" s="133"/>
      <c r="G74" s="134"/>
    </row>
    <row r="75">
      <c r="A75" s="135"/>
      <c r="B75" s="131"/>
      <c r="C75" s="130"/>
      <c r="D75" s="130"/>
      <c r="E75" s="130"/>
      <c r="F75" s="133"/>
      <c r="G75" s="134"/>
    </row>
    <row r="76">
      <c r="A76" s="135"/>
      <c r="B76" s="131"/>
      <c r="C76" s="130"/>
      <c r="D76" s="130"/>
      <c r="E76" s="130"/>
      <c r="F76" s="133"/>
      <c r="G76" s="134"/>
    </row>
    <row r="77">
      <c r="A77" s="135"/>
      <c r="B77" s="131"/>
      <c r="C77" s="130"/>
      <c r="D77" s="130"/>
      <c r="E77" s="130"/>
      <c r="F77" s="133"/>
      <c r="G77" s="134"/>
    </row>
    <row r="78">
      <c r="A78" s="135"/>
      <c r="B78" s="131"/>
      <c r="C78" s="130"/>
      <c r="D78" s="130"/>
      <c r="E78" s="130"/>
      <c r="F78" s="133"/>
      <c r="G78" s="134"/>
    </row>
    <row r="79">
      <c r="A79" s="135"/>
      <c r="B79" s="131"/>
      <c r="C79" s="130"/>
      <c r="D79" s="130"/>
      <c r="E79" s="130"/>
      <c r="F79" s="133"/>
      <c r="G79" s="134"/>
    </row>
    <row r="80">
      <c r="A80" s="135"/>
      <c r="B80" s="131"/>
      <c r="C80" s="130"/>
      <c r="D80" s="130"/>
      <c r="E80" s="130"/>
      <c r="F80" s="133"/>
      <c r="G80" s="134"/>
    </row>
    <row r="81">
      <c r="A81" s="130"/>
      <c r="B81" s="131"/>
      <c r="C81" s="130"/>
      <c r="D81" s="130"/>
      <c r="E81" s="130"/>
      <c r="F81" s="133"/>
      <c r="G81" s="134"/>
    </row>
    <row r="82">
      <c r="A82" s="135"/>
      <c r="B82" s="136"/>
      <c r="C82" s="130"/>
      <c r="D82" s="135"/>
      <c r="E82" s="130"/>
      <c r="F82" s="133"/>
      <c r="G82" s="134"/>
    </row>
    <row r="83">
      <c r="A83" s="130"/>
      <c r="B83" s="136"/>
      <c r="C83" s="130"/>
      <c r="D83" s="130"/>
      <c r="E83" s="130"/>
      <c r="F83" s="133"/>
      <c r="G83" s="134"/>
    </row>
    <row r="84">
      <c r="A84" s="130"/>
      <c r="B84" s="136"/>
      <c r="C84" s="130"/>
      <c r="D84" s="130"/>
      <c r="E84" s="130"/>
      <c r="F84" s="133"/>
      <c r="G84" s="134"/>
    </row>
    <row r="85">
      <c r="A85" s="130"/>
      <c r="B85" s="136"/>
      <c r="C85" s="135"/>
      <c r="D85" s="135"/>
      <c r="E85" s="130"/>
      <c r="F85" s="133"/>
      <c r="G85" s="134"/>
    </row>
    <row r="86">
      <c r="A86" s="130"/>
      <c r="B86" s="136"/>
      <c r="C86" s="130"/>
      <c r="D86" s="135"/>
      <c r="E86" s="130"/>
      <c r="F86" s="133"/>
      <c r="G86" s="134"/>
    </row>
    <row r="87">
      <c r="A87" s="130"/>
      <c r="B87" s="136"/>
      <c r="C87" s="130"/>
      <c r="D87" s="130"/>
      <c r="E87" s="130"/>
      <c r="F87" s="133"/>
      <c r="G87" s="134"/>
    </row>
    <row r="88">
      <c r="A88" s="130"/>
      <c r="B88" s="131"/>
      <c r="C88" s="130"/>
      <c r="D88" s="130"/>
      <c r="E88" s="130"/>
      <c r="F88" s="133"/>
      <c r="G88" s="134"/>
    </row>
    <row r="89">
      <c r="A89" s="130"/>
      <c r="B89" s="131"/>
      <c r="C89" s="130"/>
      <c r="D89" s="130"/>
      <c r="E89" s="130"/>
      <c r="F89" s="133"/>
      <c r="G89" s="134"/>
    </row>
    <row r="90">
      <c r="A90" s="130"/>
      <c r="B90" s="131"/>
      <c r="C90" s="130"/>
      <c r="D90" s="130"/>
      <c r="E90" s="130"/>
      <c r="F90" s="133"/>
      <c r="G90" s="134"/>
    </row>
    <row r="91">
      <c r="A91" s="130"/>
      <c r="B91" s="131"/>
      <c r="C91" s="130"/>
      <c r="D91" s="130"/>
      <c r="E91" s="130"/>
      <c r="F91" s="133"/>
      <c r="G91" s="134"/>
    </row>
    <row r="92">
      <c r="A92" s="130"/>
      <c r="B92" s="131"/>
      <c r="C92" s="130"/>
      <c r="D92" s="130"/>
      <c r="E92" s="130"/>
      <c r="F92" s="133"/>
      <c r="G92" s="134"/>
    </row>
    <row r="93">
      <c r="A93" s="130"/>
      <c r="B93" s="131"/>
      <c r="C93" s="130"/>
      <c r="D93" s="130"/>
      <c r="E93" s="130"/>
      <c r="F93" s="133"/>
      <c r="G93" s="134"/>
    </row>
    <row r="94">
      <c r="A94" s="130"/>
      <c r="B94" s="131"/>
      <c r="C94" s="130"/>
      <c r="D94" s="130"/>
      <c r="E94" s="130"/>
      <c r="F94" s="133"/>
      <c r="G94" s="134"/>
    </row>
    <row r="95">
      <c r="A95" s="130"/>
      <c r="B95" s="131"/>
      <c r="C95" s="130"/>
      <c r="D95" s="130"/>
      <c r="E95" s="130"/>
      <c r="F95" s="133"/>
      <c r="G95" s="134"/>
    </row>
    <row r="96">
      <c r="A96" s="130"/>
      <c r="B96" s="131"/>
      <c r="C96" s="130"/>
      <c r="D96" s="130"/>
      <c r="E96" s="130"/>
      <c r="F96" s="133"/>
      <c r="G96" s="134"/>
    </row>
    <row r="97">
      <c r="A97" s="130"/>
      <c r="B97" s="131"/>
      <c r="C97" s="130"/>
      <c r="D97" s="130"/>
      <c r="E97" s="130"/>
      <c r="F97" s="133"/>
      <c r="G97" s="134"/>
    </row>
    <row r="98">
      <c r="A98" s="130"/>
      <c r="B98" s="131"/>
      <c r="C98" s="130"/>
      <c r="D98" s="130"/>
      <c r="E98" s="130"/>
      <c r="F98" s="133"/>
      <c r="G98" s="134"/>
    </row>
    <row r="99">
      <c r="A99" s="130"/>
      <c r="B99" s="131"/>
      <c r="C99" s="130"/>
      <c r="D99" s="130"/>
      <c r="E99" s="130"/>
      <c r="F99" s="133"/>
      <c r="G99" s="134"/>
    </row>
    <row r="100">
      <c r="A100" s="130"/>
      <c r="B100" s="131"/>
      <c r="C100" s="130"/>
      <c r="D100" s="130"/>
      <c r="E100" s="130"/>
      <c r="F100" s="133"/>
      <c r="G100" s="134"/>
    </row>
    <row r="101">
      <c r="A101" s="130"/>
      <c r="B101" s="131"/>
      <c r="C101" s="130"/>
      <c r="D101" s="130"/>
      <c r="E101" s="130"/>
      <c r="F101" s="133"/>
      <c r="G101" s="134"/>
    </row>
    <row r="102">
      <c r="A102" s="130"/>
      <c r="B102" s="131"/>
      <c r="C102" s="130"/>
      <c r="D102" s="130"/>
      <c r="E102" s="130"/>
      <c r="F102" s="133"/>
      <c r="G102" s="134"/>
    </row>
    <row r="103">
      <c r="A103" s="130"/>
      <c r="B103" s="131"/>
      <c r="C103" s="130"/>
      <c r="D103" s="130"/>
      <c r="E103" s="130"/>
      <c r="F103" s="133"/>
      <c r="G103" s="134"/>
    </row>
    <row r="104">
      <c r="A104" s="130"/>
      <c r="B104" s="131"/>
      <c r="C104" s="130"/>
      <c r="D104" s="130"/>
      <c r="E104" s="130"/>
      <c r="F104" s="133"/>
      <c r="G104" s="134"/>
    </row>
    <row r="105">
      <c r="A105" s="130"/>
      <c r="B105" s="131"/>
      <c r="C105" s="130"/>
      <c r="D105" s="130"/>
      <c r="E105" s="130"/>
      <c r="F105" s="133"/>
      <c r="G105" s="134"/>
    </row>
    <row r="106">
      <c r="A106" s="130"/>
      <c r="B106" s="131"/>
      <c r="C106" s="130"/>
      <c r="D106" s="130"/>
      <c r="E106" s="130"/>
      <c r="F106" s="133"/>
      <c r="G106" s="134"/>
    </row>
    <row r="107">
      <c r="A107" s="130"/>
      <c r="B107" s="131"/>
      <c r="C107" s="130"/>
      <c r="D107" s="130"/>
      <c r="E107" s="130"/>
      <c r="F107" s="133"/>
      <c r="G107" s="134"/>
    </row>
    <row r="108">
      <c r="A108" s="130"/>
      <c r="B108" s="131"/>
      <c r="C108" s="130"/>
      <c r="D108" s="130"/>
      <c r="E108" s="130"/>
      <c r="F108" s="133"/>
      <c r="G108" s="134"/>
    </row>
    <row r="109">
      <c r="A109" s="130"/>
      <c r="B109" s="131"/>
      <c r="C109" s="130"/>
      <c r="D109" s="130"/>
      <c r="E109" s="130"/>
      <c r="F109" s="133"/>
      <c r="G109" s="134"/>
    </row>
    <row r="110">
      <c r="A110" s="130"/>
      <c r="B110" s="131"/>
      <c r="C110" s="130"/>
      <c r="D110" s="130"/>
      <c r="E110" s="130"/>
      <c r="F110" s="133"/>
      <c r="G110" s="134"/>
    </row>
    <row r="111">
      <c r="A111" s="130"/>
      <c r="B111" s="131"/>
      <c r="C111" s="130"/>
      <c r="D111" s="130"/>
      <c r="E111" s="130"/>
      <c r="F111" s="133"/>
      <c r="G111" s="134"/>
    </row>
    <row r="112">
      <c r="A112" s="130"/>
      <c r="B112" s="131"/>
      <c r="C112" s="130"/>
      <c r="D112" s="130"/>
      <c r="E112" s="130"/>
      <c r="F112" s="133"/>
      <c r="G112" s="134"/>
    </row>
    <row r="113">
      <c r="A113" s="130"/>
      <c r="B113" s="131"/>
      <c r="C113" s="130"/>
      <c r="D113" s="130"/>
      <c r="E113" s="130"/>
      <c r="F113" s="133"/>
      <c r="G113" s="134"/>
    </row>
    <row r="114">
      <c r="A114" s="130"/>
      <c r="B114" s="131"/>
      <c r="C114" s="130"/>
      <c r="D114" s="130"/>
      <c r="E114" s="130"/>
      <c r="F114" s="133"/>
      <c r="G114" s="134"/>
    </row>
    <row r="115">
      <c r="A115" s="130"/>
      <c r="B115" s="131"/>
      <c r="C115" s="130"/>
      <c r="D115" s="130"/>
      <c r="E115" s="130"/>
      <c r="F115" s="133"/>
      <c r="G115" s="134"/>
    </row>
    <row r="116">
      <c r="A116" s="130"/>
      <c r="B116" s="131"/>
      <c r="C116" s="130"/>
      <c r="D116" s="130"/>
      <c r="E116" s="130"/>
      <c r="F116" s="133"/>
      <c r="G116" s="134"/>
    </row>
    <row r="117">
      <c r="A117" s="130"/>
      <c r="B117" s="131"/>
      <c r="C117" s="130"/>
      <c r="D117" s="130"/>
      <c r="E117" s="130"/>
      <c r="F117" s="133"/>
      <c r="G117" s="134"/>
    </row>
    <row r="118">
      <c r="A118" s="130"/>
      <c r="B118" s="131"/>
      <c r="C118" s="130"/>
      <c r="D118" s="130"/>
      <c r="E118" s="130"/>
      <c r="F118" s="133"/>
      <c r="G118" s="134"/>
    </row>
    <row r="119">
      <c r="A119" s="130"/>
      <c r="B119" s="131"/>
      <c r="C119" s="130"/>
      <c r="D119" s="130"/>
      <c r="E119" s="130"/>
      <c r="F119" s="133"/>
      <c r="G119" s="134"/>
    </row>
    <row r="120">
      <c r="A120" s="130"/>
      <c r="B120" s="131"/>
      <c r="C120" s="130"/>
      <c r="D120" s="130"/>
      <c r="E120" s="130"/>
      <c r="F120" s="133"/>
      <c r="G120" s="134"/>
    </row>
    <row r="121">
      <c r="A121" s="130"/>
      <c r="B121" s="131"/>
      <c r="C121" s="130"/>
      <c r="D121" s="130"/>
      <c r="E121" s="130"/>
      <c r="F121" s="133"/>
      <c r="G121" s="134"/>
    </row>
    <row r="122">
      <c r="A122" s="130"/>
      <c r="B122" s="131"/>
      <c r="C122" s="130"/>
      <c r="D122" s="130"/>
      <c r="E122" s="130"/>
      <c r="F122" s="133"/>
      <c r="G122" s="134"/>
    </row>
    <row r="123">
      <c r="A123" s="130"/>
      <c r="B123" s="131"/>
      <c r="C123" s="130"/>
      <c r="D123" s="130"/>
      <c r="E123" s="130"/>
      <c r="F123" s="133"/>
      <c r="G123" s="134"/>
    </row>
    <row r="124">
      <c r="A124" s="130"/>
      <c r="B124" s="131"/>
      <c r="C124" s="130"/>
      <c r="D124" s="130"/>
      <c r="E124" s="130"/>
      <c r="F124" s="133"/>
      <c r="G124" s="134"/>
    </row>
    <row r="125">
      <c r="A125" s="130"/>
      <c r="B125" s="131"/>
      <c r="C125" s="130"/>
      <c r="D125" s="130"/>
      <c r="E125" s="130"/>
      <c r="F125" s="133"/>
      <c r="G125" s="134"/>
    </row>
    <row r="126">
      <c r="A126" s="130"/>
      <c r="B126" s="131"/>
      <c r="C126" s="130"/>
      <c r="D126" s="130"/>
      <c r="E126" s="130"/>
      <c r="F126" s="133"/>
      <c r="G126" s="134"/>
    </row>
    <row r="127">
      <c r="A127" s="130"/>
      <c r="B127" s="131"/>
      <c r="C127" s="130"/>
      <c r="D127" s="130"/>
      <c r="E127" s="130"/>
      <c r="F127" s="133"/>
      <c r="G127" s="134"/>
    </row>
    <row r="128">
      <c r="A128" s="130"/>
      <c r="B128" s="131"/>
      <c r="C128" s="130"/>
      <c r="D128" s="130"/>
      <c r="E128" s="130"/>
      <c r="F128" s="133"/>
      <c r="G128" s="134"/>
    </row>
    <row r="129">
      <c r="A129" s="130"/>
      <c r="B129" s="131"/>
      <c r="C129" s="130"/>
      <c r="D129" s="130"/>
      <c r="E129" s="130"/>
      <c r="F129" s="133"/>
      <c r="G129" s="134"/>
    </row>
    <row r="130">
      <c r="A130" s="130"/>
      <c r="B130" s="131"/>
      <c r="C130" s="130"/>
      <c r="D130" s="130"/>
      <c r="E130" s="130"/>
      <c r="F130" s="133"/>
      <c r="G130" s="134"/>
    </row>
    <row r="131">
      <c r="A131" s="130"/>
      <c r="B131" s="131"/>
      <c r="C131" s="130"/>
      <c r="D131" s="130"/>
      <c r="E131" s="130"/>
      <c r="F131" s="133"/>
      <c r="G131" s="134"/>
    </row>
    <row r="132">
      <c r="A132" s="130"/>
      <c r="B132" s="131"/>
      <c r="C132" s="130"/>
      <c r="D132" s="130"/>
      <c r="E132" s="130"/>
      <c r="F132" s="133"/>
      <c r="G132" s="134"/>
    </row>
    <row r="133">
      <c r="A133" s="130"/>
      <c r="B133" s="131"/>
      <c r="C133" s="130"/>
      <c r="D133" s="130"/>
      <c r="E133" s="130"/>
      <c r="F133" s="133"/>
      <c r="G133" s="134"/>
    </row>
    <row r="134">
      <c r="A134" s="130"/>
      <c r="B134" s="131"/>
      <c r="C134" s="130"/>
      <c r="D134" s="130"/>
      <c r="E134" s="130"/>
      <c r="F134" s="133"/>
      <c r="G134" s="134"/>
    </row>
    <row r="135">
      <c r="A135" s="130"/>
      <c r="B135" s="131"/>
      <c r="C135" s="130"/>
      <c r="D135" s="130"/>
      <c r="E135" s="130"/>
      <c r="F135" s="133"/>
      <c r="G135" s="134"/>
    </row>
    <row r="136">
      <c r="A136" s="130"/>
      <c r="B136" s="131"/>
      <c r="C136" s="130"/>
      <c r="D136" s="130"/>
      <c r="E136" s="130"/>
      <c r="F136" s="133"/>
      <c r="G136" s="134"/>
    </row>
    <row r="137">
      <c r="A137" s="130"/>
      <c r="B137" s="131"/>
      <c r="C137" s="130"/>
      <c r="D137" s="130"/>
      <c r="E137" s="130"/>
      <c r="F137" s="133"/>
      <c r="G137" s="134"/>
    </row>
    <row r="138">
      <c r="A138" s="130"/>
      <c r="B138" s="131"/>
      <c r="C138" s="130"/>
      <c r="D138" s="130"/>
      <c r="E138" s="130"/>
      <c r="F138" s="133"/>
      <c r="G138" s="134"/>
    </row>
    <row r="139">
      <c r="A139" s="130"/>
      <c r="B139" s="131"/>
      <c r="C139" s="130"/>
      <c r="D139" s="130"/>
      <c r="E139" s="130"/>
      <c r="F139" s="133"/>
      <c r="G139" s="134"/>
    </row>
    <row r="140">
      <c r="A140" s="130"/>
      <c r="B140" s="131"/>
      <c r="C140" s="130"/>
      <c r="D140" s="130"/>
      <c r="E140" s="130"/>
      <c r="F140" s="133"/>
      <c r="G140" s="134"/>
    </row>
    <row r="141">
      <c r="A141" s="130"/>
      <c r="B141" s="131"/>
      <c r="C141" s="130"/>
      <c r="D141" s="130"/>
      <c r="E141" s="130"/>
      <c r="F141" s="133"/>
      <c r="G141" s="134"/>
    </row>
    <row r="142">
      <c r="A142" s="130"/>
      <c r="B142" s="131"/>
      <c r="C142" s="130"/>
      <c r="D142" s="130"/>
      <c r="E142" s="130"/>
      <c r="F142" s="133"/>
      <c r="G142" s="134"/>
    </row>
    <row r="143">
      <c r="A143" s="130"/>
      <c r="B143" s="131"/>
      <c r="C143" s="130"/>
      <c r="D143" s="130"/>
      <c r="E143" s="130"/>
      <c r="F143" s="133"/>
      <c r="G143" s="134"/>
    </row>
    <row r="144">
      <c r="A144" s="130"/>
      <c r="B144" s="131"/>
      <c r="C144" s="130"/>
      <c r="D144" s="130"/>
      <c r="E144" s="130"/>
      <c r="F144" s="133"/>
      <c r="G144" s="134"/>
    </row>
    <row r="145">
      <c r="A145" s="130"/>
      <c r="B145" s="131"/>
      <c r="C145" s="130"/>
      <c r="D145" s="130"/>
      <c r="E145" s="130"/>
      <c r="F145" s="133"/>
      <c r="G145" s="134"/>
    </row>
    <row r="146">
      <c r="A146" s="130"/>
      <c r="B146" s="131"/>
      <c r="C146" s="130"/>
      <c r="D146" s="130"/>
      <c r="E146" s="130"/>
      <c r="F146" s="133"/>
      <c r="G146" s="134"/>
    </row>
    <row r="147">
      <c r="A147" s="130"/>
      <c r="B147" s="131"/>
      <c r="C147" s="130"/>
      <c r="D147" s="130"/>
      <c r="E147" s="130"/>
      <c r="F147" s="133"/>
      <c r="G147" s="134"/>
    </row>
    <row r="148">
      <c r="A148" s="130"/>
      <c r="B148" s="131"/>
      <c r="C148" s="130"/>
      <c r="D148" s="130"/>
      <c r="E148" s="130"/>
      <c r="F148" s="133"/>
      <c r="G148" s="134"/>
    </row>
    <row r="149">
      <c r="A149" s="130"/>
      <c r="B149" s="131"/>
      <c r="C149" s="130"/>
      <c r="D149" s="130"/>
      <c r="E149" s="130"/>
      <c r="F149" s="133"/>
      <c r="G149" s="134"/>
    </row>
    <row r="150">
      <c r="A150" s="130"/>
      <c r="B150" s="131"/>
      <c r="C150" s="130"/>
      <c r="D150" s="130"/>
      <c r="E150" s="130"/>
      <c r="F150" s="133"/>
      <c r="G150" s="134"/>
    </row>
    <row r="151">
      <c r="A151" s="130"/>
      <c r="B151" s="131"/>
      <c r="C151" s="130"/>
      <c r="D151" s="130"/>
      <c r="E151" s="130"/>
      <c r="F151" s="133"/>
      <c r="G151" s="134"/>
    </row>
    <row r="152">
      <c r="A152" s="130"/>
      <c r="B152" s="131"/>
      <c r="C152" s="130"/>
      <c r="D152" s="130"/>
      <c r="E152" s="130"/>
      <c r="F152" s="133"/>
      <c r="G152" s="134"/>
    </row>
    <row r="153">
      <c r="A153" s="130"/>
      <c r="B153" s="131"/>
      <c r="C153" s="130"/>
      <c r="D153" s="130"/>
      <c r="E153" s="130"/>
      <c r="F153" s="133"/>
      <c r="G153" s="134"/>
    </row>
    <row r="154">
      <c r="A154" s="130"/>
      <c r="B154" s="131"/>
      <c r="C154" s="130"/>
      <c r="D154" s="130"/>
      <c r="E154" s="130"/>
      <c r="F154" s="133"/>
      <c r="G154" s="134"/>
    </row>
    <row r="155">
      <c r="A155" s="130"/>
      <c r="B155" s="131"/>
      <c r="C155" s="130"/>
      <c r="D155" s="130"/>
      <c r="E155" s="130"/>
      <c r="F155" s="133"/>
      <c r="G155" s="134"/>
    </row>
    <row r="156">
      <c r="A156" s="130"/>
      <c r="B156" s="131"/>
      <c r="C156" s="130"/>
      <c r="D156" s="130"/>
      <c r="E156" s="130"/>
      <c r="F156" s="133"/>
      <c r="G156" s="134"/>
    </row>
    <row r="157">
      <c r="A157" s="130"/>
      <c r="B157" s="131"/>
      <c r="C157" s="130"/>
      <c r="D157" s="130"/>
      <c r="E157" s="130"/>
      <c r="F157" s="133"/>
      <c r="G157" s="134"/>
    </row>
    <row r="158">
      <c r="A158" s="130"/>
      <c r="B158" s="131"/>
      <c r="C158" s="130"/>
      <c r="D158" s="130"/>
      <c r="E158" s="130"/>
      <c r="F158" s="133"/>
      <c r="G158" s="134"/>
    </row>
    <row r="159">
      <c r="A159" s="130"/>
      <c r="B159" s="131"/>
      <c r="C159" s="130"/>
      <c r="D159" s="130"/>
      <c r="E159" s="130"/>
      <c r="F159" s="133"/>
      <c r="G159" s="134"/>
    </row>
    <row r="160">
      <c r="A160" s="130"/>
      <c r="B160" s="131"/>
      <c r="C160" s="130"/>
      <c r="D160" s="130"/>
      <c r="E160" s="130"/>
      <c r="F160" s="133"/>
      <c r="G160" s="134"/>
    </row>
    <row r="161">
      <c r="A161" s="130"/>
      <c r="B161" s="131"/>
      <c r="C161" s="130"/>
      <c r="D161" s="130"/>
      <c r="E161" s="130"/>
      <c r="F161" s="133"/>
      <c r="G161" s="134"/>
    </row>
    <row r="162">
      <c r="A162" s="130"/>
      <c r="B162" s="131"/>
      <c r="C162" s="130"/>
      <c r="D162" s="130"/>
      <c r="E162" s="130"/>
      <c r="F162" s="133"/>
      <c r="G162" s="134"/>
    </row>
    <row r="163">
      <c r="A163" s="130"/>
      <c r="B163" s="131"/>
      <c r="C163" s="130"/>
      <c r="D163" s="130"/>
      <c r="E163" s="130"/>
      <c r="F163" s="133"/>
      <c r="G163" s="134"/>
    </row>
    <row r="164">
      <c r="A164" s="130"/>
      <c r="B164" s="131"/>
      <c r="C164" s="130"/>
      <c r="D164" s="130"/>
      <c r="E164" s="130"/>
      <c r="F164" s="133"/>
      <c r="G164" s="134"/>
    </row>
    <row r="165">
      <c r="A165" s="130"/>
      <c r="B165" s="131"/>
      <c r="C165" s="130"/>
      <c r="D165" s="130"/>
      <c r="E165" s="130"/>
      <c r="F165" s="133"/>
      <c r="G165" s="134"/>
    </row>
    <row r="166">
      <c r="A166" s="130"/>
      <c r="B166" s="131"/>
      <c r="C166" s="130"/>
      <c r="D166" s="130"/>
      <c r="E166" s="130"/>
      <c r="F166" s="133"/>
      <c r="G166" s="134"/>
    </row>
    <row r="167">
      <c r="A167" s="130"/>
      <c r="B167" s="131"/>
      <c r="C167" s="130"/>
      <c r="D167" s="130"/>
      <c r="E167" s="130"/>
      <c r="F167" s="133"/>
      <c r="G167" s="134"/>
    </row>
    <row r="168">
      <c r="A168" s="130"/>
      <c r="B168" s="131"/>
      <c r="C168" s="130"/>
      <c r="D168" s="130"/>
      <c r="E168" s="130"/>
      <c r="F168" s="133"/>
      <c r="G168" s="134"/>
    </row>
    <row r="169">
      <c r="A169" s="130"/>
      <c r="B169" s="131"/>
      <c r="C169" s="130"/>
      <c r="D169" s="130"/>
      <c r="E169" s="130"/>
      <c r="F169" s="133"/>
      <c r="G169" s="134"/>
    </row>
    <row r="170">
      <c r="A170" s="130"/>
      <c r="B170" s="131"/>
      <c r="C170" s="130"/>
      <c r="D170" s="130"/>
      <c r="E170" s="130"/>
      <c r="F170" s="133"/>
      <c r="G170" s="134"/>
    </row>
    <row r="171">
      <c r="A171" s="130"/>
      <c r="B171" s="131"/>
      <c r="C171" s="130"/>
      <c r="D171" s="130"/>
      <c r="E171" s="130"/>
      <c r="F171" s="133"/>
      <c r="G171" s="134"/>
    </row>
    <row r="172">
      <c r="A172" s="130"/>
      <c r="B172" s="131"/>
      <c r="C172" s="130"/>
      <c r="D172" s="130"/>
      <c r="E172" s="130"/>
      <c r="F172" s="133"/>
      <c r="G172" s="134"/>
    </row>
    <row r="173">
      <c r="A173" s="130"/>
      <c r="B173" s="131"/>
      <c r="C173" s="130"/>
      <c r="D173" s="130"/>
      <c r="E173" s="130"/>
      <c r="F173" s="133"/>
      <c r="G173" s="134"/>
    </row>
    <row r="174">
      <c r="A174" s="130"/>
      <c r="B174" s="131"/>
      <c r="C174" s="130"/>
      <c r="D174" s="130"/>
      <c r="E174" s="130"/>
      <c r="F174" s="133"/>
      <c r="G174" s="134"/>
    </row>
    <row r="175">
      <c r="A175" s="130"/>
      <c r="B175" s="131"/>
      <c r="C175" s="130"/>
      <c r="D175" s="130"/>
      <c r="E175" s="130"/>
      <c r="F175" s="133"/>
      <c r="G175" s="134"/>
    </row>
    <row r="176">
      <c r="A176" s="130"/>
      <c r="B176" s="131"/>
      <c r="C176" s="130"/>
      <c r="D176" s="130"/>
      <c r="E176" s="130"/>
      <c r="F176" s="133"/>
      <c r="G176" s="134"/>
    </row>
    <row r="177">
      <c r="A177" s="130"/>
      <c r="B177" s="131"/>
      <c r="C177" s="130"/>
      <c r="D177" s="130"/>
      <c r="E177" s="130"/>
      <c r="F177" s="133"/>
      <c r="G177" s="134"/>
    </row>
    <row r="178">
      <c r="A178" s="130"/>
      <c r="B178" s="131"/>
      <c r="C178" s="130"/>
      <c r="D178" s="130"/>
      <c r="E178" s="130"/>
      <c r="F178" s="133"/>
      <c r="G178" s="134"/>
    </row>
    <row r="179">
      <c r="A179" s="130"/>
      <c r="B179" s="131"/>
      <c r="C179" s="130"/>
      <c r="D179" s="130"/>
      <c r="E179" s="130"/>
      <c r="F179" s="133"/>
      <c r="G179" s="134"/>
    </row>
    <row r="180">
      <c r="A180" s="130"/>
      <c r="B180" s="131"/>
      <c r="C180" s="130"/>
      <c r="D180" s="130"/>
      <c r="E180" s="130"/>
      <c r="F180" s="133"/>
      <c r="G180" s="134"/>
    </row>
    <row r="181">
      <c r="A181" s="130"/>
      <c r="B181" s="131"/>
      <c r="C181" s="130"/>
      <c r="D181" s="130"/>
      <c r="E181" s="130"/>
      <c r="F181" s="133"/>
      <c r="G181" s="134"/>
    </row>
    <row r="182">
      <c r="A182" s="130"/>
      <c r="B182" s="131"/>
      <c r="C182" s="130"/>
      <c r="D182" s="130"/>
      <c r="E182" s="130"/>
      <c r="F182" s="133"/>
      <c r="G182" s="134"/>
    </row>
    <row r="183">
      <c r="A183" s="130"/>
      <c r="B183" s="131"/>
      <c r="C183" s="130"/>
      <c r="D183" s="130"/>
      <c r="E183" s="130"/>
      <c r="F183" s="133"/>
      <c r="G183" s="134"/>
    </row>
    <row r="184">
      <c r="A184" s="130"/>
      <c r="B184" s="131"/>
      <c r="C184" s="130"/>
      <c r="D184" s="130"/>
      <c r="E184" s="130"/>
      <c r="F184" s="133"/>
      <c r="G184" s="134"/>
    </row>
    <row r="185">
      <c r="A185" s="130"/>
      <c r="B185" s="131"/>
      <c r="C185" s="130"/>
      <c r="D185" s="130"/>
      <c r="E185" s="130"/>
      <c r="F185" s="133"/>
      <c r="G185" s="134"/>
    </row>
    <row r="186">
      <c r="A186" s="130"/>
      <c r="B186" s="131"/>
      <c r="C186" s="130"/>
      <c r="D186" s="130"/>
      <c r="E186" s="130"/>
      <c r="F186" s="133"/>
      <c r="G186" s="134"/>
    </row>
    <row r="187">
      <c r="A187" s="130"/>
      <c r="B187" s="131"/>
      <c r="C187" s="130"/>
      <c r="D187" s="130"/>
      <c r="E187" s="130"/>
      <c r="F187" s="133"/>
      <c r="G187" s="134"/>
    </row>
    <row r="188">
      <c r="A188" s="130"/>
      <c r="B188" s="131"/>
      <c r="C188" s="130"/>
      <c r="D188" s="130"/>
      <c r="E188" s="130"/>
      <c r="F188" s="133"/>
      <c r="G188" s="134"/>
    </row>
    <row r="189">
      <c r="A189" s="130"/>
      <c r="B189" s="131"/>
      <c r="C189" s="130"/>
      <c r="D189" s="130"/>
      <c r="E189" s="130"/>
      <c r="F189" s="133"/>
      <c r="G189" s="134"/>
    </row>
    <row r="190">
      <c r="A190" s="130"/>
      <c r="B190" s="131"/>
      <c r="C190" s="130"/>
      <c r="D190" s="130"/>
      <c r="E190" s="130"/>
      <c r="F190" s="133"/>
      <c r="G190" s="134"/>
    </row>
    <row r="191">
      <c r="A191" s="130"/>
      <c r="B191" s="131"/>
      <c r="C191" s="130"/>
      <c r="D191" s="130"/>
      <c r="E191" s="130"/>
      <c r="F191" s="133"/>
      <c r="G191" s="134"/>
    </row>
    <row r="192">
      <c r="A192" s="130"/>
      <c r="B192" s="131"/>
      <c r="C192" s="130"/>
      <c r="D192" s="130"/>
      <c r="E192" s="130"/>
      <c r="F192" s="133"/>
      <c r="G192" s="134"/>
    </row>
    <row r="193">
      <c r="A193" s="130"/>
      <c r="B193" s="131"/>
      <c r="C193" s="130"/>
      <c r="D193" s="130"/>
      <c r="E193" s="130"/>
      <c r="F193" s="133"/>
      <c r="G193" s="134"/>
    </row>
    <row r="194">
      <c r="A194" s="130"/>
      <c r="B194" s="131"/>
      <c r="C194" s="130"/>
      <c r="D194" s="130"/>
      <c r="E194" s="130"/>
      <c r="F194" s="133"/>
      <c r="G194" s="134"/>
    </row>
    <row r="195">
      <c r="A195" s="130"/>
      <c r="B195" s="131"/>
      <c r="C195" s="130"/>
      <c r="D195" s="130"/>
      <c r="E195" s="130"/>
      <c r="F195" s="133"/>
      <c r="G195" s="134"/>
    </row>
    <row r="196">
      <c r="A196" s="130"/>
      <c r="B196" s="131"/>
      <c r="C196" s="130"/>
      <c r="D196" s="130"/>
      <c r="E196" s="130"/>
      <c r="F196" s="133"/>
      <c r="G196" s="134"/>
    </row>
    <row r="197">
      <c r="A197" s="130"/>
      <c r="B197" s="131"/>
      <c r="C197" s="130"/>
      <c r="D197" s="130"/>
      <c r="E197" s="130"/>
      <c r="F197" s="133"/>
      <c r="G197" s="134"/>
    </row>
    <row r="198">
      <c r="A198" s="130"/>
      <c r="B198" s="131"/>
      <c r="C198" s="130"/>
      <c r="D198" s="130"/>
      <c r="E198" s="130"/>
      <c r="F198" s="133"/>
      <c r="G198" s="134"/>
    </row>
    <row r="199">
      <c r="A199" s="130"/>
      <c r="B199" s="131"/>
      <c r="C199" s="130"/>
      <c r="D199" s="130"/>
      <c r="E199" s="130"/>
      <c r="F199" s="133"/>
      <c r="G199" s="134"/>
    </row>
    <row r="200">
      <c r="A200" s="130"/>
      <c r="B200" s="131"/>
      <c r="C200" s="130"/>
      <c r="D200" s="130"/>
      <c r="E200" s="130"/>
      <c r="F200" s="133"/>
      <c r="G200" s="134"/>
    </row>
    <row r="201">
      <c r="A201" s="130"/>
      <c r="B201" s="131"/>
      <c r="C201" s="130"/>
      <c r="D201" s="130"/>
      <c r="E201" s="130"/>
      <c r="F201" s="133"/>
      <c r="G201" s="134"/>
    </row>
    <row r="202">
      <c r="A202" s="130"/>
      <c r="B202" s="131"/>
      <c r="C202" s="130"/>
      <c r="D202" s="130"/>
      <c r="E202" s="130"/>
      <c r="F202" s="133"/>
      <c r="G202" s="134"/>
    </row>
    <row r="203">
      <c r="A203" s="130"/>
      <c r="B203" s="131"/>
      <c r="C203" s="130"/>
      <c r="D203" s="130"/>
      <c r="E203" s="130"/>
      <c r="F203" s="133"/>
      <c r="G203" s="134"/>
    </row>
    <row r="204">
      <c r="A204" s="130"/>
      <c r="B204" s="131"/>
      <c r="C204" s="130"/>
      <c r="D204" s="130"/>
      <c r="E204" s="130"/>
      <c r="F204" s="133"/>
      <c r="G204" s="134"/>
    </row>
    <row r="205">
      <c r="A205" s="130"/>
      <c r="B205" s="131"/>
      <c r="C205" s="130"/>
      <c r="D205" s="130"/>
      <c r="E205" s="130"/>
      <c r="F205" s="133"/>
      <c r="G205" s="134"/>
    </row>
    <row r="206">
      <c r="A206" s="130"/>
      <c r="B206" s="131"/>
      <c r="C206" s="130"/>
      <c r="D206" s="130"/>
      <c r="E206" s="130"/>
      <c r="F206" s="133"/>
      <c r="G206" s="134"/>
    </row>
    <row r="207">
      <c r="A207" s="130"/>
      <c r="B207" s="131"/>
      <c r="C207" s="130"/>
      <c r="D207" s="130"/>
      <c r="E207" s="130"/>
      <c r="F207" s="133"/>
      <c r="G207" s="134"/>
    </row>
    <row r="208">
      <c r="A208" s="130"/>
      <c r="B208" s="131"/>
      <c r="C208" s="130"/>
      <c r="D208" s="130"/>
      <c r="E208" s="130"/>
      <c r="F208" s="133"/>
      <c r="G208" s="134"/>
    </row>
    <row r="209">
      <c r="A209" s="130"/>
      <c r="B209" s="131"/>
      <c r="C209" s="130"/>
      <c r="D209" s="130"/>
      <c r="E209" s="130"/>
      <c r="F209" s="133"/>
      <c r="G209" s="134"/>
    </row>
    <row r="210">
      <c r="A210" s="130"/>
      <c r="B210" s="131"/>
      <c r="C210" s="130"/>
      <c r="D210" s="130"/>
      <c r="E210" s="130"/>
      <c r="F210" s="133"/>
      <c r="G210" s="134"/>
    </row>
    <row r="211">
      <c r="A211" s="130"/>
      <c r="B211" s="131"/>
      <c r="C211" s="130"/>
      <c r="D211" s="130"/>
      <c r="E211" s="130"/>
      <c r="F211" s="133"/>
      <c r="G211" s="134"/>
    </row>
    <row r="212">
      <c r="A212" s="130"/>
      <c r="B212" s="131"/>
      <c r="C212" s="130"/>
      <c r="D212" s="130"/>
      <c r="E212" s="130"/>
      <c r="F212" s="133"/>
      <c r="G212" s="134"/>
    </row>
    <row r="213">
      <c r="A213" s="130"/>
      <c r="B213" s="131"/>
      <c r="C213" s="130"/>
      <c r="D213" s="130"/>
      <c r="E213" s="130"/>
      <c r="F213" s="133"/>
      <c r="G213" s="134"/>
    </row>
    <row r="214">
      <c r="A214" s="130"/>
      <c r="B214" s="131"/>
      <c r="C214" s="130"/>
      <c r="D214" s="130"/>
      <c r="E214" s="130"/>
      <c r="F214" s="133"/>
      <c r="G214" s="134"/>
    </row>
    <row r="215">
      <c r="A215" s="130"/>
      <c r="B215" s="131"/>
      <c r="C215" s="130"/>
      <c r="D215" s="130"/>
      <c r="E215" s="130"/>
      <c r="F215" s="133"/>
      <c r="G215" s="134"/>
    </row>
    <row r="216">
      <c r="A216" s="130"/>
      <c r="B216" s="131"/>
      <c r="C216" s="130"/>
      <c r="D216" s="130"/>
      <c r="E216" s="130"/>
      <c r="F216" s="133"/>
      <c r="G216" s="134"/>
    </row>
    <row r="217">
      <c r="A217" s="130"/>
      <c r="B217" s="131"/>
      <c r="C217" s="130"/>
      <c r="D217" s="130"/>
      <c r="E217" s="130"/>
      <c r="F217" s="133"/>
      <c r="G217" s="134"/>
    </row>
    <row r="218">
      <c r="A218" s="130"/>
      <c r="B218" s="131"/>
      <c r="C218" s="130"/>
      <c r="D218" s="130"/>
      <c r="E218" s="130"/>
      <c r="F218" s="133"/>
      <c r="G218" s="134"/>
    </row>
    <row r="219">
      <c r="A219" s="130"/>
      <c r="B219" s="131"/>
      <c r="C219" s="130"/>
      <c r="D219" s="130"/>
      <c r="E219" s="130"/>
      <c r="F219" s="133"/>
      <c r="G219" s="134"/>
    </row>
    <row r="220">
      <c r="A220" s="130"/>
      <c r="B220" s="131"/>
      <c r="C220" s="130"/>
      <c r="D220" s="130"/>
      <c r="E220" s="130"/>
      <c r="F220" s="133"/>
      <c r="G220" s="134"/>
    </row>
    <row r="221">
      <c r="A221" s="130"/>
      <c r="B221" s="131"/>
      <c r="C221" s="130"/>
      <c r="D221" s="130"/>
      <c r="E221" s="130"/>
      <c r="F221" s="133"/>
      <c r="G221" s="134"/>
    </row>
    <row r="222">
      <c r="A222" s="130"/>
      <c r="B222" s="131"/>
      <c r="C222" s="130"/>
      <c r="D222" s="130"/>
      <c r="E222" s="130"/>
      <c r="F222" s="133"/>
      <c r="G222" s="134"/>
    </row>
    <row r="223">
      <c r="A223" s="130"/>
      <c r="B223" s="131"/>
      <c r="C223" s="130"/>
      <c r="D223" s="130"/>
      <c r="E223" s="130"/>
      <c r="F223" s="133"/>
      <c r="G223" s="134"/>
    </row>
    <row r="224">
      <c r="A224" s="130"/>
      <c r="B224" s="131"/>
      <c r="C224" s="130"/>
      <c r="D224" s="130"/>
      <c r="E224" s="130"/>
      <c r="F224" s="133"/>
      <c r="G224" s="134"/>
    </row>
    <row r="225">
      <c r="A225" s="130"/>
      <c r="B225" s="131"/>
      <c r="C225" s="130"/>
      <c r="D225" s="130"/>
      <c r="E225" s="130"/>
      <c r="F225" s="133"/>
      <c r="G225" s="134"/>
    </row>
    <row r="226">
      <c r="A226" s="130"/>
      <c r="B226" s="131"/>
      <c r="C226" s="130"/>
      <c r="D226" s="130"/>
      <c r="E226" s="130"/>
      <c r="F226" s="133"/>
      <c r="G226" s="134"/>
    </row>
    <row r="227">
      <c r="A227" s="130"/>
      <c r="B227" s="131"/>
      <c r="C227" s="130"/>
      <c r="D227" s="130"/>
      <c r="E227" s="130"/>
      <c r="F227" s="133"/>
      <c r="G227" s="134"/>
    </row>
    <row r="228">
      <c r="A228" s="130"/>
      <c r="B228" s="131"/>
      <c r="C228" s="130"/>
      <c r="D228" s="130"/>
      <c r="E228" s="130"/>
      <c r="F228" s="133"/>
      <c r="G228" s="134"/>
    </row>
    <row r="229">
      <c r="A229" s="130"/>
      <c r="B229" s="131"/>
      <c r="C229" s="130"/>
      <c r="D229" s="130"/>
      <c r="E229" s="130"/>
      <c r="F229" s="133"/>
      <c r="G229" s="134"/>
    </row>
    <row r="230">
      <c r="A230" s="130"/>
      <c r="B230" s="131"/>
      <c r="C230" s="130"/>
      <c r="D230" s="130"/>
      <c r="E230" s="130"/>
      <c r="F230" s="133"/>
      <c r="G230" s="134"/>
    </row>
    <row r="231">
      <c r="A231" s="130"/>
      <c r="B231" s="131"/>
      <c r="C231" s="130"/>
      <c r="D231" s="130"/>
      <c r="E231" s="130"/>
      <c r="F231" s="133"/>
      <c r="G231" s="134"/>
    </row>
    <row r="232">
      <c r="A232" s="130"/>
      <c r="B232" s="131"/>
      <c r="C232" s="130"/>
      <c r="D232" s="130"/>
      <c r="E232" s="130"/>
      <c r="F232" s="133"/>
      <c r="G232" s="134"/>
    </row>
    <row r="233">
      <c r="A233" s="130"/>
      <c r="B233" s="131"/>
      <c r="C233" s="130"/>
      <c r="D233" s="130"/>
      <c r="E233" s="130"/>
      <c r="F233" s="133"/>
      <c r="G233" s="134"/>
    </row>
    <row r="234">
      <c r="A234" s="130"/>
      <c r="B234" s="131"/>
      <c r="C234" s="130"/>
      <c r="D234" s="130"/>
      <c r="E234" s="130"/>
      <c r="F234" s="133"/>
      <c r="G234" s="134"/>
    </row>
    <row r="235">
      <c r="A235" s="130"/>
      <c r="B235" s="131"/>
      <c r="C235" s="130"/>
      <c r="D235" s="130"/>
      <c r="E235" s="130"/>
      <c r="F235" s="133"/>
      <c r="G235" s="134"/>
    </row>
    <row r="236">
      <c r="A236" s="130"/>
      <c r="B236" s="131"/>
      <c r="C236" s="130"/>
      <c r="D236" s="130"/>
      <c r="E236" s="130"/>
      <c r="F236" s="133"/>
      <c r="G236" s="134"/>
    </row>
    <row r="237">
      <c r="A237" s="130"/>
      <c r="B237" s="131"/>
      <c r="C237" s="130"/>
      <c r="D237" s="130"/>
      <c r="E237" s="130"/>
      <c r="F237" s="133"/>
      <c r="G237" s="134"/>
    </row>
    <row r="238">
      <c r="A238" s="130"/>
      <c r="B238" s="131"/>
      <c r="C238" s="130"/>
      <c r="D238" s="130"/>
      <c r="E238" s="130"/>
      <c r="F238" s="133"/>
      <c r="G238" s="134"/>
    </row>
    <row r="239">
      <c r="A239" s="130"/>
      <c r="B239" s="131"/>
      <c r="C239" s="130"/>
      <c r="D239" s="130"/>
      <c r="E239" s="130"/>
      <c r="F239" s="133"/>
      <c r="G239" s="134"/>
    </row>
    <row r="240">
      <c r="A240" s="130"/>
      <c r="B240" s="131"/>
      <c r="C240" s="130"/>
      <c r="D240" s="130"/>
      <c r="E240" s="130"/>
      <c r="F240" s="133"/>
      <c r="G240" s="134"/>
    </row>
    <row r="241">
      <c r="A241" s="130"/>
      <c r="B241" s="131"/>
      <c r="C241" s="130"/>
      <c r="D241" s="130"/>
      <c r="E241" s="130"/>
      <c r="F241" s="133"/>
      <c r="G241" s="134"/>
    </row>
    <row r="242">
      <c r="A242" s="130"/>
      <c r="B242" s="131"/>
      <c r="C242" s="130"/>
      <c r="D242" s="130"/>
      <c r="E242" s="130"/>
      <c r="F242" s="133"/>
      <c r="G242" s="134"/>
    </row>
    <row r="243">
      <c r="A243" s="130"/>
      <c r="B243" s="131"/>
      <c r="C243" s="130"/>
      <c r="D243" s="130"/>
      <c r="E243" s="130"/>
      <c r="F243" s="133"/>
      <c r="G243" s="134"/>
    </row>
    <row r="244">
      <c r="A244" s="130"/>
      <c r="B244" s="131"/>
      <c r="C244" s="130"/>
      <c r="D244" s="130"/>
      <c r="E244" s="130"/>
      <c r="F244" s="133"/>
      <c r="G244" s="134"/>
    </row>
    <row r="245">
      <c r="A245" s="130"/>
      <c r="B245" s="131"/>
      <c r="C245" s="130"/>
      <c r="D245" s="130"/>
      <c r="E245" s="130"/>
      <c r="F245" s="133"/>
      <c r="G245" s="134"/>
    </row>
    <row r="246">
      <c r="A246" s="130"/>
      <c r="B246" s="131"/>
      <c r="C246" s="130"/>
      <c r="D246" s="130"/>
      <c r="E246" s="130"/>
      <c r="F246" s="133"/>
      <c r="G246" s="134"/>
    </row>
    <row r="247">
      <c r="A247" s="130"/>
      <c r="B247" s="131"/>
      <c r="C247" s="130"/>
      <c r="D247" s="130"/>
      <c r="E247" s="130"/>
      <c r="F247" s="133"/>
      <c r="G247" s="134"/>
    </row>
    <row r="248">
      <c r="A248" s="130"/>
      <c r="B248" s="131"/>
      <c r="C248" s="130"/>
      <c r="D248" s="130"/>
      <c r="E248" s="130"/>
      <c r="F248" s="133"/>
      <c r="G248" s="134"/>
    </row>
    <row r="249">
      <c r="A249" s="130"/>
      <c r="B249" s="131"/>
      <c r="C249" s="130"/>
      <c r="D249" s="130"/>
      <c r="E249" s="130"/>
      <c r="F249" s="133"/>
      <c r="G249" s="134"/>
    </row>
    <row r="250">
      <c r="A250" s="130"/>
      <c r="B250" s="131"/>
      <c r="C250" s="130"/>
      <c r="D250" s="130"/>
      <c r="E250" s="130"/>
      <c r="F250" s="133"/>
      <c r="G250" s="134"/>
    </row>
    <row r="251">
      <c r="A251" s="130"/>
      <c r="B251" s="131"/>
      <c r="C251" s="130"/>
      <c r="D251" s="130"/>
      <c r="E251" s="130"/>
      <c r="F251" s="133"/>
      <c r="G251" s="134"/>
    </row>
    <row r="252">
      <c r="A252" s="130"/>
      <c r="B252" s="131"/>
      <c r="C252" s="130"/>
      <c r="D252" s="130"/>
      <c r="E252" s="130"/>
      <c r="F252" s="133"/>
      <c r="G252" s="134"/>
    </row>
    <row r="253">
      <c r="A253" s="130"/>
      <c r="B253" s="131"/>
      <c r="C253" s="130"/>
      <c r="D253" s="130"/>
      <c r="E253" s="130"/>
      <c r="F253" s="133"/>
      <c r="G253" s="134"/>
    </row>
    <row r="254">
      <c r="A254" s="130"/>
      <c r="B254" s="131"/>
      <c r="C254" s="130"/>
      <c r="D254" s="130"/>
      <c r="E254" s="130"/>
      <c r="F254" s="133"/>
      <c r="G254" s="134"/>
    </row>
    <row r="255">
      <c r="A255" s="130"/>
      <c r="B255" s="131"/>
      <c r="C255" s="130"/>
      <c r="D255" s="130"/>
      <c r="E255" s="130"/>
      <c r="F255" s="133"/>
      <c r="G255" s="134"/>
    </row>
    <row r="256">
      <c r="A256" s="130"/>
      <c r="B256" s="131"/>
      <c r="C256" s="130"/>
      <c r="D256" s="130"/>
      <c r="E256" s="130"/>
      <c r="F256" s="133"/>
      <c r="G256" s="134"/>
    </row>
    <row r="257">
      <c r="A257" s="130"/>
      <c r="B257" s="131"/>
      <c r="C257" s="130"/>
      <c r="D257" s="130"/>
      <c r="E257" s="130"/>
      <c r="F257" s="133"/>
      <c r="G257" s="134"/>
    </row>
    <row r="258">
      <c r="A258" s="130"/>
      <c r="B258" s="131"/>
      <c r="C258" s="130"/>
      <c r="D258" s="130"/>
      <c r="E258" s="130"/>
      <c r="F258" s="133"/>
      <c r="G258" s="134"/>
    </row>
    <row r="259">
      <c r="A259" s="130"/>
      <c r="B259" s="131"/>
      <c r="C259" s="130"/>
      <c r="D259" s="130"/>
      <c r="E259" s="130"/>
      <c r="F259" s="133"/>
      <c r="G259" s="134"/>
    </row>
    <row r="260">
      <c r="A260" s="130"/>
      <c r="B260" s="131"/>
      <c r="C260" s="130"/>
      <c r="D260" s="130"/>
      <c r="E260" s="130"/>
      <c r="F260" s="133"/>
      <c r="G260" s="134"/>
    </row>
    <row r="261">
      <c r="A261" s="130"/>
      <c r="B261" s="131"/>
      <c r="C261" s="130"/>
      <c r="D261" s="130"/>
      <c r="E261" s="130"/>
      <c r="F261" s="133"/>
      <c r="G261" s="134"/>
    </row>
    <row r="262">
      <c r="A262" s="130"/>
      <c r="B262" s="131"/>
      <c r="C262" s="130"/>
      <c r="D262" s="130"/>
      <c r="E262" s="130"/>
      <c r="F262" s="133"/>
      <c r="G262" s="134"/>
    </row>
    <row r="263">
      <c r="A263" s="130"/>
      <c r="B263" s="131"/>
      <c r="C263" s="130"/>
      <c r="D263" s="130"/>
      <c r="E263" s="130"/>
      <c r="F263" s="133"/>
      <c r="G263" s="134"/>
    </row>
    <row r="264">
      <c r="A264" s="130"/>
      <c r="B264" s="131"/>
      <c r="C264" s="130"/>
      <c r="D264" s="130"/>
      <c r="E264" s="130"/>
      <c r="F264" s="133"/>
      <c r="G264" s="134"/>
    </row>
    <row r="265">
      <c r="A265" s="130"/>
      <c r="B265" s="131"/>
      <c r="C265" s="130"/>
      <c r="D265" s="130"/>
      <c r="E265" s="130"/>
      <c r="F265" s="133"/>
      <c r="G265" s="134"/>
    </row>
    <row r="266">
      <c r="A266" s="130"/>
      <c r="B266" s="131"/>
      <c r="C266" s="130"/>
      <c r="D266" s="130"/>
      <c r="E266" s="130"/>
      <c r="F266" s="133"/>
      <c r="G266" s="134"/>
    </row>
    <row r="267">
      <c r="A267" s="130"/>
      <c r="B267" s="131"/>
      <c r="C267" s="130"/>
      <c r="D267" s="130"/>
      <c r="E267" s="130"/>
      <c r="F267" s="133"/>
      <c r="G267" s="134"/>
    </row>
    <row r="268">
      <c r="A268" s="130"/>
      <c r="B268" s="131"/>
      <c r="C268" s="130"/>
      <c r="D268" s="130"/>
      <c r="E268" s="130"/>
      <c r="F268" s="133"/>
      <c r="G268" s="134"/>
    </row>
    <row r="269">
      <c r="A269" s="130"/>
      <c r="B269" s="131"/>
      <c r="C269" s="130"/>
      <c r="D269" s="130"/>
      <c r="E269" s="130"/>
      <c r="F269" s="133"/>
      <c r="G269" s="134"/>
    </row>
    <row r="270">
      <c r="A270" s="130"/>
      <c r="B270" s="131"/>
      <c r="C270" s="130"/>
      <c r="D270" s="130"/>
      <c r="E270" s="130"/>
      <c r="F270" s="133"/>
      <c r="G270" s="134"/>
    </row>
    <row r="271">
      <c r="A271" s="130"/>
      <c r="B271" s="131"/>
      <c r="C271" s="130"/>
      <c r="D271" s="130"/>
      <c r="E271" s="130"/>
      <c r="F271" s="133"/>
      <c r="G271" s="134"/>
    </row>
    <row r="272">
      <c r="A272" s="130"/>
      <c r="B272" s="131"/>
      <c r="C272" s="130"/>
      <c r="D272" s="130"/>
      <c r="E272" s="130"/>
      <c r="F272" s="133"/>
      <c r="G272" s="134"/>
    </row>
    <row r="273">
      <c r="A273" s="130"/>
      <c r="B273" s="131"/>
      <c r="C273" s="130"/>
      <c r="D273" s="130"/>
      <c r="E273" s="130"/>
      <c r="F273" s="133"/>
      <c r="G273" s="134"/>
    </row>
    <row r="274">
      <c r="A274" s="130"/>
      <c r="B274" s="131"/>
      <c r="C274" s="130"/>
      <c r="D274" s="130"/>
      <c r="E274" s="130"/>
      <c r="F274" s="133"/>
      <c r="G274" s="134"/>
    </row>
    <row r="275">
      <c r="A275" s="130"/>
      <c r="B275" s="131"/>
      <c r="C275" s="130"/>
      <c r="D275" s="130"/>
      <c r="E275" s="130"/>
      <c r="F275" s="133"/>
      <c r="G275" s="134"/>
    </row>
    <row r="276">
      <c r="A276" s="130"/>
      <c r="B276" s="131"/>
      <c r="C276" s="130"/>
      <c r="D276" s="130"/>
      <c r="E276" s="130"/>
      <c r="F276" s="133"/>
      <c r="G276" s="134"/>
    </row>
    <row r="277">
      <c r="A277" s="130"/>
      <c r="B277" s="131"/>
      <c r="C277" s="130"/>
      <c r="D277" s="130"/>
      <c r="E277" s="130"/>
      <c r="F277" s="133"/>
      <c r="G277" s="134"/>
    </row>
    <row r="278">
      <c r="A278" s="130"/>
      <c r="B278" s="131"/>
      <c r="C278" s="130"/>
      <c r="D278" s="130"/>
      <c r="E278" s="130"/>
      <c r="F278" s="133"/>
      <c r="G278" s="134"/>
    </row>
    <row r="279">
      <c r="A279" s="130"/>
      <c r="B279" s="131"/>
      <c r="C279" s="130"/>
      <c r="D279" s="130"/>
      <c r="E279" s="130"/>
      <c r="F279" s="133"/>
      <c r="G279" s="134"/>
    </row>
    <row r="280">
      <c r="A280" s="130"/>
      <c r="B280" s="131"/>
      <c r="C280" s="130"/>
      <c r="D280" s="130"/>
      <c r="E280" s="130"/>
      <c r="F280" s="133"/>
      <c r="G280" s="134"/>
    </row>
    <row r="281">
      <c r="A281" s="130"/>
      <c r="B281" s="131"/>
      <c r="C281" s="130"/>
      <c r="D281" s="130"/>
      <c r="E281" s="130"/>
      <c r="F281" s="133"/>
      <c r="G281" s="134"/>
    </row>
    <row r="282">
      <c r="A282" s="130"/>
      <c r="B282" s="131"/>
      <c r="C282" s="130"/>
      <c r="D282" s="130"/>
      <c r="E282" s="130"/>
      <c r="F282" s="133"/>
      <c r="G282" s="134"/>
    </row>
    <row r="283">
      <c r="A283" s="130"/>
      <c r="B283" s="131"/>
      <c r="C283" s="130"/>
      <c r="D283" s="130"/>
      <c r="E283" s="130"/>
      <c r="F283" s="133"/>
      <c r="G283" s="134"/>
    </row>
    <row r="284">
      <c r="A284" s="130"/>
      <c r="B284" s="131"/>
      <c r="C284" s="130"/>
      <c r="D284" s="130"/>
      <c r="E284" s="130"/>
      <c r="F284" s="133"/>
      <c r="G284" s="134"/>
    </row>
    <row r="285">
      <c r="A285" s="130"/>
      <c r="B285" s="131"/>
      <c r="C285" s="130"/>
      <c r="D285" s="130"/>
      <c r="E285" s="130"/>
      <c r="F285" s="133"/>
      <c r="G285" s="134"/>
    </row>
    <row r="286">
      <c r="A286" s="130"/>
      <c r="B286" s="131"/>
      <c r="C286" s="130"/>
      <c r="D286" s="130"/>
      <c r="E286" s="130"/>
      <c r="F286" s="133"/>
      <c r="G286" s="134"/>
    </row>
    <row r="287">
      <c r="A287" s="130"/>
      <c r="B287" s="131"/>
      <c r="C287" s="130"/>
      <c r="D287" s="130"/>
      <c r="E287" s="130"/>
      <c r="F287" s="133"/>
      <c r="G287" s="134"/>
    </row>
    <row r="288">
      <c r="A288" s="130"/>
      <c r="B288" s="131"/>
      <c r="C288" s="130"/>
      <c r="D288" s="130"/>
      <c r="E288" s="130"/>
      <c r="F288" s="133"/>
      <c r="G288" s="134"/>
    </row>
    <row r="289">
      <c r="A289" s="130"/>
      <c r="B289" s="131"/>
      <c r="C289" s="130"/>
      <c r="D289" s="130"/>
      <c r="E289" s="130"/>
      <c r="F289" s="133"/>
      <c r="G289" s="134"/>
    </row>
    <row r="290">
      <c r="A290" s="130"/>
      <c r="B290" s="131"/>
      <c r="C290" s="130"/>
      <c r="D290" s="130"/>
      <c r="E290" s="130"/>
      <c r="F290" s="133"/>
      <c r="G290" s="134"/>
    </row>
    <row r="291">
      <c r="A291" s="130"/>
      <c r="B291" s="131"/>
      <c r="C291" s="130"/>
      <c r="D291" s="130"/>
      <c r="E291" s="130"/>
      <c r="F291" s="133"/>
      <c r="G291" s="134"/>
    </row>
    <row r="292">
      <c r="A292" s="130"/>
      <c r="B292" s="131"/>
      <c r="C292" s="130"/>
      <c r="D292" s="130"/>
      <c r="E292" s="130"/>
      <c r="F292" s="133"/>
      <c r="G292" s="134"/>
    </row>
    <row r="293">
      <c r="A293" s="130"/>
      <c r="B293" s="131"/>
      <c r="C293" s="130"/>
      <c r="D293" s="130"/>
      <c r="E293" s="130"/>
      <c r="F293" s="133"/>
      <c r="G293" s="134"/>
    </row>
    <row r="294">
      <c r="A294" s="130"/>
      <c r="B294" s="131"/>
      <c r="C294" s="130"/>
      <c r="D294" s="130"/>
      <c r="E294" s="130"/>
      <c r="F294" s="133"/>
      <c r="G294" s="134"/>
    </row>
    <row r="295">
      <c r="A295" s="130"/>
      <c r="B295" s="131"/>
      <c r="C295" s="130"/>
      <c r="D295" s="130"/>
      <c r="E295" s="130"/>
      <c r="F295" s="133"/>
      <c r="G295" s="134"/>
    </row>
    <row r="296">
      <c r="A296" s="130"/>
      <c r="B296" s="131"/>
      <c r="C296" s="130"/>
      <c r="D296" s="130"/>
      <c r="E296" s="130"/>
      <c r="F296" s="133"/>
      <c r="G296" s="134"/>
    </row>
    <row r="297">
      <c r="A297" s="130"/>
      <c r="B297" s="131"/>
      <c r="C297" s="130"/>
      <c r="D297" s="130"/>
      <c r="E297" s="130"/>
      <c r="F297" s="133"/>
      <c r="G297" s="134"/>
    </row>
    <row r="298">
      <c r="A298" s="130"/>
      <c r="B298" s="131"/>
      <c r="C298" s="130"/>
      <c r="D298" s="130"/>
      <c r="E298" s="130"/>
      <c r="F298" s="133"/>
      <c r="G298" s="134"/>
    </row>
    <row r="299">
      <c r="A299" s="130"/>
      <c r="B299" s="131"/>
      <c r="C299" s="130"/>
      <c r="D299" s="130"/>
      <c r="E299" s="130"/>
      <c r="F299" s="133"/>
      <c r="G299" s="134"/>
    </row>
    <row r="300">
      <c r="A300" s="130"/>
      <c r="B300" s="131"/>
      <c r="C300" s="130"/>
      <c r="D300" s="130"/>
      <c r="E300" s="130"/>
      <c r="F300" s="133"/>
      <c r="G300" s="134"/>
    </row>
    <row r="301">
      <c r="A301" s="130"/>
      <c r="B301" s="131"/>
      <c r="C301" s="130"/>
      <c r="D301" s="130"/>
      <c r="E301" s="130"/>
      <c r="F301" s="133"/>
      <c r="G301" s="134"/>
    </row>
    <row r="302">
      <c r="A302" s="130"/>
      <c r="B302" s="131"/>
      <c r="C302" s="130"/>
      <c r="D302" s="130"/>
      <c r="E302" s="130"/>
      <c r="F302" s="133"/>
      <c r="G302" s="134"/>
    </row>
    <row r="303">
      <c r="A303" s="130"/>
      <c r="B303" s="131"/>
      <c r="C303" s="130"/>
      <c r="D303" s="130"/>
      <c r="E303" s="130"/>
      <c r="F303" s="133"/>
      <c r="G303" s="134"/>
    </row>
    <row r="304">
      <c r="A304" s="130"/>
      <c r="B304" s="131"/>
      <c r="C304" s="130"/>
      <c r="D304" s="130"/>
      <c r="E304" s="130"/>
      <c r="F304" s="133"/>
      <c r="G304" s="134"/>
    </row>
    <row r="305">
      <c r="A305" s="130"/>
      <c r="B305" s="131"/>
      <c r="C305" s="130"/>
      <c r="D305" s="130"/>
      <c r="E305" s="130"/>
      <c r="F305" s="133"/>
      <c r="G305" s="134"/>
    </row>
    <row r="306">
      <c r="A306" s="130"/>
      <c r="B306" s="131"/>
      <c r="C306" s="130"/>
      <c r="D306" s="130"/>
      <c r="E306" s="130"/>
      <c r="F306" s="133"/>
      <c r="G306" s="134"/>
    </row>
    <row r="307">
      <c r="A307" s="130"/>
      <c r="B307" s="131"/>
      <c r="C307" s="130"/>
      <c r="D307" s="130"/>
      <c r="E307" s="130"/>
      <c r="F307" s="133"/>
      <c r="G307" s="134"/>
    </row>
    <row r="308">
      <c r="A308" s="130"/>
      <c r="B308" s="131"/>
      <c r="C308" s="130"/>
      <c r="D308" s="130"/>
      <c r="E308" s="130"/>
      <c r="F308" s="133"/>
      <c r="G308" s="134"/>
    </row>
    <row r="309">
      <c r="A309" s="130"/>
      <c r="B309" s="131"/>
      <c r="C309" s="130"/>
      <c r="D309" s="130"/>
      <c r="E309" s="130"/>
      <c r="F309" s="133"/>
      <c r="G309" s="134"/>
    </row>
    <row r="310">
      <c r="A310" s="130"/>
      <c r="B310" s="131"/>
      <c r="C310" s="130"/>
      <c r="D310" s="130"/>
      <c r="E310" s="130"/>
      <c r="F310" s="133"/>
      <c r="G310" s="134"/>
    </row>
    <row r="311">
      <c r="A311" s="130"/>
      <c r="B311" s="131"/>
      <c r="C311" s="130"/>
      <c r="D311" s="130"/>
      <c r="E311" s="130"/>
      <c r="F311" s="133"/>
      <c r="G311" s="134"/>
    </row>
    <row r="312">
      <c r="A312" s="130"/>
      <c r="B312" s="131"/>
      <c r="C312" s="130"/>
      <c r="D312" s="130"/>
      <c r="E312" s="130"/>
      <c r="F312" s="133"/>
      <c r="G312" s="134"/>
    </row>
    <row r="313">
      <c r="A313" s="130"/>
      <c r="B313" s="131"/>
      <c r="C313" s="130"/>
      <c r="D313" s="130"/>
      <c r="E313" s="130"/>
      <c r="F313" s="133"/>
      <c r="G313" s="134"/>
    </row>
    <row r="314">
      <c r="A314" s="130"/>
      <c r="B314" s="131"/>
      <c r="C314" s="130"/>
      <c r="D314" s="130"/>
      <c r="E314" s="130"/>
      <c r="F314" s="133"/>
      <c r="G314" s="134"/>
    </row>
    <row r="315">
      <c r="A315" s="130"/>
      <c r="B315" s="131"/>
      <c r="C315" s="130"/>
      <c r="D315" s="130"/>
      <c r="E315" s="130"/>
      <c r="F315" s="133"/>
      <c r="G315" s="134"/>
    </row>
    <row r="316">
      <c r="A316" s="130"/>
      <c r="B316" s="131"/>
      <c r="C316" s="130"/>
      <c r="D316" s="130"/>
      <c r="E316" s="130"/>
      <c r="F316" s="133"/>
      <c r="G316" s="134"/>
    </row>
    <row r="317">
      <c r="A317" s="130"/>
      <c r="B317" s="131"/>
      <c r="C317" s="130"/>
      <c r="D317" s="130"/>
      <c r="E317" s="130"/>
      <c r="F317" s="133"/>
      <c r="G317" s="134"/>
    </row>
    <row r="318">
      <c r="A318" s="130"/>
      <c r="B318" s="131"/>
      <c r="C318" s="130"/>
      <c r="D318" s="130"/>
      <c r="E318" s="130"/>
      <c r="F318" s="133"/>
      <c r="G318" s="134"/>
    </row>
    <row r="319">
      <c r="A319" s="130"/>
      <c r="B319" s="131"/>
      <c r="C319" s="130"/>
      <c r="D319" s="130"/>
      <c r="E319" s="130"/>
      <c r="F319" s="133"/>
      <c r="G319" s="134"/>
    </row>
    <row r="320">
      <c r="A320" s="130"/>
      <c r="B320" s="131"/>
      <c r="C320" s="130"/>
      <c r="D320" s="130"/>
      <c r="E320" s="130"/>
      <c r="F320" s="133"/>
      <c r="G320" s="134"/>
    </row>
    <row r="321">
      <c r="A321" s="130"/>
      <c r="B321" s="131"/>
      <c r="C321" s="130"/>
      <c r="D321" s="130"/>
      <c r="E321" s="130"/>
      <c r="F321" s="133"/>
      <c r="G321" s="134"/>
    </row>
    <row r="322">
      <c r="A322" s="130"/>
      <c r="B322" s="131"/>
      <c r="C322" s="130"/>
      <c r="D322" s="130"/>
      <c r="E322" s="130"/>
      <c r="F322" s="133"/>
      <c r="G322" s="134"/>
    </row>
    <row r="323">
      <c r="A323" s="130"/>
      <c r="B323" s="131"/>
      <c r="C323" s="130"/>
      <c r="D323" s="130"/>
      <c r="E323" s="130"/>
      <c r="F323" s="133"/>
      <c r="G323" s="134"/>
    </row>
    <row r="324">
      <c r="A324" s="130"/>
      <c r="B324" s="131"/>
      <c r="C324" s="130"/>
      <c r="D324" s="130"/>
      <c r="E324" s="130"/>
      <c r="F324" s="133"/>
      <c r="G324" s="134"/>
    </row>
    <row r="325">
      <c r="A325" s="130"/>
      <c r="B325" s="131"/>
      <c r="C325" s="130"/>
      <c r="D325" s="130"/>
      <c r="E325" s="130"/>
      <c r="F325" s="133"/>
      <c r="G325" s="134"/>
    </row>
    <row r="326">
      <c r="A326" s="130"/>
      <c r="B326" s="131"/>
      <c r="C326" s="130"/>
      <c r="D326" s="130"/>
      <c r="E326" s="130"/>
      <c r="F326" s="133"/>
      <c r="G326" s="134"/>
    </row>
    <row r="327">
      <c r="A327" s="130"/>
      <c r="B327" s="131"/>
      <c r="C327" s="130"/>
      <c r="D327" s="130"/>
      <c r="E327" s="130"/>
      <c r="F327" s="133"/>
      <c r="G327" s="134"/>
    </row>
    <row r="328">
      <c r="A328" s="130"/>
      <c r="B328" s="131"/>
      <c r="C328" s="130"/>
      <c r="D328" s="130"/>
      <c r="E328" s="130"/>
      <c r="F328" s="133"/>
      <c r="G328" s="134"/>
    </row>
    <row r="329">
      <c r="A329" s="130"/>
      <c r="B329" s="131"/>
      <c r="C329" s="130"/>
      <c r="D329" s="130"/>
      <c r="E329" s="130"/>
      <c r="F329" s="133"/>
      <c r="G329" s="134"/>
    </row>
    <row r="330">
      <c r="A330" s="130"/>
      <c r="B330" s="131"/>
      <c r="C330" s="130"/>
      <c r="D330" s="130"/>
      <c r="E330" s="130"/>
      <c r="F330" s="133"/>
      <c r="G330" s="134"/>
    </row>
    <row r="331">
      <c r="A331" s="130"/>
      <c r="B331" s="131"/>
      <c r="C331" s="130"/>
      <c r="D331" s="130"/>
      <c r="E331" s="130"/>
      <c r="F331" s="133"/>
      <c r="G331" s="134"/>
    </row>
    <row r="332">
      <c r="A332" s="130"/>
      <c r="B332" s="131"/>
      <c r="C332" s="130"/>
      <c r="D332" s="130"/>
      <c r="E332" s="130"/>
      <c r="F332" s="133"/>
      <c r="G332" s="134"/>
    </row>
    <row r="333">
      <c r="A333" s="130"/>
      <c r="B333" s="131"/>
      <c r="C333" s="130"/>
      <c r="D333" s="130"/>
      <c r="E333" s="130"/>
      <c r="F333" s="133"/>
      <c r="G333" s="134"/>
    </row>
    <row r="334">
      <c r="A334" s="130"/>
      <c r="B334" s="131"/>
      <c r="C334" s="130"/>
      <c r="D334" s="130"/>
      <c r="E334" s="130"/>
      <c r="F334" s="133"/>
      <c r="G334" s="134"/>
    </row>
    <row r="335">
      <c r="A335" s="130"/>
      <c r="B335" s="131"/>
      <c r="C335" s="130"/>
      <c r="D335" s="130"/>
      <c r="E335" s="130"/>
      <c r="F335" s="133"/>
      <c r="G335" s="134"/>
    </row>
    <row r="336">
      <c r="A336" s="130"/>
      <c r="B336" s="131"/>
      <c r="C336" s="130"/>
      <c r="D336" s="130"/>
      <c r="E336" s="130"/>
      <c r="F336" s="133"/>
      <c r="G336" s="134"/>
    </row>
    <row r="337">
      <c r="A337" s="130"/>
      <c r="B337" s="131"/>
      <c r="C337" s="130"/>
      <c r="D337" s="130"/>
      <c r="E337" s="130"/>
      <c r="F337" s="133"/>
      <c r="G337" s="134"/>
    </row>
    <row r="338">
      <c r="A338" s="130"/>
      <c r="B338" s="131"/>
      <c r="C338" s="130"/>
      <c r="D338" s="130"/>
      <c r="E338" s="130"/>
      <c r="F338" s="133"/>
      <c r="G338" s="134"/>
    </row>
    <row r="339">
      <c r="A339" s="130"/>
      <c r="B339" s="131"/>
      <c r="C339" s="130"/>
      <c r="D339" s="130"/>
      <c r="E339" s="130"/>
      <c r="F339" s="133"/>
      <c r="G339" s="134"/>
    </row>
    <row r="340">
      <c r="A340" s="130"/>
      <c r="B340" s="131"/>
      <c r="C340" s="130"/>
      <c r="D340" s="130"/>
      <c r="E340" s="130"/>
      <c r="F340" s="133"/>
      <c r="G340" s="134"/>
    </row>
    <row r="341">
      <c r="A341" s="130"/>
      <c r="B341" s="131"/>
      <c r="C341" s="130"/>
      <c r="D341" s="130"/>
      <c r="E341" s="130"/>
      <c r="F341" s="133"/>
      <c r="G341" s="134"/>
    </row>
    <row r="342">
      <c r="A342" s="130"/>
      <c r="B342" s="131"/>
      <c r="C342" s="130"/>
      <c r="D342" s="130"/>
      <c r="E342" s="130"/>
      <c r="F342" s="133"/>
      <c r="G342" s="134"/>
    </row>
    <row r="343">
      <c r="A343" s="130"/>
      <c r="B343" s="131"/>
      <c r="C343" s="130"/>
      <c r="D343" s="130"/>
      <c r="E343" s="130"/>
      <c r="F343" s="133"/>
      <c r="G343" s="134"/>
    </row>
    <row r="344">
      <c r="A344" s="130"/>
      <c r="B344" s="131"/>
      <c r="C344" s="130"/>
      <c r="D344" s="130"/>
      <c r="E344" s="130"/>
      <c r="F344" s="133"/>
      <c r="G344" s="134"/>
    </row>
    <row r="345">
      <c r="A345" s="130"/>
      <c r="B345" s="131"/>
      <c r="C345" s="130"/>
      <c r="D345" s="130"/>
      <c r="E345" s="130"/>
      <c r="F345" s="133"/>
      <c r="G345" s="134"/>
    </row>
    <row r="346">
      <c r="A346" s="130"/>
      <c r="B346" s="131"/>
      <c r="C346" s="130"/>
      <c r="D346" s="130"/>
      <c r="E346" s="130"/>
      <c r="F346" s="133"/>
      <c r="G346" s="134"/>
    </row>
    <row r="347">
      <c r="A347" s="130"/>
      <c r="B347" s="131"/>
      <c r="C347" s="130"/>
      <c r="D347" s="130"/>
      <c r="E347" s="130"/>
      <c r="F347" s="133"/>
      <c r="G347" s="134"/>
    </row>
    <row r="348">
      <c r="A348" s="130"/>
      <c r="B348" s="131"/>
      <c r="C348" s="130"/>
      <c r="D348" s="130"/>
      <c r="E348" s="130"/>
      <c r="F348" s="133"/>
      <c r="G348" s="134"/>
    </row>
    <row r="349">
      <c r="A349" s="130"/>
      <c r="B349" s="131"/>
      <c r="C349" s="130"/>
      <c r="D349" s="130"/>
      <c r="E349" s="130"/>
      <c r="F349" s="133"/>
      <c r="G349" s="134"/>
    </row>
    <row r="350">
      <c r="A350" s="130"/>
      <c r="B350" s="131"/>
      <c r="C350" s="130"/>
      <c r="D350" s="130"/>
      <c r="E350" s="130"/>
      <c r="F350" s="133"/>
      <c r="G350" s="134"/>
    </row>
    <row r="351">
      <c r="A351" s="130"/>
      <c r="B351" s="131"/>
      <c r="C351" s="130"/>
      <c r="D351" s="130"/>
      <c r="E351" s="130"/>
      <c r="F351" s="133"/>
      <c r="G351" s="134"/>
    </row>
    <row r="352">
      <c r="A352" s="130"/>
      <c r="B352" s="131"/>
      <c r="C352" s="130"/>
      <c r="D352" s="130"/>
      <c r="E352" s="130"/>
      <c r="F352" s="133"/>
      <c r="G352" s="134"/>
    </row>
    <row r="353">
      <c r="A353" s="130"/>
      <c r="B353" s="131"/>
      <c r="C353" s="130"/>
      <c r="D353" s="130"/>
      <c r="E353" s="130"/>
      <c r="F353" s="133"/>
      <c r="G353" s="134"/>
    </row>
    <row r="354">
      <c r="A354" s="130"/>
      <c r="B354" s="131"/>
      <c r="C354" s="130"/>
      <c r="D354" s="130"/>
      <c r="E354" s="130"/>
      <c r="F354" s="133"/>
      <c r="G354" s="134"/>
    </row>
    <row r="355">
      <c r="A355" s="130"/>
      <c r="B355" s="131"/>
      <c r="C355" s="130"/>
      <c r="D355" s="130"/>
      <c r="E355" s="130"/>
      <c r="F355" s="133"/>
      <c r="G355" s="134"/>
    </row>
    <row r="356">
      <c r="A356" s="130"/>
      <c r="B356" s="131"/>
      <c r="C356" s="130"/>
      <c r="D356" s="130"/>
      <c r="E356" s="130"/>
      <c r="F356" s="133"/>
      <c r="G356" s="134"/>
    </row>
    <row r="357">
      <c r="A357" s="130"/>
      <c r="B357" s="131"/>
      <c r="C357" s="130"/>
      <c r="D357" s="130"/>
      <c r="E357" s="130"/>
      <c r="F357" s="133"/>
      <c r="G357" s="134"/>
    </row>
    <row r="358">
      <c r="A358" s="130"/>
      <c r="B358" s="131"/>
      <c r="C358" s="130"/>
      <c r="D358" s="130"/>
      <c r="E358" s="130"/>
      <c r="F358" s="133"/>
      <c r="G358" s="134"/>
    </row>
    <row r="359">
      <c r="A359" s="130"/>
      <c r="B359" s="131"/>
      <c r="C359" s="130"/>
      <c r="D359" s="130"/>
      <c r="E359" s="130"/>
      <c r="F359" s="133"/>
      <c r="G359" s="134"/>
    </row>
    <row r="360">
      <c r="A360" s="130"/>
      <c r="B360" s="131"/>
      <c r="C360" s="130"/>
      <c r="D360" s="130"/>
      <c r="E360" s="130"/>
      <c r="F360" s="133"/>
      <c r="G360" s="134"/>
    </row>
    <row r="361">
      <c r="A361" s="130"/>
      <c r="B361" s="131"/>
      <c r="C361" s="130"/>
      <c r="D361" s="130"/>
      <c r="E361" s="130"/>
      <c r="F361" s="133"/>
      <c r="G361" s="134"/>
    </row>
    <row r="362">
      <c r="A362" s="130"/>
      <c r="B362" s="131"/>
      <c r="C362" s="130"/>
      <c r="D362" s="130"/>
      <c r="E362" s="130"/>
      <c r="F362" s="133"/>
      <c r="G362" s="134"/>
    </row>
    <row r="363">
      <c r="A363" s="130"/>
      <c r="B363" s="131"/>
      <c r="C363" s="130"/>
      <c r="D363" s="130"/>
      <c r="E363" s="130"/>
      <c r="F363" s="133"/>
      <c r="G363" s="134"/>
    </row>
    <row r="364">
      <c r="A364" s="130"/>
      <c r="B364" s="131"/>
      <c r="C364" s="130"/>
      <c r="D364" s="130"/>
      <c r="E364" s="130"/>
      <c r="F364" s="133"/>
      <c r="G364" s="134"/>
    </row>
    <row r="365">
      <c r="A365" s="130"/>
      <c r="B365" s="131"/>
      <c r="C365" s="130"/>
      <c r="D365" s="130"/>
      <c r="E365" s="130"/>
      <c r="F365" s="133"/>
      <c r="G365" s="134"/>
    </row>
    <row r="366">
      <c r="A366" s="130"/>
      <c r="B366" s="131"/>
      <c r="C366" s="130"/>
      <c r="D366" s="130"/>
      <c r="E366" s="130"/>
      <c r="F366" s="133"/>
      <c r="G366" s="134"/>
    </row>
    <row r="367">
      <c r="A367" s="130"/>
      <c r="B367" s="131"/>
      <c r="C367" s="130"/>
      <c r="D367" s="130"/>
      <c r="E367" s="130"/>
      <c r="F367" s="133"/>
      <c r="G367" s="134"/>
    </row>
    <row r="368">
      <c r="A368" s="130"/>
      <c r="B368" s="131"/>
      <c r="C368" s="130"/>
      <c r="D368" s="130"/>
      <c r="E368" s="130"/>
      <c r="F368" s="133"/>
      <c r="G368" s="134"/>
    </row>
    <row r="369">
      <c r="A369" s="130"/>
      <c r="B369" s="131"/>
      <c r="C369" s="130"/>
      <c r="D369" s="130"/>
      <c r="E369" s="130"/>
      <c r="F369" s="133"/>
      <c r="G369" s="134"/>
    </row>
    <row r="370">
      <c r="A370" s="130"/>
      <c r="B370" s="131"/>
      <c r="C370" s="130"/>
      <c r="D370" s="130"/>
      <c r="E370" s="130"/>
      <c r="F370" s="133"/>
      <c r="G370" s="134"/>
    </row>
    <row r="371">
      <c r="A371" s="130"/>
      <c r="B371" s="131"/>
      <c r="C371" s="130"/>
      <c r="D371" s="130"/>
      <c r="E371" s="130"/>
      <c r="F371" s="133"/>
      <c r="G371" s="134"/>
    </row>
    <row r="372">
      <c r="A372" s="130"/>
      <c r="B372" s="131"/>
      <c r="C372" s="130"/>
      <c r="D372" s="130"/>
      <c r="E372" s="130"/>
      <c r="F372" s="133"/>
      <c r="G372" s="134"/>
    </row>
    <row r="373">
      <c r="A373" s="130"/>
      <c r="B373" s="131"/>
      <c r="C373" s="130"/>
      <c r="D373" s="130"/>
      <c r="E373" s="130"/>
      <c r="F373" s="133"/>
      <c r="G373" s="134"/>
    </row>
    <row r="374">
      <c r="A374" s="130"/>
      <c r="B374" s="131"/>
      <c r="C374" s="130"/>
      <c r="D374" s="130"/>
      <c r="E374" s="130"/>
      <c r="F374" s="133"/>
      <c r="G374" s="134"/>
    </row>
    <row r="375">
      <c r="A375" s="130"/>
      <c r="B375" s="131"/>
      <c r="C375" s="130"/>
      <c r="D375" s="130"/>
      <c r="E375" s="130"/>
      <c r="F375" s="133"/>
      <c r="G375" s="134"/>
    </row>
    <row r="376">
      <c r="A376" s="130"/>
      <c r="B376" s="131"/>
      <c r="C376" s="130"/>
      <c r="D376" s="130"/>
      <c r="E376" s="130"/>
      <c r="F376" s="133"/>
      <c r="G376" s="134"/>
    </row>
    <row r="377">
      <c r="A377" s="130"/>
      <c r="B377" s="131"/>
      <c r="C377" s="130"/>
      <c r="D377" s="130"/>
      <c r="E377" s="130"/>
      <c r="F377" s="133"/>
      <c r="G377" s="134"/>
    </row>
    <row r="378">
      <c r="A378" s="130"/>
      <c r="B378" s="131"/>
      <c r="C378" s="130"/>
      <c r="D378" s="130"/>
      <c r="E378" s="130"/>
      <c r="F378" s="133"/>
      <c r="G378" s="134"/>
    </row>
    <row r="379">
      <c r="A379" s="130"/>
      <c r="B379" s="131"/>
      <c r="C379" s="130"/>
      <c r="D379" s="130"/>
      <c r="E379" s="130"/>
      <c r="F379" s="133"/>
      <c r="G379" s="134"/>
    </row>
    <row r="380">
      <c r="A380" s="130"/>
      <c r="B380" s="131"/>
      <c r="C380" s="130"/>
      <c r="D380" s="130"/>
      <c r="E380" s="130"/>
      <c r="F380" s="133"/>
      <c r="G380" s="134"/>
    </row>
    <row r="381">
      <c r="A381" s="130"/>
      <c r="B381" s="131"/>
      <c r="C381" s="130"/>
      <c r="D381" s="130"/>
      <c r="E381" s="130"/>
      <c r="F381" s="133"/>
      <c r="G381" s="134"/>
    </row>
    <row r="382">
      <c r="A382" s="130"/>
      <c r="B382" s="131"/>
      <c r="C382" s="130"/>
      <c r="D382" s="130"/>
      <c r="E382" s="130"/>
      <c r="F382" s="133"/>
      <c r="G382" s="134"/>
    </row>
    <row r="383">
      <c r="A383" s="130"/>
      <c r="B383" s="131"/>
      <c r="C383" s="130"/>
      <c r="D383" s="130"/>
      <c r="E383" s="130"/>
      <c r="F383" s="133"/>
      <c r="G383" s="134"/>
    </row>
    <row r="384">
      <c r="A384" s="130"/>
      <c r="B384" s="131"/>
      <c r="C384" s="130"/>
      <c r="D384" s="130"/>
      <c r="E384" s="130"/>
      <c r="F384" s="133"/>
      <c r="G384" s="134"/>
    </row>
    <row r="385">
      <c r="A385" s="130"/>
      <c r="B385" s="131"/>
      <c r="C385" s="130"/>
      <c r="D385" s="130"/>
      <c r="E385" s="130"/>
      <c r="F385" s="133"/>
      <c r="G385" s="134"/>
    </row>
    <row r="386">
      <c r="A386" s="130"/>
      <c r="B386" s="131"/>
      <c r="C386" s="130"/>
      <c r="D386" s="130"/>
      <c r="E386" s="130"/>
      <c r="F386" s="133"/>
      <c r="G386" s="134"/>
    </row>
    <row r="387">
      <c r="A387" s="130"/>
      <c r="B387" s="131"/>
      <c r="C387" s="130"/>
      <c r="D387" s="130"/>
      <c r="E387" s="130"/>
      <c r="F387" s="133"/>
      <c r="G387" s="134"/>
    </row>
    <row r="388">
      <c r="A388" s="130"/>
      <c r="B388" s="131"/>
      <c r="C388" s="130"/>
      <c r="D388" s="130"/>
      <c r="E388" s="130"/>
      <c r="F388" s="133"/>
      <c r="G388" s="134"/>
    </row>
    <row r="389">
      <c r="A389" s="130"/>
      <c r="B389" s="131"/>
      <c r="C389" s="130"/>
      <c r="D389" s="130"/>
      <c r="E389" s="130"/>
      <c r="F389" s="133"/>
      <c r="G389" s="134"/>
    </row>
    <row r="390">
      <c r="A390" s="130"/>
      <c r="B390" s="131"/>
      <c r="C390" s="130"/>
      <c r="D390" s="130"/>
      <c r="E390" s="130"/>
      <c r="F390" s="133"/>
      <c r="G390" s="134"/>
    </row>
    <row r="391">
      <c r="A391" s="130"/>
      <c r="B391" s="131"/>
      <c r="C391" s="130"/>
      <c r="D391" s="130"/>
      <c r="E391" s="130"/>
      <c r="F391" s="133"/>
      <c r="G391" s="134"/>
    </row>
    <row r="392">
      <c r="A392" s="130"/>
      <c r="B392" s="131"/>
      <c r="C392" s="130"/>
      <c r="D392" s="130"/>
      <c r="E392" s="130"/>
      <c r="F392" s="133"/>
      <c r="G392" s="134"/>
    </row>
    <row r="393">
      <c r="A393" s="130"/>
      <c r="B393" s="131"/>
      <c r="C393" s="130"/>
      <c r="D393" s="130"/>
      <c r="E393" s="130"/>
      <c r="F393" s="133"/>
      <c r="G393" s="134"/>
    </row>
    <row r="394">
      <c r="A394" s="130"/>
      <c r="B394" s="131"/>
      <c r="C394" s="130"/>
      <c r="D394" s="130"/>
      <c r="E394" s="130"/>
      <c r="F394" s="133"/>
      <c r="G394" s="134"/>
    </row>
    <row r="395">
      <c r="A395" s="130"/>
      <c r="B395" s="131"/>
      <c r="C395" s="130"/>
      <c r="D395" s="130"/>
      <c r="E395" s="130"/>
      <c r="F395" s="133"/>
      <c r="G395" s="134"/>
    </row>
    <row r="396">
      <c r="A396" s="130"/>
      <c r="B396" s="131"/>
      <c r="C396" s="130"/>
      <c r="D396" s="130"/>
      <c r="E396" s="130"/>
      <c r="F396" s="133"/>
      <c r="G396" s="134"/>
    </row>
    <row r="397">
      <c r="A397" s="130"/>
      <c r="B397" s="131"/>
      <c r="C397" s="130"/>
      <c r="D397" s="130"/>
      <c r="E397" s="130"/>
      <c r="F397" s="133"/>
      <c r="G397" s="134"/>
    </row>
    <row r="398">
      <c r="A398" s="130"/>
      <c r="B398" s="131"/>
      <c r="C398" s="130"/>
      <c r="D398" s="130"/>
      <c r="E398" s="130"/>
      <c r="F398" s="133"/>
      <c r="G398" s="134"/>
    </row>
    <row r="399">
      <c r="A399" s="130"/>
      <c r="B399" s="131"/>
      <c r="C399" s="130"/>
      <c r="D399" s="130"/>
      <c r="E399" s="130"/>
      <c r="F399" s="133"/>
      <c r="G399" s="134"/>
    </row>
    <row r="400">
      <c r="A400" s="130"/>
      <c r="B400" s="131"/>
      <c r="C400" s="130"/>
      <c r="D400" s="130"/>
      <c r="E400" s="130"/>
      <c r="F400" s="133"/>
      <c r="G400" s="134"/>
    </row>
    <row r="401">
      <c r="A401" s="130"/>
      <c r="B401" s="131"/>
      <c r="C401" s="130"/>
      <c r="D401" s="130"/>
      <c r="E401" s="130"/>
      <c r="F401" s="133"/>
      <c r="G401" s="134"/>
    </row>
    <row r="402">
      <c r="A402" s="130"/>
      <c r="B402" s="131"/>
      <c r="C402" s="130"/>
      <c r="D402" s="130"/>
      <c r="E402" s="130"/>
      <c r="F402" s="133"/>
      <c r="G402" s="134"/>
    </row>
    <row r="403">
      <c r="A403" s="130"/>
      <c r="B403" s="131"/>
      <c r="C403" s="130"/>
      <c r="D403" s="130"/>
      <c r="E403" s="130"/>
      <c r="F403" s="133"/>
      <c r="G403" s="134"/>
    </row>
    <row r="404">
      <c r="A404" s="130"/>
      <c r="B404" s="131"/>
      <c r="C404" s="130"/>
      <c r="D404" s="130"/>
      <c r="E404" s="130"/>
      <c r="F404" s="133"/>
      <c r="G404" s="134"/>
    </row>
    <row r="405">
      <c r="A405" s="130"/>
      <c r="B405" s="131"/>
      <c r="C405" s="130"/>
      <c r="D405" s="130"/>
      <c r="E405" s="130"/>
      <c r="F405" s="133"/>
      <c r="G405" s="134"/>
    </row>
    <row r="406">
      <c r="A406" s="130"/>
      <c r="B406" s="131"/>
      <c r="C406" s="130"/>
      <c r="D406" s="130"/>
      <c r="E406" s="130"/>
      <c r="F406" s="133"/>
      <c r="G406" s="134"/>
    </row>
    <row r="407">
      <c r="A407" s="130"/>
      <c r="B407" s="131"/>
      <c r="C407" s="130"/>
      <c r="D407" s="130"/>
      <c r="E407" s="130"/>
      <c r="F407" s="133"/>
      <c r="G407" s="134"/>
    </row>
    <row r="408">
      <c r="A408" s="130"/>
      <c r="B408" s="131"/>
      <c r="C408" s="130"/>
      <c r="D408" s="130"/>
      <c r="E408" s="130"/>
      <c r="F408" s="133"/>
      <c r="G408" s="134"/>
    </row>
    <row r="409">
      <c r="A409" s="130"/>
      <c r="B409" s="131"/>
      <c r="C409" s="130"/>
      <c r="D409" s="130"/>
      <c r="E409" s="130"/>
      <c r="F409" s="133"/>
      <c r="G409" s="134"/>
    </row>
    <row r="410">
      <c r="A410" s="130"/>
      <c r="B410" s="131"/>
      <c r="C410" s="130"/>
      <c r="D410" s="130"/>
      <c r="E410" s="130"/>
      <c r="F410" s="133"/>
      <c r="G410" s="134"/>
    </row>
    <row r="411">
      <c r="A411" s="130"/>
      <c r="B411" s="131"/>
      <c r="C411" s="130"/>
      <c r="D411" s="130"/>
      <c r="E411" s="130"/>
      <c r="F411" s="133"/>
      <c r="G411" s="134"/>
    </row>
    <row r="412">
      <c r="A412" s="130"/>
      <c r="B412" s="131"/>
      <c r="C412" s="130"/>
      <c r="D412" s="130"/>
      <c r="E412" s="130"/>
      <c r="F412" s="133"/>
      <c r="G412" s="134"/>
    </row>
    <row r="413">
      <c r="A413" s="130"/>
      <c r="B413" s="131"/>
      <c r="C413" s="130"/>
      <c r="D413" s="130"/>
      <c r="E413" s="130"/>
      <c r="F413" s="133"/>
      <c r="G413" s="134"/>
    </row>
    <row r="414">
      <c r="A414" s="130"/>
      <c r="B414" s="131"/>
      <c r="C414" s="130"/>
      <c r="D414" s="130"/>
      <c r="E414" s="130"/>
      <c r="F414" s="133"/>
      <c r="G414" s="134"/>
    </row>
    <row r="415">
      <c r="A415" s="130"/>
      <c r="B415" s="131"/>
      <c r="C415" s="130"/>
      <c r="D415" s="130"/>
      <c r="E415" s="130"/>
      <c r="F415" s="133"/>
      <c r="G415" s="134"/>
    </row>
    <row r="416">
      <c r="A416" s="130"/>
      <c r="B416" s="131"/>
      <c r="C416" s="130"/>
      <c r="D416" s="130"/>
      <c r="E416" s="130"/>
      <c r="F416" s="133"/>
      <c r="G416" s="134"/>
    </row>
    <row r="417">
      <c r="A417" s="130"/>
      <c r="B417" s="131"/>
      <c r="C417" s="130"/>
      <c r="D417" s="130"/>
      <c r="E417" s="130"/>
      <c r="F417" s="133"/>
      <c r="G417" s="134"/>
    </row>
    <row r="418">
      <c r="A418" s="130"/>
      <c r="B418" s="131"/>
      <c r="C418" s="130"/>
      <c r="D418" s="130"/>
      <c r="E418" s="130"/>
      <c r="F418" s="133"/>
      <c r="G418" s="134"/>
    </row>
    <row r="419">
      <c r="A419" s="130"/>
      <c r="B419" s="131"/>
      <c r="C419" s="130"/>
      <c r="D419" s="130"/>
      <c r="E419" s="130"/>
      <c r="F419" s="133"/>
      <c r="G419" s="134"/>
    </row>
    <row r="420">
      <c r="A420" s="130"/>
      <c r="B420" s="131"/>
      <c r="C420" s="130"/>
      <c r="D420" s="130"/>
      <c r="E420" s="130"/>
      <c r="F420" s="133"/>
      <c r="G420" s="134"/>
    </row>
    <row r="421">
      <c r="A421" s="130"/>
      <c r="B421" s="131"/>
      <c r="C421" s="130"/>
      <c r="D421" s="130"/>
      <c r="E421" s="130"/>
      <c r="F421" s="133"/>
      <c r="G421" s="134"/>
    </row>
    <row r="422">
      <c r="A422" s="130"/>
      <c r="B422" s="131"/>
      <c r="C422" s="130"/>
      <c r="D422" s="130"/>
      <c r="E422" s="130"/>
      <c r="F422" s="133"/>
      <c r="G422" s="134"/>
    </row>
    <row r="423">
      <c r="A423" s="130"/>
      <c r="B423" s="131"/>
      <c r="C423" s="130"/>
      <c r="D423" s="130"/>
      <c r="E423" s="130"/>
      <c r="F423" s="133"/>
      <c r="G423" s="134"/>
    </row>
    <row r="424">
      <c r="A424" s="130"/>
      <c r="B424" s="131"/>
      <c r="C424" s="130"/>
      <c r="D424" s="130"/>
      <c r="E424" s="130"/>
      <c r="F424" s="133"/>
      <c r="G424" s="134"/>
    </row>
    <row r="425">
      <c r="A425" s="130"/>
      <c r="B425" s="131"/>
      <c r="C425" s="130"/>
      <c r="D425" s="130"/>
      <c r="E425" s="130"/>
      <c r="F425" s="133"/>
      <c r="G425" s="134"/>
    </row>
    <row r="426">
      <c r="A426" s="130"/>
      <c r="B426" s="131"/>
      <c r="C426" s="130"/>
      <c r="D426" s="130"/>
      <c r="E426" s="130"/>
      <c r="F426" s="133"/>
      <c r="G426" s="134"/>
    </row>
    <row r="427">
      <c r="A427" s="130"/>
      <c r="B427" s="131"/>
      <c r="C427" s="130"/>
      <c r="D427" s="130"/>
      <c r="E427" s="130"/>
      <c r="F427" s="133"/>
      <c r="G427" s="134"/>
    </row>
    <row r="428">
      <c r="A428" s="130"/>
      <c r="B428" s="131"/>
      <c r="C428" s="130"/>
      <c r="D428" s="130"/>
      <c r="E428" s="130"/>
      <c r="F428" s="133"/>
      <c r="G428" s="134"/>
    </row>
    <row r="429">
      <c r="A429" s="130"/>
      <c r="B429" s="131"/>
      <c r="C429" s="130"/>
      <c r="D429" s="130"/>
      <c r="E429" s="130"/>
      <c r="F429" s="133"/>
      <c r="G429" s="134"/>
    </row>
    <row r="430">
      <c r="A430" s="130"/>
      <c r="B430" s="131"/>
      <c r="C430" s="130"/>
      <c r="D430" s="130"/>
      <c r="E430" s="130"/>
      <c r="F430" s="133"/>
      <c r="G430" s="134"/>
    </row>
    <row r="431">
      <c r="A431" s="130"/>
      <c r="B431" s="131"/>
      <c r="C431" s="130"/>
      <c r="D431" s="130"/>
      <c r="E431" s="130"/>
      <c r="F431" s="133"/>
      <c r="G431" s="134"/>
    </row>
    <row r="432">
      <c r="A432" s="130"/>
      <c r="B432" s="131"/>
      <c r="C432" s="130"/>
      <c r="D432" s="130"/>
      <c r="E432" s="130"/>
      <c r="F432" s="133"/>
      <c r="G432" s="134"/>
    </row>
    <row r="433">
      <c r="A433" s="130"/>
      <c r="B433" s="131"/>
      <c r="C433" s="130"/>
      <c r="D433" s="130"/>
      <c r="E433" s="130"/>
      <c r="F433" s="133"/>
      <c r="G433" s="134"/>
    </row>
    <row r="434">
      <c r="A434" s="130"/>
      <c r="B434" s="131"/>
      <c r="C434" s="130"/>
      <c r="D434" s="130"/>
      <c r="E434" s="130"/>
      <c r="F434" s="133"/>
      <c r="G434" s="134"/>
    </row>
    <row r="435">
      <c r="A435" s="130"/>
      <c r="B435" s="131"/>
      <c r="C435" s="130"/>
      <c r="D435" s="130"/>
      <c r="E435" s="130"/>
      <c r="F435" s="133"/>
      <c r="G435" s="134"/>
    </row>
    <row r="436">
      <c r="A436" s="130"/>
      <c r="B436" s="131"/>
      <c r="C436" s="130"/>
      <c r="D436" s="130"/>
      <c r="E436" s="130"/>
      <c r="F436" s="133"/>
      <c r="G436" s="134"/>
    </row>
    <row r="437">
      <c r="A437" s="130"/>
      <c r="B437" s="131"/>
      <c r="C437" s="130"/>
      <c r="D437" s="130"/>
      <c r="E437" s="130"/>
      <c r="F437" s="133"/>
      <c r="G437" s="134"/>
    </row>
    <row r="438">
      <c r="A438" s="130"/>
      <c r="B438" s="131"/>
      <c r="C438" s="130"/>
      <c r="D438" s="130"/>
      <c r="E438" s="130"/>
      <c r="F438" s="133"/>
      <c r="G438" s="134"/>
    </row>
    <row r="439">
      <c r="A439" s="130"/>
      <c r="B439" s="131"/>
      <c r="C439" s="130"/>
      <c r="D439" s="130"/>
      <c r="E439" s="130"/>
      <c r="F439" s="133"/>
      <c r="G439" s="134"/>
    </row>
    <row r="440">
      <c r="A440" s="130"/>
      <c r="B440" s="131"/>
      <c r="C440" s="130"/>
      <c r="D440" s="130"/>
      <c r="E440" s="130"/>
      <c r="F440" s="133"/>
      <c r="G440" s="134"/>
    </row>
    <row r="441">
      <c r="A441" s="130"/>
      <c r="B441" s="131"/>
      <c r="C441" s="130"/>
      <c r="D441" s="130"/>
      <c r="E441" s="130"/>
      <c r="F441" s="133"/>
      <c r="G441" s="134"/>
    </row>
    <row r="442">
      <c r="A442" s="130"/>
      <c r="B442" s="131"/>
      <c r="C442" s="130"/>
      <c r="D442" s="130"/>
      <c r="E442" s="130"/>
      <c r="F442" s="133"/>
      <c r="G442" s="134"/>
    </row>
    <row r="443">
      <c r="A443" s="130"/>
      <c r="B443" s="131"/>
      <c r="C443" s="130"/>
      <c r="D443" s="130"/>
      <c r="E443" s="130"/>
      <c r="F443" s="133"/>
      <c r="G443" s="134"/>
    </row>
    <row r="444">
      <c r="A444" s="130"/>
      <c r="B444" s="131"/>
      <c r="C444" s="130"/>
      <c r="D444" s="130"/>
      <c r="E444" s="130"/>
      <c r="F444" s="133"/>
      <c r="G444" s="134"/>
    </row>
    <row r="445">
      <c r="A445" s="130"/>
      <c r="B445" s="131"/>
      <c r="C445" s="130"/>
      <c r="D445" s="130"/>
      <c r="E445" s="130"/>
      <c r="F445" s="133"/>
      <c r="G445" s="134"/>
    </row>
    <row r="446">
      <c r="A446" s="130"/>
      <c r="B446" s="131"/>
      <c r="C446" s="130"/>
      <c r="D446" s="130"/>
      <c r="E446" s="130"/>
      <c r="F446" s="133"/>
      <c r="G446" s="134"/>
    </row>
    <row r="447">
      <c r="A447" s="130"/>
      <c r="B447" s="131"/>
      <c r="C447" s="130"/>
      <c r="D447" s="130"/>
      <c r="E447" s="130"/>
      <c r="F447" s="133"/>
      <c r="G447" s="134"/>
    </row>
    <row r="448">
      <c r="A448" s="130"/>
      <c r="B448" s="131"/>
      <c r="C448" s="130"/>
      <c r="D448" s="130"/>
      <c r="E448" s="130"/>
      <c r="F448" s="133"/>
      <c r="G448" s="134"/>
    </row>
    <row r="449">
      <c r="A449" s="130"/>
      <c r="B449" s="131"/>
      <c r="C449" s="130"/>
      <c r="D449" s="130"/>
      <c r="E449" s="130"/>
      <c r="F449" s="133"/>
      <c r="G449" s="134"/>
    </row>
    <row r="450">
      <c r="A450" s="130"/>
      <c r="B450" s="131"/>
      <c r="C450" s="130"/>
      <c r="D450" s="130"/>
      <c r="E450" s="130"/>
      <c r="F450" s="133"/>
      <c r="G450" s="134"/>
    </row>
    <row r="451">
      <c r="A451" s="130"/>
      <c r="B451" s="131"/>
      <c r="C451" s="130"/>
      <c r="D451" s="130"/>
      <c r="E451" s="130"/>
      <c r="F451" s="133"/>
      <c r="G451" s="134"/>
    </row>
    <row r="452">
      <c r="A452" s="130"/>
      <c r="B452" s="131"/>
      <c r="C452" s="130"/>
      <c r="D452" s="130"/>
      <c r="E452" s="130"/>
      <c r="F452" s="133"/>
      <c r="G452" s="134"/>
    </row>
    <row r="453">
      <c r="A453" s="130"/>
      <c r="B453" s="131"/>
      <c r="C453" s="130"/>
      <c r="D453" s="130"/>
      <c r="E453" s="130"/>
      <c r="F453" s="133"/>
      <c r="G453" s="134"/>
    </row>
    <row r="454">
      <c r="A454" s="130"/>
      <c r="B454" s="131"/>
      <c r="C454" s="130"/>
      <c r="D454" s="130"/>
      <c r="E454" s="130"/>
      <c r="F454" s="133"/>
      <c r="G454" s="134"/>
    </row>
    <row r="455">
      <c r="A455" s="130"/>
      <c r="B455" s="131"/>
      <c r="C455" s="130"/>
      <c r="D455" s="130"/>
      <c r="E455" s="130"/>
      <c r="F455" s="133"/>
      <c r="G455" s="134"/>
    </row>
    <row r="456">
      <c r="A456" s="130"/>
      <c r="B456" s="131"/>
      <c r="C456" s="130"/>
      <c r="D456" s="130"/>
      <c r="E456" s="130"/>
      <c r="F456" s="133"/>
      <c r="G456" s="134"/>
    </row>
    <row r="457">
      <c r="A457" s="130"/>
      <c r="B457" s="131"/>
      <c r="C457" s="130"/>
      <c r="D457" s="130"/>
      <c r="E457" s="130"/>
      <c r="F457" s="133"/>
      <c r="G457" s="134"/>
    </row>
    <row r="458">
      <c r="A458" s="130"/>
      <c r="B458" s="131"/>
      <c r="C458" s="130"/>
      <c r="D458" s="130"/>
      <c r="E458" s="130"/>
      <c r="F458" s="133"/>
      <c r="G458" s="134"/>
    </row>
    <row r="459">
      <c r="A459" s="130"/>
      <c r="B459" s="131"/>
      <c r="C459" s="130"/>
      <c r="D459" s="130"/>
      <c r="E459" s="130"/>
      <c r="F459" s="133"/>
      <c r="G459" s="134"/>
    </row>
    <row r="460">
      <c r="A460" s="130"/>
      <c r="B460" s="131"/>
      <c r="C460" s="130"/>
      <c r="D460" s="130"/>
      <c r="E460" s="130"/>
      <c r="F460" s="133"/>
      <c r="G460" s="134"/>
    </row>
    <row r="461">
      <c r="A461" s="130"/>
      <c r="B461" s="131"/>
      <c r="C461" s="130"/>
      <c r="D461" s="130"/>
      <c r="E461" s="130"/>
      <c r="F461" s="133"/>
      <c r="G461" s="134"/>
    </row>
    <row r="462">
      <c r="A462" s="130"/>
      <c r="B462" s="131"/>
      <c r="C462" s="130"/>
      <c r="D462" s="130"/>
      <c r="E462" s="130"/>
      <c r="F462" s="133"/>
      <c r="G462" s="134"/>
    </row>
    <row r="463">
      <c r="A463" s="130"/>
      <c r="B463" s="131"/>
      <c r="C463" s="130"/>
      <c r="D463" s="130"/>
      <c r="E463" s="130"/>
      <c r="F463" s="133"/>
      <c r="G463" s="134"/>
    </row>
    <row r="464">
      <c r="A464" s="130"/>
      <c r="B464" s="131"/>
      <c r="C464" s="130"/>
      <c r="D464" s="130"/>
      <c r="E464" s="130"/>
      <c r="F464" s="133"/>
      <c r="G464" s="134"/>
    </row>
    <row r="465">
      <c r="A465" s="130"/>
      <c r="B465" s="131"/>
      <c r="C465" s="130"/>
      <c r="D465" s="130"/>
      <c r="E465" s="130"/>
      <c r="F465" s="133"/>
      <c r="G465" s="134"/>
    </row>
    <row r="466">
      <c r="A466" s="130"/>
      <c r="B466" s="131"/>
      <c r="C466" s="130"/>
      <c r="D466" s="130"/>
      <c r="E466" s="130"/>
      <c r="F466" s="133"/>
      <c r="G466" s="134"/>
    </row>
    <row r="467">
      <c r="A467" s="130"/>
      <c r="B467" s="131"/>
      <c r="C467" s="130"/>
      <c r="D467" s="130"/>
      <c r="E467" s="130"/>
      <c r="F467" s="133"/>
      <c r="G467" s="134"/>
    </row>
    <row r="468">
      <c r="A468" s="130"/>
      <c r="B468" s="131"/>
      <c r="C468" s="130"/>
      <c r="D468" s="130"/>
      <c r="E468" s="130"/>
      <c r="F468" s="133"/>
      <c r="G468" s="134"/>
    </row>
    <row r="469">
      <c r="A469" s="130"/>
      <c r="B469" s="131"/>
      <c r="C469" s="130"/>
      <c r="D469" s="130"/>
      <c r="E469" s="130"/>
      <c r="F469" s="133"/>
      <c r="G469" s="134"/>
    </row>
    <row r="470">
      <c r="A470" s="130"/>
      <c r="B470" s="131"/>
      <c r="C470" s="130"/>
      <c r="D470" s="130"/>
      <c r="E470" s="130"/>
      <c r="F470" s="133"/>
      <c r="G470" s="134"/>
    </row>
    <row r="471">
      <c r="A471" s="130"/>
      <c r="B471" s="131"/>
      <c r="C471" s="130"/>
      <c r="D471" s="130"/>
      <c r="E471" s="130"/>
      <c r="F471" s="133"/>
      <c r="G471" s="134"/>
    </row>
    <row r="472">
      <c r="A472" s="130"/>
      <c r="B472" s="131"/>
      <c r="C472" s="130"/>
      <c r="D472" s="130"/>
      <c r="E472" s="130"/>
      <c r="F472" s="133"/>
      <c r="G472" s="134"/>
    </row>
    <row r="473">
      <c r="A473" s="130"/>
      <c r="B473" s="131"/>
      <c r="C473" s="130"/>
      <c r="D473" s="130"/>
      <c r="E473" s="130"/>
      <c r="F473" s="133"/>
      <c r="G473" s="134"/>
    </row>
    <row r="474">
      <c r="A474" s="130"/>
      <c r="B474" s="131"/>
      <c r="C474" s="130"/>
      <c r="D474" s="130"/>
      <c r="E474" s="130"/>
      <c r="F474" s="133"/>
      <c r="G474" s="134"/>
    </row>
    <row r="475">
      <c r="A475" s="130"/>
      <c r="B475" s="131"/>
      <c r="C475" s="130"/>
      <c r="D475" s="130"/>
      <c r="E475" s="130"/>
      <c r="F475" s="133"/>
      <c r="G475" s="134"/>
    </row>
    <row r="476">
      <c r="A476" s="130"/>
      <c r="B476" s="131"/>
      <c r="C476" s="130"/>
      <c r="D476" s="130"/>
      <c r="E476" s="130"/>
      <c r="F476" s="133"/>
      <c r="G476" s="134"/>
    </row>
    <row r="477">
      <c r="A477" s="130"/>
      <c r="B477" s="131"/>
      <c r="C477" s="130"/>
      <c r="D477" s="130"/>
      <c r="E477" s="130"/>
      <c r="F477" s="133"/>
      <c r="G477" s="134"/>
    </row>
    <row r="478">
      <c r="A478" s="130"/>
      <c r="B478" s="131"/>
      <c r="C478" s="130"/>
      <c r="D478" s="130"/>
      <c r="E478" s="130"/>
      <c r="F478" s="133"/>
      <c r="G478" s="134"/>
    </row>
    <row r="479">
      <c r="A479" s="130"/>
      <c r="B479" s="131"/>
      <c r="C479" s="130"/>
      <c r="D479" s="130"/>
      <c r="E479" s="130"/>
      <c r="F479" s="133"/>
      <c r="G479" s="134"/>
    </row>
    <row r="480">
      <c r="A480" s="130"/>
      <c r="B480" s="131"/>
      <c r="C480" s="130"/>
      <c r="D480" s="130"/>
      <c r="E480" s="130"/>
      <c r="F480" s="133"/>
      <c r="G480" s="134"/>
    </row>
    <row r="481">
      <c r="A481" s="130"/>
      <c r="B481" s="131"/>
      <c r="C481" s="130"/>
      <c r="D481" s="130"/>
      <c r="E481" s="130"/>
      <c r="F481" s="133"/>
      <c r="G481" s="134"/>
    </row>
    <row r="482">
      <c r="A482" s="130"/>
      <c r="B482" s="131"/>
      <c r="C482" s="130"/>
      <c r="D482" s="130"/>
      <c r="E482" s="130"/>
      <c r="F482" s="133"/>
      <c r="G482" s="134"/>
    </row>
    <row r="483">
      <c r="A483" s="130"/>
      <c r="B483" s="131"/>
      <c r="C483" s="130"/>
      <c r="D483" s="130"/>
      <c r="E483" s="130"/>
      <c r="F483" s="133"/>
      <c r="G483" s="134"/>
    </row>
    <row r="484">
      <c r="A484" s="130"/>
      <c r="B484" s="131"/>
      <c r="C484" s="130"/>
      <c r="D484" s="130"/>
      <c r="E484" s="130"/>
      <c r="F484" s="133"/>
      <c r="G484" s="134"/>
    </row>
    <row r="485">
      <c r="A485" s="130"/>
      <c r="B485" s="131"/>
      <c r="C485" s="130"/>
      <c r="D485" s="130"/>
      <c r="E485" s="130"/>
      <c r="F485" s="133"/>
      <c r="G485" s="134"/>
    </row>
    <row r="486">
      <c r="A486" s="130"/>
      <c r="B486" s="131"/>
      <c r="C486" s="130"/>
      <c r="D486" s="130"/>
      <c r="E486" s="130"/>
      <c r="F486" s="133"/>
      <c r="G486" s="134"/>
    </row>
    <row r="487">
      <c r="A487" s="130"/>
      <c r="B487" s="131"/>
      <c r="C487" s="130"/>
      <c r="D487" s="130"/>
      <c r="E487" s="130"/>
      <c r="F487" s="133"/>
      <c r="G487" s="134"/>
    </row>
    <row r="488">
      <c r="A488" s="130"/>
      <c r="B488" s="131"/>
      <c r="C488" s="130"/>
      <c r="D488" s="130"/>
      <c r="E488" s="130"/>
      <c r="F488" s="133"/>
      <c r="G488" s="134"/>
    </row>
    <row r="489">
      <c r="A489" s="130"/>
      <c r="B489" s="131"/>
      <c r="C489" s="130"/>
      <c r="D489" s="130"/>
      <c r="E489" s="130"/>
      <c r="F489" s="133"/>
      <c r="G489" s="134"/>
    </row>
    <row r="490">
      <c r="A490" s="130"/>
      <c r="B490" s="131"/>
      <c r="C490" s="130"/>
      <c r="D490" s="130"/>
      <c r="E490" s="130"/>
      <c r="F490" s="133"/>
      <c r="G490" s="134"/>
    </row>
    <row r="491">
      <c r="A491" s="130"/>
      <c r="B491" s="131"/>
      <c r="C491" s="130"/>
      <c r="D491" s="130"/>
      <c r="E491" s="130"/>
      <c r="F491" s="133"/>
      <c r="G491" s="134"/>
    </row>
    <row r="492">
      <c r="A492" s="130"/>
      <c r="B492" s="131"/>
      <c r="C492" s="130"/>
      <c r="D492" s="130"/>
      <c r="E492" s="130"/>
      <c r="F492" s="133"/>
      <c r="G492" s="134"/>
    </row>
    <row r="493">
      <c r="A493" s="130"/>
      <c r="B493" s="131"/>
      <c r="C493" s="130"/>
      <c r="D493" s="130"/>
      <c r="E493" s="130"/>
      <c r="F493" s="133"/>
      <c r="G493" s="134"/>
    </row>
    <row r="494">
      <c r="A494" s="130"/>
      <c r="B494" s="131"/>
      <c r="C494" s="130"/>
      <c r="D494" s="130"/>
      <c r="E494" s="130"/>
      <c r="F494" s="133"/>
      <c r="G494" s="134"/>
    </row>
    <row r="495">
      <c r="A495" s="130"/>
      <c r="B495" s="131"/>
      <c r="C495" s="130"/>
      <c r="D495" s="130"/>
      <c r="E495" s="130"/>
      <c r="F495" s="133"/>
      <c r="G495" s="134"/>
    </row>
    <row r="496">
      <c r="A496" s="130"/>
      <c r="B496" s="131"/>
      <c r="C496" s="130"/>
      <c r="D496" s="130"/>
      <c r="E496" s="130"/>
      <c r="F496" s="133"/>
      <c r="G496" s="134"/>
    </row>
    <row r="497">
      <c r="A497" s="130"/>
      <c r="B497" s="131"/>
      <c r="C497" s="130"/>
      <c r="D497" s="130"/>
      <c r="E497" s="130"/>
      <c r="F497" s="133"/>
      <c r="G497" s="134"/>
    </row>
    <row r="498">
      <c r="A498" s="130"/>
      <c r="B498" s="131"/>
      <c r="C498" s="130"/>
      <c r="D498" s="130"/>
      <c r="E498" s="130"/>
      <c r="F498" s="133"/>
      <c r="G498" s="134"/>
    </row>
    <row r="499">
      <c r="A499" s="130"/>
      <c r="B499" s="131"/>
      <c r="C499" s="130"/>
      <c r="D499" s="130"/>
      <c r="E499" s="130"/>
      <c r="F499" s="133"/>
      <c r="G499" s="134"/>
    </row>
    <row r="500">
      <c r="A500" s="130"/>
      <c r="B500" s="131"/>
      <c r="C500" s="130"/>
      <c r="D500" s="130"/>
      <c r="E500" s="130"/>
      <c r="F500" s="133"/>
      <c r="G500" s="134"/>
    </row>
    <row r="501">
      <c r="A501" s="130"/>
      <c r="B501" s="131"/>
      <c r="C501" s="130"/>
      <c r="D501" s="130"/>
      <c r="E501" s="130"/>
      <c r="F501" s="133"/>
      <c r="G501" s="134"/>
    </row>
    <row r="502">
      <c r="A502" s="130"/>
      <c r="B502" s="131"/>
      <c r="C502" s="130"/>
      <c r="D502" s="130"/>
      <c r="E502" s="130"/>
      <c r="F502" s="133"/>
      <c r="G502" s="134"/>
    </row>
    <row r="503">
      <c r="A503" s="130"/>
      <c r="B503" s="131"/>
      <c r="C503" s="130"/>
      <c r="D503" s="130"/>
      <c r="E503" s="130"/>
      <c r="F503" s="133"/>
      <c r="G503" s="134"/>
    </row>
    <row r="504">
      <c r="A504" s="130"/>
      <c r="B504" s="131"/>
      <c r="C504" s="130"/>
      <c r="D504" s="130"/>
      <c r="E504" s="130"/>
      <c r="F504" s="133"/>
      <c r="G504" s="134"/>
    </row>
    <row r="505">
      <c r="A505" s="130"/>
      <c r="B505" s="131"/>
      <c r="C505" s="130"/>
      <c r="D505" s="130"/>
      <c r="E505" s="130"/>
      <c r="F505" s="133"/>
      <c r="G505" s="134"/>
    </row>
    <row r="506">
      <c r="A506" s="130"/>
      <c r="B506" s="131"/>
      <c r="C506" s="130"/>
      <c r="D506" s="130"/>
      <c r="E506" s="130"/>
      <c r="F506" s="133"/>
      <c r="G506" s="134"/>
    </row>
    <row r="507">
      <c r="A507" s="130"/>
      <c r="B507" s="131"/>
      <c r="C507" s="130"/>
      <c r="D507" s="130"/>
      <c r="E507" s="130"/>
      <c r="F507" s="133"/>
      <c r="G507" s="134"/>
    </row>
    <row r="508">
      <c r="A508" s="130"/>
      <c r="B508" s="131"/>
      <c r="C508" s="130"/>
      <c r="D508" s="130"/>
      <c r="E508" s="130"/>
      <c r="F508" s="133"/>
      <c r="G508" s="134"/>
    </row>
    <row r="509">
      <c r="A509" s="130"/>
      <c r="B509" s="131"/>
      <c r="C509" s="130"/>
      <c r="D509" s="130"/>
      <c r="E509" s="130"/>
      <c r="F509" s="133"/>
      <c r="G509" s="134"/>
    </row>
    <row r="510">
      <c r="A510" s="130"/>
      <c r="B510" s="131"/>
      <c r="C510" s="130"/>
      <c r="D510" s="130"/>
      <c r="E510" s="130"/>
      <c r="F510" s="133"/>
      <c r="G510" s="134"/>
    </row>
    <row r="511">
      <c r="A511" s="130"/>
      <c r="B511" s="131"/>
      <c r="C511" s="130"/>
      <c r="D511" s="130"/>
      <c r="E511" s="130"/>
      <c r="F511" s="133"/>
      <c r="G511" s="134"/>
    </row>
    <row r="512">
      <c r="A512" s="130"/>
      <c r="B512" s="131"/>
      <c r="C512" s="130"/>
      <c r="D512" s="130"/>
      <c r="E512" s="130"/>
      <c r="F512" s="133"/>
      <c r="G512" s="134"/>
    </row>
    <row r="513">
      <c r="A513" s="130"/>
      <c r="B513" s="131"/>
      <c r="C513" s="130"/>
      <c r="D513" s="130"/>
      <c r="E513" s="130"/>
      <c r="F513" s="133"/>
      <c r="G513" s="134"/>
    </row>
    <row r="514">
      <c r="A514" s="130"/>
      <c r="B514" s="131"/>
      <c r="C514" s="130"/>
      <c r="D514" s="130"/>
      <c r="E514" s="130"/>
      <c r="F514" s="133"/>
      <c r="G514" s="134"/>
    </row>
    <row r="515">
      <c r="A515" s="130"/>
      <c r="B515" s="131"/>
      <c r="C515" s="130"/>
      <c r="D515" s="130"/>
      <c r="E515" s="130"/>
      <c r="F515" s="133"/>
      <c r="G515" s="134"/>
    </row>
    <row r="516">
      <c r="A516" s="130"/>
      <c r="B516" s="131"/>
      <c r="C516" s="130"/>
      <c r="D516" s="130"/>
      <c r="E516" s="130"/>
      <c r="F516" s="133"/>
      <c r="G516" s="134"/>
    </row>
    <row r="517">
      <c r="A517" s="130"/>
      <c r="B517" s="131"/>
      <c r="C517" s="130"/>
      <c r="D517" s="130"/>
      <c r="E517" s="130"/>
      <c r="F517" s="133"/>
      <c r="G517" s="134"/>
    </row>
    <row r="518">
      <c r="A518" s="130"/>
      <c r="B518" s="131"/>
      <c r="C518" s="130"/>
      <c r="D518" s="130"/>
      <c r="E518" s="130"/>
      <c r="F518" s="133"/>
      <c r="G518" s="134"/>
    </row>
    <row r="519">
      <c r="A519" s="130"/>
      <c r="B519" s="131"/>
      <c r="C519" s="130"/>
      <c r="D519" s="130"/>
      <c r="E519" s="130"/>
      <c r="F519" s="133"/>
      <c r="G519" s="134"/>
    </row>
    <row r="520">
      <c r="A520" s="130"/>
      <c r="B520" s="131"/>
      <c r="C520" s="130"/>
      <c r="D520" s="130"/>
      <c r="E520" s="130"/>
      <c r="F520" s="133"/>
      <c r="G520" s="134"/>
    </row>
    <row r="521">
      <c r="A521" s="130"/>
      <c r="B521" s="131"/>
      <c r="C521" s="130"/>
      <c r="D521" s="130"/>
      <c r="E521" s="130"/>
      <c r="F521" s="133"/>
      <c r="G521" s="134"/>
    </row>
    <row r="522">
      <c r="A522" s="130"/>
      <c r="B522" s="131"/>
      <c r="C522" s="130"/>
      <c r="D522" s="130"/>
      <c r="E522" s="130"/>
      <c r="F522" s="133"/>
      <c r="G522" s="134"/>
    </row>
    <row r="523">
      <c r="A523" s="130"/>
      <c r="B523" s="131"/>
      <c r="C523" s="130"/>
      <c r="D523" s="130"/>
      <c r="E523" s="130"/>
      <c r="F523" s="133"/>
      <c r="G523" s="134"/>
    </row>
    <row r="524">
      <c r="A524" s="130"/>
      <c r="B524" s="131"/>
      <c r="C524" s="130"/>
      <c r="D524" s="130"/>
      <c r="E524" s="130"/>
      <c r="F524" s="133"/>
      <c r="G524" s="134"/>
    </row>
    <row r="525">
      <c r="A525" s="130"/>
      <c r="B525" s="131"/>
      <c r="C525" s="130"/>
      <c r="D525" s="130"/>
      <c r="E525" s="130"/>
      <c r="F525" s="133"/>
      <c r="G525" s="134"/>
    </row>
    <row r="526">
      <c r="A526" s="130"/>
      <c r="B526" s="131"/>
      <c r="C526" s="130"/>
      <c r="D526" s="130"/>
      <c r="E526" s="130"/>
      <c r="F526" s="133"/>
      <c r="G526" s="134"/>
    </row>
    <row r="527">
      <c r="A527" s="130"/>
      <c r="B527" s="131"/>
      <c r="C527" s="130"/>
      <c r="D527" s="130"/>
      <c r="E527" s="130"/>
      <c r="F527" s="133"/>
      <c r="G527" s="134"/>
    </row>
    <row r="528">
      <c r="A528" s="130"/>
      <c r="B528" s="131"/>
      <c r="C528" s="130"/>
      <c r="D528" s="130"/>
      <c r="E528" s="130"/>
      <c r="F528" s="133"/>
      <c r="G528" s="134"/>
    </row>
    <row r="529">
      <c r="A529" s="130"/>
      <c r="B529" s="131"/>
      <c r="C529" s="130"/>
      <c r="D529" s="130"/>
      <c r="E529" s="130"/>
      <c r="F529" s="133"/>
      <c r="G529" s="134"/>
    </row>
    <row r="530">
      <c r="A530" s="130"/>
      <c r="B530" s="131"/>
      <c r="C530" s="130"/>
      <c r="D530" s="130"/>
      <c r="E530" s="130"/>
      <c r="F530" s="133"/>
      <c r="G530" s="134"/>
    </row>
    <row r="531">
      <c r="A531" s="130"/>
      <c r="B531" s="131"/>
      <c r="C531" s="130"/>
      <c r="D531" s="130"/>
      <c r="E531" s="130"/>
      <c r="F531" s="133"/>
      <c r="G531" s="134"/>
    </row>
    <row r="532">
      <c r="A532" s="130"/>
      <c r="B532" s="131"/>
      <c r="C532" s="130"/>
      <c r="D532" s="130"/>
      <c r="E532" s="130"/>
      <c r="F532" s="133"/>
      <c r="G532" s="134"/>
    </row>
    <row r="533">
      <c r="A533" s="130"/>
      <c r="B533" s="131"/>
      <c r="C533" s="130"/>
      <c r="D533" s="130"/>
      <c r="E533" s="130"/>
      <c r="F533" s="133"/>
      <c r="G533" s="134"/>
    </row>
    <row r="534">
      <c r="A534" s="130"/>
      <c r="B534" s="131"/>
      <c r="C534" s="130"/>
      <c r="D534" s="130"/>
      <c r="E534" s="130"/>
      <c r="F534" s="133"/>
      <c r="G534" s="134"/>
    </row>
    <row r="535">
      <c r="A535" s="130"/>
      <c r="B535" s="131"/>
      <c r="C535" s="130"/>
      <c r="D535" s="130"/>
      <c r="E535" s="130"/>
      <c r="F535" s="133"/>
      <c r="G535" s="134"/>
    </row>
    <row r="536">
      <c r="A536" s="130"/>
      <c r="B536" s="131"/>
      <c r="C536" s="130"/>
      <c r="D536" s="130"/>
      <c r="E536" s="130"/>
      <c r="F536" s="133"/>
      <c r="G536" s="134"/>
    </row>
    <row r="537">
      <c r="A537" s="130"/>
      <c r="B537" s="131"/>
      <c r="C537" s="130"/>
      <c r="D537" s="130"/>
      <c r="E537" s="130"/>
      <c r="F537" s="133"/>
      <c r="G537" s="134"/>
    </row>
    <row r="538">
      <c r="A538" s="130"/>
      <c r="B538" s="131"/>
      <c r="C538" s="130"/>
      <c r="D538" s="130"/>
      <c r="E538" s="130"/>
      <c r="F538" s="133"/>
      <c r="G538" s="134"/>
    </row>
    <row r="539">
      <c r="A539" s="130"/>
      <c r="B539" s="131"/>
      <c r="C539" s="130"/>
      <c r="D539" s="130"/>
      <c r="E539" s="130"/>
      <c r="F539" s="133"/>
      <c r="G539" s="134"/>
    </row>
    <row r="540">
      <c r="A540" s="130"/>
      <c r="B540" s="131"/>
      <c r="C540" s="130"/>
      <c r="D540" s="130"/>
      <c r="E540" s="130"/>
      <c r="F540" s="133"/>
      <c r="G540" s="134"/>
    </row>
    <row r="541">
      <c r="A541" s="130"/>
      <c r="B541" s="131"/>
      <c r="C541" s="130"/>
      <c r="D541" s="130"/>
      <c r="E541" s="130"/>
      <c r="F541" s="133"/>
      <c r="G541" s="134"/>
    </row>
    <row r="542">
      <c r="A542" s="130"/>
      <c r="B542" s="131"/>
      <c r="C542" s="130"/>
      <c r="D542" s="130"/>
      <c r="E542" s="130"/>
      <c r="F542" s="133"/>
      <c r="G542" s="134"/>
    </row>
    <row r="543">
      <c r="A543" s="130"/>
      <c r="B543" s="131"/>
      <c r="C543" s="130"/>
      <c r="D543" s="130"/>
      <c r="E543" s="130"/>
      <c r="F543" s="133"/>
      <c r="G543" s="134"/>
    </row>
    <row r="544">
      <c r="A544" s="130"/>
      <c r="B544" s="131"/>
      <c r="C544" s="130"/>
      <c r="D544" s="130"/>
      <c r="E544" s="130"/>
      <c r="F544" s="133"/>
      <c r="G544" s="134"/>
    </row>
    <row r="545">
      <c r="A545" s="130"/>
      <c r="B545" s="131"/>
      <c r="C545" s="130"/>
      <c r="D545" s="130"/>
      <c r="E545" s="130"/>
      <c r="F545" s="133"/>
      <c r="G545" s="134"/>
    </row>
    <row r="546">
      <c r="A546" s="130"/>
      <c r="B546" s="131"/>
      <c r="C546" s="130"/>
      <c r="D546" s="130"/>
      <c r="E546" s="130"/>
      <c r="F546" s="133"/>
      <c r="G546" s="134"/>
    </row>
    <row r="547">
      <c r="A547" s="130"/>
      <c r="B547" s="131"/>
      <c r="C547" s="130"/>
      <c r="D547" s="130"/>
      <c r="E547" s="130"/>
      <c r="F547" s="133"/>
      <c r="G547" s="134"/>
    </row>
    <row r="548">
      <c r="A548" s="130"/>
      <c r="B548" s="131"/>
      <c r="C548" s="130"/>
      <c r="D548" s="130"/>
      <c r="E548" s="130"/>
      <c r="F548" s="133"/>
      <c r="G548" s="134"/>
    </row>
    <row r="549">
      <c r="A549" s="130"/>
      <c r="B549" s="131"/>
      <c r="C549" s="130"/>
      <c r="D549" s="130"/>
      <c r="E549" s="130"/>
      <c r="F549" s="133"/>
      <c r="G549" s="134"/>
    </row>
    <row r="550">
      <c r="A550" s="130"/>
      <c r="B550" s="131"/>
      <c r="C550" s="130"/>
      <c r="D550" s="130"/>
      <c r="E550" s="130"/>
      <c r="F550" s="133"/>
      <c r="G550" s="134"/>
    </row>
    <row r="551">
      <c r="A551" s="130"/>
      <c r="B551" s="131"/>
      <c r="C551" s="130"/>
      <c r="D551" s="130"/>
      <c r="E551" s="130"/>
      <c r="F551" s="133"/>
      <c r="G551" s="134"/>
    </row>
    <row r="552">
      <c r="A552" s="130"/>
      <c r="B552" s="131"/>
      <c r="C552" s="130"/>
      <c r="D552" s="130"/>
      <c r="E552" s="130"/>
      <c r="F552" s="133"/>
      <c r="G552" s="134"/>
    </row>
    <row r="553">
      <c r="A553" s="130"/>
      <c r="B553" s="131"/>
      <c r="C553" s="130"/>
      <c r="D553" s="130"/>
      <c r="E553" s="130"/>
      <c r="F553" s="133"/>
      <c r="G553" s="134"/>
    </row>
    <row r="554">
      <c r="A554" s="130"/>
      <c r="B554" s="131"/>
      <c r="C554" s="130"/>
      <c r="D554" s="130"/>
      <c r="E554" s="130"/>
      <c r="F554" s="133"/>
      <c r="G554" s="134"/>
    </row>
    <row r="555">
      <c r="A555" s="130"/>
      <c r="B555" s="131"/>
      <c r="C555" s="130"/>
      <c r="D555" s="130"/>
      <c r="E555" s="130"/>
      <c r="F555" s="133"/>
      <c r="G555" s="134"/>
    </row>
    <row r="556">
      <c r="A556" s="130"/>
      <c r="B556" s="131"/>
      <c r="C556" s="130"/>
      <c r="D556" s="130"/>
      <c r="E556" s="130"/>
      <c r="F556" s="133"/>
      <c r="G556" s="134"/>
    </row>
    <row r="557">
      <c r="A557" s="130"/>
      <c r="B557" s="131"/>
      <c r="C557" s="130"/>
      <c r="D557" s="130"/>
      <c r="E557" s="130"/>
      <c r="F557" s="133"/>
      <c r="G557" s="134"/>
    </row>
    <row r="558">
      <c r="A558" s="130"/>
      <c r="B558" s="131"/>
      <c r="C558" s="130"/>
      <c r="D558" s="130"/>
      <c r="E558" s="130"/>
      <c r="F558" s="133"/>
      <c r="G558" s="134"/>
    </row>
    <row r="559">
      <c r="A559" s="130"/>
      <c r="B559" s="131"/>
      <c r="C559" s="130"/>
      <c r="D559" s="130"/>
      <c r="E559" s="130"/>
      <c r="F559" s="133"/>
      <c r="G559" s="134"/>
    </row>
    <row r="560">
      <c r="A560" s="130"/>
      <c r="B560" s="131"/>
      <c r="C560" s="130"/>
      <c r="D560" s="130"/>
      <c r="E560" s="130"/>
      <c r="F560" s="133"/>
      <c r="G560" s="134"/>
    </row>
    <row r="561">
      <c r="A561" s="130"/>
      <c r="B561" s="131"/>
      <c r="C561" s="130"/>
      <c r="D561" s="130"/>
      <c r="E561" s="130"/>
      <c r="F561" s="133"/>
      <c r="G561" s="134"/>
    </row>
    <row r="562">
      <c r="A562" s="130"/>
      <c r="B562" s="131"/>
      <c r="C562" s="130"/>
      <c r="D562" s="130"/>
      <c r="E562" s="130"/>
      <c r="F562" s="133"/>
      <c r="G562" s="134"/>
    </row>
    <row r="563">
      <c r="A563" s="130"/>
      <c r="B563" s="131"/>
      <c r="C563" s="130"/>
      <c r="D563" s="130"/>
      <c r="E563" s="130"/>
      <c r="F563" s="133"/>
      <c r="G563" s="134"/>
    </row>
    <row r="564">
      <c r="A564" s="130"/>
      <c r="B564" s="131"/>
      <c r="C564" s="130"/>
      <c r="D564" s="130"/>
      <c r="E564" s="130"/>
      <c r="F564" s="133"/>
      <c r="G564" s="134"/>
    </row>
    <row r="565">
      <c r="A565" s="130"/>
      <c r="B565" s="131"/>
      <c r="C565" s="130"/>
      <c r="D565" s="130"/>
      <c r="E565" s="130"/>
      <c r="F565" s="133"/>
      <c r="G565" s="134"/>
    </row>
    <row r="566">
      <c r="A566" s="130"/>
      <c r="B566" s="131"/>
      <c r="C566" s="130"/>
      <c r="D566" s="130"/>
      <c r="E566" s="130"/>
      <c r="F566" s="133"/>
      <c r="G566" s="134"/>
    </row>
    <row r="567">
      <c r="A567" s="130"/>
      <c r="B567" s="131"/>
      <c r="C567" s="130"/>
      <c r="D567" s="130"/>
      <c r="E567" s="130"/>
      <c r="F567" s="133"/>
      <c r="G567" s="134"/>
    </row>
    <row r="568">
      <c r="A568" s="130"/>
      <c r="B568" s="131"/>
      <c r="C568" s="130"/>
      <c r="D568" s="130"/>
      <c r="E568" s="130"/>
      <c r="F568" s="133"/>
      <c r="G568" s="134"/>
    </row>
    <row r="569">
      <c r="A569" s="130"/>
      <c r="B569" s="131"/>
      <c r="C569" s="130"/>
      <c r="D569" s="130"/>
      <c r="E569" s="130"/>
      <c r="F569" s="133"/>
      <c r="G569" s="134"/>
    </row>
    <row r="570">
      <c r="A570" s="130"/>
      <c r="B570" s="131"/>
      <c r="C570" s="130"/>
      <c r="D570" s="130"/>
      <c r="E570" s="130"/>
      <c r="F570" s="133"/>
      <c r="G570" s="134"/>
    </row>
    <row r="571">
      <c r="A571" s="130"/>
      <c r="B571" s="131"/>
      <c r="C571" s="130"/>
      <c r="D571" s="130"/>
      <c r="E571" s="130"/>
      <c r="F571" s="133"/>
      <c r="G571" s="134"/>
    </row>
    <row r="572">
      <c r="A572" s="130"/>
      <c r="B572" s="131"/>
      <c r="C572" s="130"/>
      <c r="D572" s="130"/>
      <c r="E572" s="130"/>
      <c r="F572" s="133"/>
      <c r="G572" s="134"/>
    </row>
    <row r="573">
      <c r="A573" s="130"/>
      <c r="B573" s="131"/>
      <c r="C573" s="130"/>
      <c r="D573" s="130"/>
      <c r="E573" s="130"/>
      <c r="F573" s="133"/>
      <c r="G573" s="134"/>
    </row>
    <row r="574">
      <c r="A574" s="130"/>
      <c r="B574" s="131"/>
      <c r="C574" s="130"/>
      <c r="D574" s="130"/>
      <c r="E574" s="130"/>
      <c r="F574" s="133"/>
      <c r="G574" s="134"/>
    </row>
    <row r="575">
      <c r="A575" s="130"/>
      <c r="B575" s="131"/>
      <c r="C575" s="130"/>
      <c r="D575" s="130"/>
      <c r="E575" s="130"/>
      <c r="F575" s="133"/>
      <c r="G575" s="134"/>
    </row>
    <row r="576">
      <c r="A576" s="130"/>
      <c r="B576" s="131"/>
      <c r="C576" s="130"/>
      <c r="D576" s="130"/>
      <c r="E576" s="130"/>
      <c r="F576" s="133"/>
      <c r="G576" s="134"/>
    </row>
    <row r="577">
      <c r="A577" s="130"/>
      <c r="B577" s="131"/>
      <c r="C577" s="130"/>
      <c r="D577" s="130"/>
      <c r="E577" s="130"/>
      <c r="F577" s="133"/>
      <c r="G577" s="134"/>
    </row>
    <row r="578">
      <c r="A578" s="130"/>
      <c r="B578" s="131"/>
      <c r="C578" s="130"/>
      <c r="D578" s="130"/>
      <c r="E578" s="130"/>
      <c r="F578" s="133"/>
      <c r="G578" s="134"/>
    </row>
    <row r="579">
      <c r="A579" s="130"/>
      <c r="B579" s="131"/>
      <c r="C579" s="130"/>
      <c r="D579" s="130"/>
      <c r="E579" s="130"/>
      <c r="F579" s="133"/>
      <c r="G579" s="134"/>
    </row>
    <row r="580">
      <c r="A580" s="130"/>
      <c r="B580" s="131"/>
      <c r="C580" s="130"/>
      <c r="D580" s="130"/>
      <c r="E580" s="130"/>
      <c r="F580" s="133"/>
      <c r="G580" s="134"/>
    </row>
    <row r="581">
      <c r="A581" s="130"/>
      <c r="B581" s="131"/>
      <c r="C581" s="130"/>
      <c r="D581" s="130"/>
      <c r="E581" s="130"/>
      <c r="F581" s="133"/>
      <c r="G581" s="134"/>
    </row>
    <row r="582">
      <c r="A582" s="130"/>
      <c r="B582" s="131"/>
      <c r="C582" s="130"/>
      <c r="D582" s="130"/>
      <c r="E582" s="130"/>
      <c r="F582" s="133"/>
      <c r="G582" s="134"/>
    </row>
    <row r="583">
      <c r="A583" s="130"/>
      <c r="B583" s="131"/>
      <c r="C583" s="130"/>
      <c r="D583" s="130"/>
      <c r="E583" s="130"/>
      <c r="F583" s="133"/>
      <c r="G583" s="134"/>
    </row>
    <row r="584">
      <c r="A584" s="130"/>
      <c r="B584" s="131"/>
      <c r="C584" s="130"/>
      <c r="D584" s="130"/>
      <c r="E584" s="130"/>
      <c r="F584" s="133"/>
      <c r="G584" s="134"/>
    </row>
    <row r="585">
      <c r="A585" s="130"/>
      <c r="B585" s="131"/>
      <c r="C585" s="130"/>
      <c r="D585" s="130"/>
      <c r="E585" s="130"/>
      <c r="F585" s="133"/>
      <c r="G585" s="134"/>
    </row>
    <row r="586">
      <c r="A586" s="130"/>
      <c r="B586" s="131"/>
      <c r="C586" s="130"/>
      <c r="D586" s="130"/>
      <c r="E586" s="130"/>
      <c r="F586" s="133"/>
      <c r="G586" s="134"/>
    </row>
    <row r="587">
      <c r="A587" s="130"/>
      <c r="B587" s="131"/>
      <c r="C587" s="130"/>
      <c r="D587" s="130"/>
      <c r="E587" s="130"/>
      <c r="F587" s="133"/>
      <c r="G587" s="134"/>
    </row>
    <row r="588">
      <c r="A588" s="130"/>
      <c r="B588" s="131"/>
      <c r="C588" s="130"/>
      <c r="D588" s="130"/>
      <c r="E588" s="130"/>
      <c r="F588" s="133"/>
      <c r="G588" s="134"/>
    </row>
    <row r="589">
      <c r="A589" s="130"/>
      <c r="B589" s="131"/>
      <c r="C589" s="130"/>
      <c r="D589" s="130"/>
      <c r="E589" s="130"/>
      <c r="F589" s="133"/>
      <c r="G589" s="134"/>
    </row>
    <row r="590">
      <c r="A590" s="130"/>
      <c r="B590" s="131"/>
      <c r="C590" s="130"/>
      <c r="D590" s="130"/>
      <c r="E590" s="130"/>
      <c r="F590" s="133"/>
      <c r="G590" s="134"/>
    </row>
    <row r="591">
      <c r="A591" s="130"/>
      <c r="B591" s="131"/>
      <c r="C591" s="130"/>
      <c r="D591" s="130"/>
      <c r="E591" s="130"/>
      <c r="F591" s="133"/>
      <c r="G591" s="134"/>
    </row>
    <row r="592">
      <c r="A592" s="130"/>
      <c r="B592" s="131"/>
      <c r="C592" s="130"/>
      <c r="D592" s="130"/>
      <c r="E592" s="130"/>
      <c r="F592" s="133"/>
      <c r="G592" s="134"/>
    </row>
    <row r="593">
      <c r="A593" s="130"/>
      <c r="B593" s="131"/>
      <c r="C593" s="130"/>
      <c r="D593" s="130"/>
      <c r="E593" s="130"/>
      <c r="F593" s="133"/>
      <c r="G593" s="134"/>
    </row>
    <row r="594">
      <c r="A594" s="130"/>
      <c r="B594" s="131"/>
      <c r="C594" s="130"/>
      <c r="D594" s="130"/>
      <c r="E594" s="130"/>
      <c r="F594" s="133"/>
      <c r="G594" s="134"/>
    </row>
    <row r="595">
      <c r="A595" s="130"/>
      <c r="B595" s="131"/>
      <c r="C595" s="130"/>
      <c r="D595" s="130"/>
      <c r="E595" s="130"/>
      <c r="F595" s="133"/>
      <c r="G595" s="134"/>
    </row>
    <row r="596">
      <c r="A596" s="130"/>
      <c r="B596" s="131"/>
      <c r="C596" s="130"/>
      <c r="D596" s="130"/>
      <c r="E596" s="130"/>
      <c r="F596" s="133"/>
      <c r="G596" s="134"/>
    </row>
    <row r="597">
      <c r="A597" s="130"/>
      <c r="B597" s="131"/>
      <c r="C597" s="130"/>
      <c r="D597" s="130"/>
      <c r="E597" s="130"/>
      <c r="F597" s="133"/>
      <c r="G597" s="134"/>
    </row>
    <row r="598">
      <c r="A598" s="130"/>
      <c r="B598" s="131"/>
      <c r="C598" s="130"/>
      <c r="D598" s="130"/>
      <c r="E598" s="130"/>
      <c r="F598" s="133"/>
      <c r="G598" s="134"/>
    </row>
    <row r="599">
      <c r="A599" s="130"/>
      <c r="B599" s="131"/>
      <c r="C599" s="130"/>
      <c r="D599" s="130"/>
      <c r="E599" s="130"/>
      <c r="F599" s="133"/>
      <c r="G599" s="134"/>
    </row>
    <row r="600">
      <c r="A600" s="130"/>
      <c r="B600" s="131"/>
      <c r="C600" s="130"/>
      <c r="D600" s="130"/>
      <c r="E600" s="130"/>
      <c r="F600" s="133"/>
      <c r="G600" s="134"/>
    </row>
    <row r="601">
      <c r="A601" s="130"/>
      <c r="B601" s="131"/>
      <c r="C601" s="130"/>
      <c r="D601" s="130"/>
      <c r="E601" s="130"/>
      <c r="F601" s="133"/>
      <c r="G601" s="134"/>
    </row>
    <row r="602">
      <c r="A602" s="130"/>
      <c r="B602" s="131"/>
      <c r="C602" s="130"/>
      <c r="D602" s="130"/>
      <c r="E602" s="130"/>
      <c r="F602" s="133"/>
      <c r="G602" s="134"/>
    </row>
    <row r="603">
      <c r="A603" s="130"/>
      <c r="B603" s="131"/>
      <c r="C603" s="130"/>
      <c r="D603" s="130"/>
      <c r="E603" s="130"/>
      <c r="F603" s="133"/>
      <c r="G603" s="134"/>
    </row>
    <row r="604">
      <c r="A604" s="130"/>
      <c r="B604" s="131"/>
      <c r="C604" s="130"/>
      <c r="D604" s="130"/>
      <c r="E604" s="130"/>
      <c r="F604" s="133"/>
      <c r="G604" s="134"/>
    </row>
    <row r="605">
      <c r="A605" s="130"/>
      <c r="B605" s="131"/>
      <c r="C605" s="130"/>
      <c r="D605" s="130"/>
      <c r="E605" s="130"/>
      <c r="F605" s="133"/>
      <c r="G605" s="134"/>
    </row>
    <row r="606">
      <c r="A606" s="130"/>
      <c r="B606" s="131"/>
      <c r="C606" s="130"/>
      <c r="D606" s="130"/>
      <c r="E606" s="130"/>
      <c r="F606" s="133"/>
      <c r="G606" s="134"/>
    </row>
    <row r="607">
      <c r="A607" s="130"/>
      <c r="B607" s="131"/>
      <c r="C607" s="130"/>
      <c r="D607" s="130"/>
      <c r="E607" s="130"/>
      <c r="F607" s="133"/>
      <c r="G607" s="134"/>
    </row>
    <row r="608">
      <c r="A608" s="130"/>
      <c r="B608" s="131"/>
      <c r="C608" s="130"/>
      <c r="D608" s="130"/>
      <c r="E608" s="130"/>
      <c r="F608" s="133"/>
      <c r="G608" s="134"/>
    </row>
    <row r="609">
      <c r="A609" s="130"/>
      <c r="B609" s="131"/>
      <c r="C609" s="130"/>
      <c r="D609" s="130"/>
      <c r="E609" s="130"/>
      <c r="F609" s="133"/>
      <c r="G609" s="134"/>
    </row>
    <row r="610">
      <c r="A610" s="130"/>
      <c r="B610" s="131"/>
      <c r="C610" s="130"/>
      <c r="D610" s="130"/>
      <c r="E610" s="130"/>
      <c r="F610" s="133"/>
      <c r="G610" s="134"/>
    </row>
    <row r="611">
      <c r="A611" s="130"/>
      <c r="B611" s="131"/>
      <c r="C611" s="130"/>
      <c r="D611" s="130"/>
      <c r="E611" s="130"/>
      <c r="F611" s="133"/>
      <c r="G611" s="134"/>
    </row>
    <row r="612">
      <c r="A612" s="130"/>
      <c r="B612" s="131"/>
      <c r="C612" s="130"/>
      <c r="D612" s="130"/>
      <c r="E612" s="130"/>
      <c r="F612" s="133"/>
      <c r="G612" s="134"/>
    </row>
    <row r="613">
      <c r="A613" s="130"/>
      <c r="B613" s="131"/>
      <c r="C613" s="130"/>
      <c r="D613" s="130"/>
      <c r="E613" s="130"/>
      <c r="F613" s="133"/>
      <c r="G613" s="134"/>
    </row>
    <row r="614">
      <c r="A614" s="130"/>
      <c r="B614" s="131"/>
      <c r="C614" s="130"/>
      <c r="D614" s="130"/>
      <c r="E614" s="130"/>
      <c r="F614" s="133"/>
      <c r="G614" s="134"/>
    </row>
    <row r="615">
      <c r="A615" s="130"/>
      <c r="B615" s="131"/>
      <c r="C615" s="130"/>
      <c r="D615" s="130"/>
      <c r="E615" s="130"/>
      <c r="F615" s="133"/>
      <c r="G615" s="134"/>
    </row>
    <row r="616">
      <c r="A616" s="130"/>
      <c r="B616" s="131"/>
      <c r="C616" s="130"/>
      <c r="D616" s="130"/>
      <c r="E616" s="130"/>
      <c r="F616" s="133"/>
      <c r="G616" s="134"/>
    </row>
    <row r="617">
      <c r="A617" s="130"/>
      <c r="B617" s="131"/>
      <c r="C617" s="130"/>
      <c r="D617" s="130"/>
      <c r="E617" s="130"/>
      <c r="F617" s="133"/>
      <c r="G617" s="134"/>
    </row>
    <row r="618">
      <c r="A618" s="130"/>
      <c r="B618" s="131"/>
      <c r="C618" s="130"/>
      <c r="D618" s="130"/>
      <c r="E618" s="130"/>
      <c r="F618" s="133"/>
      <c r="G618" s="134"/>
    </row>
    <row r="619">
      <c r="A619" s="130"/>
      <c r="B619" s="131"/>
      <c r="C619" s="130"/>
      <c r="D619" s="130"/>
      <c r="E619" s="130"/>
      <c r="F619" s="133"/>
      <c r="G619" s="134"/>
    </row>
    <row r="620">
      <c r="A620" s="130"/>
      <c r="B620" s="131"/>
      <c r="C620" s="130"/>
      <c r="D620" s="130"/>
      <c r="E620" s="130"/>
      <c r="F620" s="133"/>
      <c r="G620" s="134"/>
    </row>
    <row r="621">
      <c r="A621" s="130"/>
      <c r="B621" s="131"/>
      <c r="C621" s="130"/>
      <c r="D621" s="130"/>
      <c r="E621" s="130"/>
      <c r="F621" s="133"/>
      <c r="G621" s="134"/>
    </row>
    <row r="622">
      <c r="A622" s="130"/>
      <c r="B622" s="131"/>
      <c r="C622" s="130"/>
      <c r="D622" s="130"/>
      <c r="E622" s="130"/>
      <c r="F622" s="133"/>
      <c r="G622" s="134"/>
    </row>
    <row r="623">
      <c r="A623" s="130"/>
      <c r="B623" s="131"/>
      <c r="C623" s="130"/>
      <c r="D623" s="130"/>
      <c r="E623" s="130"/>
      <c r="F623" s="133"/>
      <c r="G623" s="134"/>
    </row>
    <row r="624">
      <c r="A624" s="130"/>
      <c r="B624" s="131"/>
      <c r="C624" s="130"/>
      <c r="D624" s="130"/>
      <c r="E624" s="130"/>
      <c r="F624" s="133"/>
      <c r="G624" s="134"/>
    </row>
    <row r="625">
      <c r="A625" s="130"/>
      <c r="B625" s="131"/>
      <c r="C625" s="130"/>
      <c r="D625" s="130"/>
      <c r="E625" s="130"/>
      <c r="F625" s="133"/>
      <c r="G625" s="134"/>
    </row>
    <row r="626">
      <c r="A626" s="130"/>
      <c r="B626" s="131"/>
      <c r="C626" s="130"/>
      <c r="D626" s="130"/>
      <c r="E626" s="130"/>
      <c r="F626" s="133"/>
      <c r="G626" s="134"/>
    </row>
    <row r="627">
      <c r="A627" s="130"/>
      <c r="B627" s="131"/>
      <c r="C627" s="130"/>
      <c r="D627" s="130"/>
      <c r="E627" s="130"/>
      <c r="F627" s="133"/>
      <c r="G627" s="134"/>
    </row>
    <row r="628">
      <c r="A628" s="130"/>
      <c r="B628" s="131"/>
      <c r="C628" s="130"/>
      <c r="D628" s="130"/>
      <c r="E628" s="130"/>
      <c r="F628" s="133"/>
      <c r="G628" s="134"/>
    </row>
    <row r="629">
      <c r="A629" s="130"/>
      <c r="B629" s="131"/>
      <c r="C629" s="130"/>
      <c r="D629" s="130"/>
      <c r="E629" s="130"/>
      <c r="F629" s="133"/>
      <c r="G629" s="134"/>
    </row>
    <row r="630">
      <c r="A630" s="130"/>
      <c r="B630" s="131"/>
      <c r="C630" s="130"/>
      <c r="D630" s="130"/>
      <c r="E630" s="130"/>
      <c r="F630" s="133"/>
      <c r="G630" s="134"/>
    </row>
    <row r="631">
      <c r="A631" s="130"/>
      <c r="B631" s="131"/>
      <c r="C631" s="130"/>
      <c r="D631" s="130"/>
      <c r="E631" s="130"/>
      <c r="F631" s="133"/>
      <c r="G631" s="134"/>
    </row>
    <row r="632">
      <c r="A632" s="130"/>
      <c r="B632" s="131"/>
      <c r="C632" s="130"/>
      <c r="D632" s="130"/>
      <c r="E632" s="130"/>
      <c r="F632" s="133"/>
      <c r="G632" s="134"/>
    </row>
    <row r="633">
      <c r="A633" s="130"/>
      <c r="B633" s="131"/>
      <c r="C633" s="130"/>
      <c r="D633" s="130"/>
      <c r="E633" s="130"/>
      <c r="F633" s="133"/>
      <c r="G633" s="134"/>
    </row>
    <row r="634">
      <c r="A634" s="130"/>
      <c r="B634" s="131"/>
      <c r="C634" s="130"/>
      <c r="D634" s="130"/>
      <c r="E634" s="130"/>
      <c r="F634" s="133"/>
      <c r="G634" s="134"/>
    </row>
    <row r="635">
      <c r="A635" s="130"/>
      <c r="B635" s="131"/>
      <c r="C635" s="130"/>
      <c r="D635" s="130"/>
      <c r="E635" s="130"/>
      <c r="F635" s="133"/>
      <c r="G635" s="134"/>
    </row>
    <row r="636">
      <c r="A636" s="130"/>
      <c r="B636" s="131"/>
      <c r="C636" s="130"/>
      <c r="D636" s="130"/>
      <c r="E636" s="130"/>
      <c r="F636" s="133"/>
      <c r="G636" s="134"/>
    </row>
    <row r="637">
      <c r="A637" s="130"/>
      <c r="B637" s="131"/>
      <c r="C637" s="130"/>
      <c r="D637" s="130"/>
      <c r="E637" s="130"/>
      <c r="F637" s="133"/>
      <c r="G637" s="134"/>
    </row>
    <row r="638">
      <c r="A638" s="130"/>
      <c r="B638" s="131"/>
      <c r="C638" s="130"/>
      <c r="D638" s="130"/>
      <c r="E638" s="130"/>
      <c r="F638" s="133"/>
      <c r="G638" s="134"/>
    </row>
    <row r="639">
      <c r="A639" s="130"/>
      <c r="B639" s="131"/>
      <c r="C639" s="130"/>
      <c r="D639" s="130"/>
      <c r="E639" s="130"/>
      <c r="F639" s="133"/>
      <c r="G639" s="134"/>
    </row>
    <row r="640">
      <c r="A640" s="130"/>
      <c r="B640" s="131"/>
      <c r="C640" s="130"/>
      <c r="D640" s="130"/>
      <c r="E640" s="130"/>
      <c r="F640" s="133"/>
      <c r="G640" s="134"/>
    </row>
    <row r="641">
      <c r="A641" s="130"/>
      <c r="B641" s="131"/>
      <c r="C641" s="130"/>
      <c r="D641" s="130"/>
      <c r="E641" s="130"/>
      <c r="F641" s="133"/>
      <c r="G641" s="134"/>
    </row>
    <row r="642">
      <c r="A642" s="130"/>
      <c r="B642" s="131"/>
      <c r="C642" s="130"/>
      <c r="D642" s="130"/>
      <c r="E642" s="130"/>
      <c r="F642" s="133"/>
      <c r="G642" s="134"/>
    </row>
    <row r="643">
      <c r="A643" s="130"/>
      <c r="B643" s="131"/>
      <c r="C643" s="130"/>
      <c r="D643" s="130"/>
      <c r="E643" s="130"/>
      <c r="F643" s="133"/>
      <c r="G643" s="134"/>
    </row>
    <row r="644">
      <c r="A644" s="130"/>
      <c r="B644" s="131"/>
      <c r="C644" s="130"/>
      <c r="D644" s="130"/>
      <c r="E644" s="130"/>
      <c r="F644" s="133"/>
      <c r="G644" s="134"/>
    </row>
    <row r="645">
      <c r="A645" s="130"/>
      <c r="B645" s="131"/>
      <c r="C645" s="130"/>
      <c r="D645" s="130"/>
      <c r="E645" s="130"/>
      <c r="F645" s="133"/>
      <c r="G645" s="134"/>
    </row>
    <row r="646">
      <c r="A646" s="130"/>
      <c r="B646" s="131"/>
      <c r="C646" s="130"/>
      <c r="D646" s="130"/>
      <c r="E646" s="130"/>
      <c r="F646" s="133"/>
      <c r="G646" s="134"/>
    </row>
    <row r="647">
      <c r="A647" s="130"/>
      <c r="B647" s="131"/>
      <c r="C647" s="130"/>
      <c r="D647" s="130"/>
      <c r="E647" s="130"/>
      <c r="F647" s="133"/>
      <c r="G647" s="134"/>
    </row>
    <row r="648">
      <c r="A648" s="130"/>
      <c r="B648" s="131"/>
      <c r="C648" s="130"/>
      <c r="D648" s="130"/>
      <c r="E648" s="130"/>
      <c r="F648" s="133"/>
      <c r="G648" s="134"/>
    </row>
    <row r="649">
      <c r="A649" s="130"/>
      <c r="B649" s="131"/>
      <c r="C649" s="130"/>
      <c r="D649" s="130"/>
      <c r="E649" s="130"/>
      <c r="F649" s="133"/>
      <c r="G649" s="134"/>
    </row>
    <row r="650">
      <c r="A650" s="130"/>
      <c r="B650" s="131"/>
      <c r="C650" s="130"/>
      <c r="D650" s="130"/>
      <c r="E650" s="130"/>
      <c r="F650" s="133"/>
      <c r="G650" s="134"/>
    </row>
    <row r="651">
      <c r="A651" s="130"/>
      <c r="B651" s="131"/>
      <c r="C651" s="130"/>
      <c r="D651" s="130"/>
      <c r="E651" s="130"/>
      <c r="F651" s="133"/>
      <c r="G651" s="134"/>
    </row>
    <row r="652">
      <c r="A652" s="130"/>
      <c r="B652" s="131"/>
      <c r="C652" s="130"/>
      <c r="D652" s="130"/>
      <c r="E652" s="130"/>
      <c r="F652" s="133"/>
      <c r="G652" s="134"/>
    </row>
    <row r="653">
      <c r="A653" s="130"/>
      <c r="B653" s="131"/>
      <c r="C653" s="130"/>
      <c r="D653" s="130"/>
      <c r="E653" s="130"/>
      <c r="F653" s="133"/>
      <c r="G653" s="134"/>
    </row>
    <row r="654">
      <c r="A654" s="130"/>
      <c r="B654" s="131"/>
      <c r="C654" s="130"/>
      <c r="D654" s="130"/>
      <c r="E654" s="130"/>
      <c r="F654" s="133"/>
      <c r="G654" s="134"/>
    </row>
    <row r="655">
      <c r="A655" s="130"/>
      <c r="B655" s="131"/>
      <c r="C655" s="130"/>
      <c r="D655" s="130"/>
      <c r="E655" s="130"/>
      <c r="F655" s="133"/>
      <c r="G655" s="134"/>
    </row>
    <row r="656">
      <c r="A656" s="130"/>
      <c r="B656" s="131"/>
      <c r="C656" s="130"/>
      <c r="D656" s="130"/>
      <c r="E656" s="130"/>
      <c r="F656" s="133"/>
      <c r="G656" s="134"/>
    </row>
    <row r="657">
      <c r="A657" s="130"/>
      <c r="B657" s="131"/>
      <c r="C657" s="130"/>
      <c r="D657" s="130"/>
      <c r="E657" s="130"/>
      <c r="F657" s="133"/>
      <c r="G657" s="134"/>
    </row>
    <row r="658">
      <c r="A658" s="130"/>
      <c r="B658" s="131"/>
      <c r="C658" s="130"/>
      <c r="D658" s="130"/>
      <c r="E658" s="130"/>
      <c r="F658" s="133"/>
      <c r="G658" s="134"/>
    </row>
    <row r="659">
      <c r="A659" s="130"/>
      <c r="B659" s="131"/>
      <c r="C659" s="130"/>
      <c r="D659" s="130"/>
      <c r="E659" s="130"/>
      <c r="F659" s="133"/>
      <c r="G659" s="134"/>
    </row>
    <row r="660">
      <c r="A660" s="130"/>
      <c r="B660" s="131"/>
      <c r="C660" s="130"/>
      <c r="D660" s="130"/>
      <c r="E660" s="130"/>
      <c r="F660" s="133"/>
      <c r="G660" s="134"/>
    </row>
    <row r="661">
      <c r="A661" s="130"/>
      <c r="B661" s="131"/>
      <c r="C661" s="130"/>
      <c r="D661" s="130"/>
      <c r="E661" s="130"/>
      <c r="F661" s="133"/>
      <c r="G661" s="134"/>
    </row>
    <row r="662">
      <c r="A662" s="130"/>
      <c r="B662" s="131"/>
      <c r="C662" s="130"/>
      <c r="D662" s="130"/>
      <c r="E662" s="130"/>
      <c r="F662" s="133"/>
      <c r="G662" s="134"/>
    </row>
    <row r="663">
      <c r="A663" s="130"/>
      <c r="B663" s="131"/>
      <c r="C663" s="130"/>
      <c r="D663" s="130"/>
      <c r="E663" s="130"/>
      <c r="F663" s="133"/>
      <c r="G663" s="134"/>
    </row>
    <row r="664">
      <c r="A664" s="130"/>
      <c r="B664" s="131"/>
      <c r="C664" s="130"/>
      <c r="D664" s="130"/>
      <c r="E664" s="130"/>
      <c r="F664" s="133"/>
      <c r="G664" s="134"/>
    </row>
    <row r="665">
      <c r="A665" s="130"/>
      <c r="B665" s="131"/>
      <c r="C665" s="130"/>
      <c r="D665" s="130"/>
      <c r="E665" s="130"/>
      <c r="F665" s="133"/>
      <c r="G665" s="134"/>
    </row>
    <row r="666">
      <c r="A666" s="130"/>
      <c r="B666" s="131"/>
      <c r="C666" s="130"/>
      <c r="D666" s="130"/>
      <c r="E666" s="130"/>
      <c r="F666" s="133"/>
      <c r="G666" s="134"/>
    </row>
    <row r="667">
      <c r="A667" s="130"/>
      <c r="B667" s="131"/>
      <c r="C667" s="130"/>
      <c r="D667" s="130"/>
      <c r="E667" s="130"/>
      <c r="F667" s="133"/>
      <c r="G667" s="134"/>
    </row>
    <row r="668">
      <c r="A668" s="130"/>
      <c r="B668" s="131"/>
      <c r="C668" s="130"/>
      <c r="D668" s="130"/>
      <c r="E668" s="130"/>
      <c r="F668" s="133"/>
      <c r="G668" s="134"/>
    </row>
    <row r="669">
      <c r="A669" s="130"/>
      <c r="B669" s="131"/>
      <c r="C669" s="130"/>
      <c r="D669" s="130"/>
      <c r="E669" s="130"/>
      <c r="F669" s="133"/>
      <c r="G669" s="134"/>
    </row>
    <row r="670">
      <c r="A670" s="130"/>
      <c r="B670" s="131"/>
      <c r="C670" s="130"/>
      <c r="D670" s="130"/>
      <c r="E670" s="130"/>
      <c r="F670" s="133"/>
      <c r="G670" s="134"/>
    </row>
    <row r="671">
      <c r="A671" s="130"/>
      <c r="B671" s="131"/>
      <c r="C671" s="130"/>
      <c r="D671" s="130"/>
      <c r="E671" s="130"/>
      <c r="F671" s="133"/>
      <c r="G671" s="134"/>
    </row>
    <row r="672">
      <c r="A672" s="130"/>
      <c r="B672" s="131"/>
      <c r="C672" s="130"/>
      <c r="D672" s="130"/>
      <c r="E672" s="130"/>
      <c r="F672" s="133"/>
      <c r="G672" s="134"/>
    </row>
    <row r="673">
      <c r="A673" s="130"/>
      <c r="B673" s="131"/>
      <c r="C673" s="130"/>
      <c r="D673" s="130"/>
      <c r="E673" s="130"/>
      <c r="F673" s="133"/>
      <c r="G673" s="134"/>
    </row>
    <row r="674">
      <c r="A674" s="130"/>
      <c r="B674" s="131"/>
      <c r="C674" s="130"/>
      <c r="D674" s="130"/>
      <c r="E674" s="130"/>
      <c r="F674" s="133"/>
      <c r="G674" s="134"/>
    </row>
    <row r="675">
      <c r="A675" s="130"/>
      <c r="B675" s="131"/>
      <c r="C675" s="130"/>
      <c r="D675" s="130"/>
      <c r="E675" s="130"/>
      <c r="F675" s="133"/>
      <c r="G675" s="134"/>
    </row>
    <row r="676">
      <c r="A676" s="130"/>
      <c r="B676" s="131"/>
      <c r="C676" s="130"/>
      <c r="D676" s="130"/>
      <c r="E676" s="130"/>
      <c r="F676" s="133"/>
      <c r="G676" s="134"/>
    </row>
    <row r="677">
      <c r="A677" s="130"/>
      <c r="B677" s="131"/>
      <c r="C677" s="130"/>
      <c r="D677" s="130"/>
      <c r="E677" s="130"/>
      <c r="F677" s="133"/>
      <c r="G677" s="134"/>
    </row>
    <row r="678">
      <c r="A678" s="130"/>
      <c r="B678" s="131"/>
      <c r="C678" s="130"/>
      <c r="D678" s="130"/>
      <c r="E678" s="130"/>
      <c r="F678" s="133"/>
      <c r="G678" s="134"/>
    </row>
    <row r="679">
      <c r="A679" s="130"/>
      <c r="B679" s="131"/>
      <c r="C679" s="130"/>
      <c r="D679" s="130"/>
      <c r="E679" s="130"/>
      <c r="F679" s="133"/>
      <c r="G679" s="134"/>
    </row>
    <row r="680">
      <c r="A680" s="130"/>
      <c r="B680" s="131"/>
      <c r="C680" s="130"/>
      <c r="D680" s="130"/>
      <c r="E680" s="130"/>
      <c r="F680" s="133"/>
      <c r="G680" s="134"/>
    </row>
    <row r="681">
      <c r="A681" s="130"/>
      <c r="B681" s="131"/>
      <c r="C681" s="130"/>
      <c r="D681" s="130"/>
      <c r="E681" s="130"/>
      <c r="F681" s="133"/>
      <c r="G681" s="134"/>
    </row>
    <row r="682">
      <c r="A682" s="130"/>
      <c r="B682" s="131"/>
      <c r="C682" s="130"/>
      <c r="D682" s="130"/>
      <c r="E682" s="130"/>
      <c r="F682" s="133"/>
      <c r="G682" s="134"/>
    </row>
    <row r="683">
      <c r="A683" s="130"/>
      <c r="B683" s="131"/>
      <c r="C683" s="130"/>
      <c r="D683" s="130"/>
      <c r="E683" s="130"/>
      <c r="F683" s="133"/>
      <c r="G683" s="134"/>
    </row>
    <row r="684">
      <c r="A684" s="130"/>
      <c r="B684" s="131"/>
      <c r="C684" s="130"/>
      <c r="D684" s="130"/>
      <c r="E684" s="130"/>
      <c r="F684" s="133"/>
      <c r="G684" s="134"/>
    </row>
    <row r="685">
      <c r="A685" s="130"/>
      <c r="B685" s="131"/>
      <c r="C685" s="130"/>
      <c r="D685" s="130"/>
      <c r="E685" s="130"/>
      <c r="F685" s="133"/>
      <c r="G685" s="134"/>
    </row>
    <row r="686">
      <c r="A686" s="130"/>
      <c r="B686" s="131"/>
      <c r="C686" s="130"/>
      <c r="D686" s="130"/>
      <c r="E686" s="130"/>
      <c r="F686" s="133"/>
      <c r="G686" s="134"/>
    </row>
    <row r="687">
      <c r="A687" s="130"/>
      <c r="B687" s="131"/>
      <c r="C687" s="130"/>
      <c r="D687" s="130"/>
      <c r="E687" s="130"/>
      <c r="F687" s="133"/>
      <c r="G687" s="134"/>
    </row>
    <row r="688">
      <c r="A688" s="130"/>
      <c r="B688" s="131"/>
      <c r="C688" s="130"/>
      <c r="D688" s="130"/>
      <c r="E688" s="130"/>
      <c r="F688" s="133"/>
      <c r="G688" s="134"/>
    </row>
    <row r="689">
      <c r="A689" s="130"/>
      <c r="B689" s="131"/>
      <c r="C689" s="130"/>
      <c r="D689" s="130"/>
      <c r="E689" s="130"/>
      <c r="F689" s="133"/>
      <c r="G689" s="134"/>
    </row>
    <row r="690">
      <c r="A690" s="130"/>
      <c r="B690" s="131"/>
      <c r="C690" s="130"/>
      <c r="D690" s="130"/>
      <c r="E690" s="130"/>
      <c r="F690" s="133"/>
      <c r="G690" s="134"/>
    </row>
    <row r="691">
      <c r="A691" s="130"/>
      <c r="B691" s="131"/>
      <c r="C691" s="130"/>
      <c r="D691" s="130"/>
      <c r="E691" s="130"/>
      <c r="F691" s="133"/>
      <c r="G691" s="134"/>
    </row>
    <row r="692">
      <c r="A692" s="130"/>
      <c r="B692" s="131"/>
      <c r="C692" s="130"/>
      <c r="D692" s="130"/>
      <c r="E692" s="130"/>
      <c r="F692" s="133"/>
      <c r="G692" s="134"/>
    </row>
    <row r="693">
      <c r="A693" s="130"/>
      <c r="B693" s="131"/>
      <c r="C693" s="130"/>
      <c r="D693" s="130"/>
      <c r="E693" s="130"/>
      <c r="F693" s="133"/>
      <c r="G693" s="134"/>
    </row>
    <row r="694">
      <c r="A694" s="130"/>
      <c r="B694" s="131"/>
      <c r="C694" s="130"/>
      <c r="D694" s="130"/>
      <c r="E694" s="130"/>
      <c r="F694" s="133"/>
      <c r="G694" s="134"/>
    </row>
    <row r="695">
      <c r="A695" s="130"/>
      <c r="B695" s="131"/>
      <c r="C695" s="130"/>
      <c r="D695" s="130"/>
      <c r="E695" s="130"/>
      <c r="F695" s="133"/>
      <c r="G695" s="134"/>
    </row>
    <row r="696">
      <c r="A696" s="130"/>
      <c r="B696" s="131"/>
      <c r="C696" s="130"/>
      <c r="D696" s="130"/>
      <c r="E696" s="130"/>
      <c r="F696" s="133"/>
      <c r="G696" s="134"/>
    </row>
    <row r="697">
      <c r="A697" s="130"/>
      <c r="B697" s="131"/>
      <c r="C697" s="130"/>
      <c r="D697" s="130"/>
      <c r="E697" s="130"/>
      <c r="F697" s="133"/>
      <c r="G697" s="134"/>
    </row>
    <row r="698">
      <c r="A698" s="130"/>
      <c r="B698" s="131"/>
      <c r="C698" s="130"/>
      <c r="D698" s="130"/>
      <c r="E698" s="130"/>
      <c r="F698" s="133"/>
      <c r="G698" s="134"/>
    </row>
    <row r="699">
      <c r="A699" s="130"/>
      <c r="B699" s="131"/>
      <c r="C699" s="130"/>
      <c r="D699" s="130"/>
      <c r="E699" s="130"/>
      <c r="F699" s="133"/>
      <c r="G699" s="134"/>
    </row>
    <row r="700">
      <c r="A700" s="130"/>
      <c r="B700" s="131"/>
      <c r="C700" s="130"/>
      <c r="D700" s="130"/>
      <c r="E700" s="130"/>
      <c r="F700" s="133"/>
      <c r="G700" s="134"/>
    </row>
    <row r="701">
      <c r="A701" s="130"/>
      <c r="B701" s="131"/>
      <c r="C701" s="130"/>
      <c r="D701" s="130"/>
      <c r="E701" s="130"/>
      <c r="F701" s="133"/>
      <c r="G701" s="134"/>
    </row>
    <row r="702">
      <c r="A702" s="130"/>
      <c r="B702" s="131"/>
      <c r="C702" s="130"/>
      <c r="D702" s="130"/>
      <c r="E702" s="130"/>
      <c r="F702" s="133"/>
      <c r="G702" s="134"/>
    </row>
    <row r="703">
      <c r="A703" s="130"/>
      <c r="B703" s="131"/>
      <c r="C703" s="130"/>
      <c r="D703" s="130"/>
      <c r="E703" s="130"/>
      <c r="F703" s="133"/>
      <c r="G703" s="134"/>
    </row>
    <row r="704">
      <c r="A704" s="130"/>
      <c r="B704" s="131"/>
      <c r="C704" s="130"/>
      <c r="D704" s="130"/>
      <c r="E704" s="130"/>
      <c r="F704" s="133"/>
      <c r="G704" s="134"/>
    </row>
    <row r="705">
      <c r="A705" s="130"/>
      <c r="B705" s="131"/>
      <c r="C705" s="130"/>
      <c r="D705" s="130"/>
      <c r="E705" s="130"/>
      <c r="F705" s="133"/>
      <c r="G705" s="134"/>
    </row>
    <row r="706">
      <c r="A706" s="130"/>
      <c r="B706" s="131"/>
      <c r="C706" s="130"/>
      <c r="D706" s="130"/>
      <c r="E706" s="130"/>
      <c r="F706" s="133"/>
      <c r="G706" s="134"/>
    </row>
    <row r="707">
      <c r="A707" s="130"/>
      <c r="B707" s="131"/>
      <c r="C707" s="130"/>
      <c r="D707" s="130"/>
      <c r="E707" s="130"/>
      <c r="F707" s="133"/>
      <c r="G707" s="134"/>
    </row>
    <row r="708">
      <c r="A708" s="130"/>
      <c r="B708" s="131"/>
      <c r="C708" s="130"/>
      <c r="D708" s="130"/>
      <c r="E708" s="130"/>
      <c r="F708" s="133"/>
      <c r="G708" s="134"/>
    </row>
    <row r="709">
      <c r="A709" s="130"/>
      <c r="B709" s="131"/>
      <c r="C709" s="130"/>
      <c r="D709" s="130"/>
      <c r="E709" s="130"/>
      <c r="F709" s="133"/>
      <c r="G709" s="134"/>
    </row>
    <row r="710">
      <c r="A710" s="130"/>
      <c r="B710" s="131"/>
      <c r="C710" s="130"/>
      <c r="D710" s="130"/>
      <c r="E710" s="130"/>
      <c r="F710" s="133"/>
      <c r="G710" s="134"/>
    </row>
    <row r="711">
      <c r="A711" s="130"/>
      <c r="B711" s="131"/>
      <c r="C711" s="130"/>
      <c r="D711" s="130"/>
      <c r="E711" s="130"/>
      <c r="F711" s="133"/>
      <c r="G711" s="134"/>
    </row>
    <row r="712">
      <c r="A712" s="130"/>
      <c r="B712" s="131"/>
      <c r="C712" s="130"/>
      <c r="D712" s="130"/>
      <c r="E712" s="130"/>
      <c r="F712" s="133"/>
      <c r="G712" s="134"/>
    </row>
    <row r="713">
      <c r="A713" s="130"/>
      <c r="B713" s="131"/>
      <c r="C713" s="130"/>
      <c r="D713" s="130"/>
      <c r="E713" s="130"/>
      <c r="F713" s="133"/>
      <c r="G713" s="134"/>
    </row>
    <row r="714">
      <c r="A714" s="130"/>
      <c r="B714" s="131"/>
      <c r="C714" s="130"/>
      <c r="D714" s="130"/>
      <c r="E714" s="130"/>
      <c r="F714" s="133"/>
      <c r="G714" s="134"/>
    </row>
    <row r="715">
      <c r="A715" s="130"/>
      <c r="B715" s="131"/>
      <c r="C715" s="130"/>
      <c r="D715" s="130"/>
      <c r="E715" s="130"/>
      <c r="F715" s="133"/>
      <c r="G715" s="134"/>
    </row>
    <row r="716">
      <c r="A716" s="130"/>
      <c r="B716" s="131"/>
      <c r="C716" s="130"/>
      <c r="D716" s="130"/>
      <c r="E716" s="130"/>
      <c r="F716" s="133"/>
      <c r="G716" s="134"/>
    </row>
    <row r="717">
      <c r="A717" s="130"/>
      <c r="B717" s="131"/>
      <c r="C717" s="130"/>
      <c r="D717" s="130"/>
      <c r="E717" s="130"/>
      <c r="F717" s="133"/>
      <c r="G717" s="134"/>
    </row>
    <row r="718">
      <c r="A718" s="130"/>
      <c r="B718" s="131"/>
      <c r="C718" s="130"/>
      <c r="D718" s="130"/>
      <c r="E718" s="130"/>
      <c r="F718" s="133"/>
      <c r="G718" s="134"/>
    </row>
    <row r="719">
      <c r="A719" s="130"/>
      <c r="B719" s="131"/>
      <c r="C719" s="130"/>
      <c r="D719" s="130"/>
      <c r="E719" s="130"/>
      <c r="F719" s="133"/>
      <c r="G719" s="134"/>
    </row>
    <row r="720">
      <c r="A720" s="130"/>
      <c r="B720" s="131"/>
      <c r="C720" s="130"/>
      <c r="D720" s="130"/>
      <c r="E720" s="130"/>
      <c r="F720" s="133"/>
      <c r="G720" s="134"/>
    </row>
    <row r="721">
      <c r="A721" s="130"/>
      <c r="B721" s="131"/>
      <c r="C721" s="130"/>
      <c r="D721" s="130"/>
      <c r="E721" s="130"/>
      <c r="F721" s="133"/>
      <c r="G721" s="134"/>
    </row>
    <row r="722">
      <c r="A722" s="130"/>
      <c r="B722" s="131"/>
      <c r="C722" s="130"/>
      <c r="D722" s="130"/>
      <c r="E722" s="130"/>
      <c r="F722" s="133"/>
      <c r="G722" s="134"/>
    </row>
    <row r="723">
      <c r="A723" s="130"/>
      <c r="B723" s="131"/>
      <c r="C723" s="130"/>
      <c r="D723" s="130"/>
      <c r="E723" s="130"/>
      <c r="F723" s="133"/>
      <c r="G723" s="134"/>
    </row>
    <row r="724">
      <c r="A724" s="130"/>
      <c r="B724" s="131"/>
      <c r="C724" s="130"/>
      <c r="D724" s="130"/>
      <c r="E724" s="130"/>
      <c r="F724" s="133"/>
      <c r="G724" s="134"/>
    </row>
    <row r="725">
      <c r="A725" s="130"/>
      <c r="B725" s="131"/>
      <c r="C725" s="130"/>
      <c r="D725" s="130"/>
      <c r="E725" s="130"/>
      <c r="F725" s="133"/>
      <c r="G725" s="134"/>
    </row>
    <row r="726">
      <c r="A726" s="130"/>
      <c r="B726" s="131"/>
      <c r="C726" s="130"/>
      <c r="D726" s="130"/>
      <c r="E726" s="130"/>
      <c r="F726" s="133"/>
      <c r="G726" s="134"/>
    </row>
    <row r="727">
      <c r="A727" s="130"/>
      <c r="B727" s="131"/>
      <c r="C727" s="130"/>
      <c r="D727" s="130"/>
      <c r="E727" s="130"/>
      <c r="F727" s="133"/>
      <c r="G727" s="134"/>
    </row>
    <row r="728">
      <c r="A728" s="130"/>
      <c r="B728" s="131"/>
      <c r="C728" s="130"/>
      <c r="D728" s="130"/>
      <c r="E728" s="130"/>
      <c r="F728" s="133"/>
      <c r="G728" s="134"/>
    </row>
    <row r="729">
      <c r="A729" s="130"/>
      <c r="B729" s="131"/>
      <c r="C729" s="130"/>
      <c r="D729" s="130"/>
      <c r="E729" s="130"/>
      <c r="F729" s="133"/>
      <c r="G729" s="134"/>
    </row>
    <row r="730">
      <c r="A730" s="130"/>
      <c r="B730" s="131"/>
      <c r="C730" s="130"/>
      <c r="D730" s="130"/>
      <c r="E730" s="130"/>
      <c r="F730" s="133"/>
      <c r="G730" s="134"/>
    </row>
    <row r="731">
      <c r="A731" s="130"/>
      <c r="B731" s="131"/>
      <c r="C731" s="130"/>
      <c r="D731" s="130"/>
      <c r="E731" s="130"/>
      <c r="F731" s="133"/>
      <c r="G731" s="134"/>
    </row>
    <row r="732">
      <c r="A732" s="130"/>
      <c r="B732" s="131"/>
      <c r="C732" s="130"/>
      <c r="D732" s="130"/>
      <c r="E732" s="130"/>
      <c r="F732" s="133"/>
      <c r="G732" s="134"/>
    </row>
    <row r="733">
      <c r="A733" s="130"/>
      <c r="B733" s="131"/>
      <c r="C733" s="130"/>
      <c r="D733" s="130"/>
      <c r="E733" s="130"/>
      <c r="F733" s="133"/>
      <c r="G733" s="134"/>
    </row>
    <row r="734">
      <c r="A734" s="130"/>
      <c r="B734" s="131"/>
      <c r="C734" s="130"/>
      <c r="D734" s="130"/>
      <c r="E734" s="130"/>
      <c r="F734" s="133"/>
      <c r="G734" s="134"/>
    </row>
    <row r="735">
      <c r="A735" s="130"/>
      <c r="B735" s="131"/>
      <c r="C735" s="130"/>
      <c r="D735" s="130"/>
      <c r="E735" s="130"/>
      <c r="F735" s="133"/>
      <c r="G735" s="134"/>
    </row>
    <row r="736">
      <c r="A736" s="130"/>
      <c r="B736" s="131"/>
      <c r="C736" s="130"/>
      <c r="D736" s="130"/>
      <c r="E736" s="130"/>
      <c r="F736" s="133"/>
      <c r="G736" s="134"/>
    </row>
    <row r="737">
      <c r="A737" s="130"/>
      <c r="B737" s="131"/>
      <c r="C737" s="130"/>
      <c r="D737" s="130"/>
      <c r="E737" s="130"/>
      <c r="F737" s="133"/>
      <c r="G737" s="134"/>
    </row>
    <row r="738">
      <c r="A738" s="130"/>
      <c r="B738" s="131"/>
      <c r="C738" s="130"/>
      <c r="D738" s="130"/>
      <c r="E738" s="130"/>
      <c r="F738" s="133"/>
      <c r="G738" s="134"/>
    </row>
    <row r="739">
      <c r="A739" s="130"/>
      <c r="B739" s="131"/>
      <c r="C739" s="130"/>
      <c r="D739" s="130"/>
      <c r="E739" s="130"/>
      <c r="F739" s="133"/>
      <c r="G739" s="134"/>
    </row>
    <row r="740">
      <c r="A740" s="130"/>
      <c r="B740" s="131"/>
      <c r="C740" s="130"/>
      <c r="D740" s="130"/>
      <c r="E740" s="130"/>
      <c r="F740" s="133"/>
      <c r="G740" s="134"/>
    </row>
    <row r="741">
      <c r="A741" s="130"/>
      <c r="B741" s="131"/>
      <c r="C741" s="130"/>
      <c r="D741" s="130"/>
      <c r="E741" s="130"/>
      <c r="F741" s="133"/>
      <c r="G741" s="134"/>
    </row>
    <row r="742">
      <c r="A742" s="130"/>
      <c r="B742" s="131"/>
      <c r="C742" s="130"/>
      <c r="D742" s="130"/>
      <c r="E742" s="130"/>
      <c r="F742" s="133"/>
      <c r="G742" s="134"/>
    </row>
    <row r="743">
      <c r="A743" s="130"/>
      <c r="B743" s="131"/>
      <c r="C743" s="130"/>
      <c r="D743" s="130"/>
      <c r="E743" s="130"/>
      <c r="F743" s="133"/>
      <c r="G743" s="134"/>
    </row>
    <row r="744">
      <c r="A744" s="130"/>
      <c r="B744" s="131"/>
      <c r="C744" s="130"/>
      <c r="D744" s="130"/>
      <c r="E744" s="130"/>
      <c r="F744" s="133"/>
      <c r="G744" s="134"/>
    </row>
    <row r="745">
      <c r="A745" s="130"/>
      <c r="B745" s="131"/>
      <c r="C745" s="130"/>
      <c r="D745" s="130"/>
      <c r="E745" s="130"/>
      <c r="F745" s="133"/>
      <c r="G745" s="134"/>
    </row>
    <row r="746">
      <c r="A746" s="130"/>
      <c r="B746" s="131"/>
      <c r="C746" s="130"/>
      <c r="D746" s="130"/>
      <c r="E746" s="130"/>
      <c r="F746" s="133"/>
      <c r="G746" s="134"/>
    </row>
    <row r="747">
      <c r="A747" s="130"/>
      <c r="B747" s="131"/>
      <c r="C747" s="130"/>
      <c r="D747" s="130"/>
      <c r="E747" s="130"/>
      <c r="F747" s="133"/>
      <c r="G747" s="134"/>
    </row>
    <row r="748">
      <c r="A748" s="130"/>
      <c r="B748" s="131"/>
      <c r="C748" s="130"/>
      <c r="D748" s="130"/>
      <c r="E748" s="130"/>
      <c r="F748" s="133"/>
      <c r="G748" s="134"/>
    </row>
    <row r="749">
      <c r="A749" s="130"/>
      <c r="B749" s="131"/>
      <c r="C749" s="130"/>
      <c r="D749" s="130"/>
      <c r="E749" s="130"/>
      <c r="F749" s="133"/>
      <c r="G749" s="134"/>
    </row>
    <row r="750">
      <c r="A750" s="130"/>
      <c r="B750" s="131"/>
      <c r="C750" s="130"/>
      <c r="D750" s="130"/>
      <c r="E750" s="130"/>
      <c r="F750" s="133"/>
      <c r="G750" s="134"/>
    </row>
    <row r="751">
      <c r="A751" s="130"/>
      <c r="B751" s="131"/>
      <c r="C751" s="130"/>
      <c r="D751" s="130"/>
      <c r="E751" s="130"/>
      <c r="F751" s="133"/>
      <c r="G751" s="134"/>
    </row>
    <row r="752">
      <c r="A752" s="130"/>
      <c r="B752" s="131"/>
      <c r="C752" s="130"/>
      <c r="D752" s="130"/>
      <c r="E752" s="130"/>
      <c r="F752" s="133"/>
      <c r="G752" s="134"/>
    </row>
    <row r="753">
      <c r="A753" s="130"/>
      <c r="B753" s="131"/>
      <c r="C753" s="130"/>
      <c r="D753" s="130"/>
      <c r="E753" s="130"/>
      <c r="F753" s="133"/>
      <c r="G753" s="134"/>
    </row>
    <row r="754">
      <c r="A754" s="130"/>
      <c r="B754" s="131"/>
      <c r="C754" s="130"/>
      <c r="D754" s="130"/>
      <c r="E754" s="130"/>
      <c r="F754" s="133"/>
      <c r="G754" s="134"/>
    </row>
    <row r="755">
      <c r="A755" s="130"/>
      <c r="B755" s="131"/>
      <c r="C755" s="130"/>
      <c r="D755" s="130"/>
      <c r="E755" s="130"/>
      <c r="F755" s="133"/>
      <c r="G755" s="134"/>
    </row>
    <row r="756">
      <c r="A756" s="130"/>
      <c r="B756" s="131"/>
      <c r="C756" s="130"/>
      <c r="D756" s="130"/>
      <c r="E756" s="130"/>
      <c r="F756" s="133"/>
      <c r="G756" s="134"/>
    </row>
    <row r="757">
      <c r="A757" s="130"/>
      <c r="B757" s="131"/>
      <c r="C757" s="130"/>
      <c r="D757" s="130"/>
      <c r="E757" s="130"/>
      <c r="F757" s="133"/>
      <c r="G757" s="134"/>
    </row>
    <row r="758">
      <c r="A758" s="130"/>
      <c r="B758" s="131"/>
      <c r="C758" s="130"/>
      <c r="D758" s="130"/>
      <c r="E758" s="130"/>
      <c r="F758" s="133"/>
      <c r="G758" s="134"/>
    </row>
    <row r="759">
      <c r="A759" s="130"/>
      <c r="B759" s="131"/>
      <c r="C759" s="130"/>
      <c r="D759" s="130"/>
      <c r="E759" s="130"/>
      <c r="F759" s="133"/>
      <c r="G759" s="134"/>
    </row>
    <row r="760">
      <c r="A760" s="130"/>
      <c r="B760" s="131"/>
      <c r="C760" s="130"/>
      <c r="D760" s="130"/>
      <c r="E760" s="130"/>
      <c r="F760" s="133"/>
      <c r="G760" s="134"/>
    </row>
    <row r="761">
      <c r="A761" s="130"/>
      <c r="B761" s="131"/>
      <c r="C761" s="130"/>
      <c r="D761" s="130"/>
      <c r="E761" s="130"/>
      <c r="F761" s="133"/>
      <c r="G761" s="134"/>
    </row>
    <row r="762">
      <c r="A762" s="130"/>
      <c r="B762" s="131"/>
      <c r="C762" s="130"/>
      <c r="D762" s="130"/>
      <c r="E762" s="130"/>
      <c r="F762" s="133"/>
      <c r="G762" s="134"/>
    </row>
    <row r="763">
      <c r="A763" s="130"/>
      <c r="B763" s="131"/>
      <c r="C763" s="130"/>
      <c r="D763" s="130"/>
      <c r="E763" s="130"/>
      <c r="F763" s="133"/>
      <c r="G763" s="134"/>
    </row>
    <row r="764">
      <c r="A764" s="130"/>
      <c r="B764" s="131"/>
      <c r="C764" s="130"/>
      <c r="D764" s="130"/>
      <c r="E764" s="130"/>
      <c r="F764" s="133"/>
      <c r="G764" s="134"/>
    </row>
    <row r="765">
      <c r="A765" s="130"/>
      <c r="B765" s="131"/>
      <c r="C765" s="130"/>
      <c r="D765" s="130"/>
      <c r="E765" s="130"/>
      <c r="F765" s="133"/>
      <c r="G765" s="134"/>
    </row>
    <row r="766">
      <c r="A766" s="130"/>
      <c r="B766" s="131"/>
      <c r="C766" s="130"/>
      <c r="D766" s="130"/>
      <c r="E766" s="130"/>
      <c r="F766" s="133"/>
      <c r="G766" s="134"/>
    </row>
    <row r="767">
      <c r="A767" s="130"/>
      <c r="B767" s="131"/>
      <c r="C767" s="130"/>
      <c r="D767" s="130"/>
      <c r="E767" s="130"/>
      <c r="F767" s="133"/>
      <c r="G767" s="134"/>
    </row>
    <row r="768">
      <c r="A768" s="130"/>
      <c r="B768" s="131"/>
      <c r="C768" s="130"/>
      <c r="D768" s="130"/>
      <c r="E768" s="130"/>
      <c r="F768" s="133"/>
      <c r="G768" s="134"/>
    </row>
    <row r="769">
      <c r="A769" s="130"/>
      <c r="B769" s="131"/>
      <c r="C769" s="130"/>
      <c r="D769" s="130"/>
      <c r="E769" s="130"/>
      <c r="F769" s="133"/>
      <c r="G769" s="134"/>
    </row>
    <row r="770">
      <c r="A770" s="130"/>
      <c r="B770" s="131"/>
      <c r="C770" s="130"/>
      <c r="D770" s="130"/>
      <c r="E770" s="130"/>
      <c r="F770" s="133"/>
      <c r="G770" s="134"/>
    </row>
    <row r="771">
      <c r="A771" s="130"/>
      <c r="B771" s="131"/>
      <c r="C771" s="130"/>
      <c r="D771" s="130"/>
      <c r="E771" s="130"/>
      <c r="F771" s="133"/>
      <c r="G771" s="134"/>
    </row>
    <row r="772">
      <c r="A772" s="130"/>
      <c r="B772" s="131"/>
      <c r="C772" s="130"/>
      <c r="D772" s="130"/>
      <c r="E772" s="130"/>
      <c r="F772" s="133"/>
      <c r="G772" s="134"/>
    </row>
    <row r="773">
      <c r="A773" s="130"/>
      <c r="B773" s="131"/>
      <c r="C773" s="130"/>
      <c r="D773" s="130"/>
      <c r="E773" s="130"/>
      <c r="F773" s="133"/>
      <c r="G773" s="134"/>
    </row>
    <row r="774">
      <c r="A774" s="130"/>
      <c r="B774" s="131"/>
      <c r="C774" s="130"/>
      <c r="D774" s="130"/>
      <c r="E774" s="130"/>
      <c r="F774" s="133"/>
      <c r="G774" s="134"/>
    </row>
    <row r="775">
      <c r="A775" s="130"/>
      <c r="B775" s="131"/>
      <c r="C775" s="130"/>
      <c r="D775" s="130"/>
      <c r="E775" s="130"/>
      <c r="F775" s="133"/>
      <c r="G775" s="134"/>
    </row>
    <row r="776">
      <c r="A776" s="130"/>
      <c r="B776" s="131"/>
      <c r="C776" s="130"/>
      <c r="D776" s="130"/>
      <c r="E776" s="130"/>
      <c r="F776" s="133"/>
      <c r="G776" s="134"/>
    </row>
    <row r="777">
      <c r="A777" s="130"/>
      <c r="B777" s="131"/>
      <c r="C777" s="130"/>
      <c r="D777" s="130"/>
      <c r="E777" s="130"/>
      <c r="F777" s="133"/>
      <c r="G777" s="134"/>
    </row>
    <row r="778">
      <c r="A778" s="130"/>
      <c r="B778" s="131"/>
      <c r="C778" s="130"/>
      <c r="D778" s="130"/>
      <c r="E778" s="130"/>
      <c r="F778" s="133"/>
      <c r="G778" s="134"/>
    </row>
    <row r="779">
      <c r="A779" s="130"/>
      <c r="B779" s="131"/>
      <c r="C779" s="130"/>
      <c r="D779" s="130"/>
      <c r="E779" s="130"/>
      <c r="F779" s="133"/>
      <c r="G779" s="134"/>
    </row>
    <row r="780">
      <c r="A780" s="130"/>
      <c r="B780" s="131"/>
      <c r="C780" s="130"/>
      <c r="D780" s="130"/>
      <c r="E780" s="130"/>
      <c r="F780" s="133"/>
      <c r="G780" s="134"/>
    </row>
    <row r="781">
      <c r="A781" s="130"/>
      <c r="B781" s="131"/>
      <c r="C781" s="130"/>
      <c r="D781" s="130"/>
      <c r="E781" s="130"/>
      <c r="F781" s="133"/>
      <c r="G781" s="134"/>
    </row>
    <row r="782">
      <c r="A782" s="130"/>
      <c r="B782" s="131"/>
      <c r="C782" s="130"/>
      <c r="D782" s="130"/>
      <c r="E782" s="130"/>
      <c r="F782" s="133"/>
      <c r="G782" s="134"/>
    </row>
    <row r="783">
      <c r="A783" s="130"/>
      <c r="B783" s="131"/>
      <c r="C783" s="130"/>
      <c r="D783" s="130"/>
      <c r="E783" s="130"/>
      <c r="F783" s="133"/>
      <c r="G783" s="134"/>
    </row>
    <row r="784">
      <c r="A784" s="130"/>
      <c r="B784" s="131"/>
      <c r="C784" s="130"/>
      <c r="D784" s="130"/>
      <c r="E784" s="130"/>
      <c r="F784" s="133"/>
      <c r="G784" s="134"/>
    </row>
    <row r="785">
      <c r="A785" s="130"/>
      <c r="B785" s="131"/>
      <c r="C785" s="130"/>
      <c r="D785" s="130"/>
      <c r="E785" s="130"/>
      <c r="F785" s="133"/>
      <c r="G785" s="134"/>
    </row>
    <row r="786">
      <c r="A786" s="130"/>
      <c r="B786" s="131"/>
      <c r="C786" s="130"/>
      <c r="D786" s="130"/>
      <c r="E786" s="130"/>
      <c r="F786" s="133"/>
      <c r="G786" s="134"/>
    </row>
    <row r="787">
      <c r="A787" s="130"/>
      <c r="B787" s="131"/>
      <c r="C787" s="130"/>
      <c r="D787" s="130"/>
      <c r="E787" s="130"/>
      <c r="F787" s="133"/>
      <c r="G787" s="134"/>
    </row>
    <row r="788">
      <c r="A788" s="130"/>
      <c r="B788" s="131"/>
      <c r="C788" s="130"/>
      <c r="D788" s="130"/>
      <c r="E788" s="130"/>
      <c r="F788" s="133"/>
      <c r="G788" s="134"/>
    </row>
    <row r="789">
      <c r="A789" s="130"/>
      <c r="B789" s="131"/>
      <c r="C789" s="130"/>
      <c r="D789" s="130"/>
      <c r="E789" s="130"/>
      <c r="F789" s="133"/>
      <c r="G789" s="134"/>
    </row>
    <row r="790">
      <c r="A790" s="130"/>
      <c r="B790" s="131"/>
      <c r="C790" s="130"/>
      <c r="D790" s="130"/>
      <c r="E790" s="130"/>
      <c r="F790" s="133"/>
      <c r="G790" s="134"/>
    </row>
    <row r="791">
      <c r="A791" s="130"/>
      <c r="B791" s="131"/>
      <c r="C791" s="130"/>
      <c r="D791" s="130"/>
      <c r="E791" s="130"/>
      <c r="F791" s="133"/>
      <c r="G791" s="134"/>
    </row>
    <row r="792">
      <c r="A792" s="130"/>
      <c r="B792" s="131"/>
      <c r="C792" s="130"/>
      <c r="D792" s="130"/>
      <c r="E792" s="130"/>
      <c r="F792" s="133"/>
      <c r="G792" s="134"/>
    </row>
    <row r="793">
      <c r="A793" s="130"/>
      <c r="B793" s="131"/>
      <c r="C793" s="130"/>
      <c r="D793" s="130"/>
      <c r="E793" s="130"/>
      <c r="F793" s="133"/>
      <c r="G793" s="134"/>
    </row>
    <row r="794">
      <c r="A794" s="130"/>
      <c r="B794" s="131"/>
      <c r="C794" s="130"/>
      <c r="D794" s="130"/>
      <c r="E794" s="130"/>
      <c r="F794" s="133"/>
      <c r="G794" s="134"/>
    </row>
    <row r="795">
      <c r="A795" s="130"/>
      <c r="B795" s="131"/>
      <c r="C795" s="130"/>
      <c r="D795" s="130"/>
      <c r="E795" s="130"/>
      <c r="F795" s="133"/>
      <c r="G795" s="134"/>
    </row>
    <row r="796">
      <c r="A796" s="130"/>
      <c r="B796" s="131"/>
      <c r="C796" s="130"/>
      <c r="D796" s="130"/>
      <c r="E796" s="130"/>
      <c r="F796" s="133"/>
      <c r="G796" s="134"/>
    </row>
    <row r="797">
      <c r="A797" s="130"/>
      <c r="B797" s="131"/>
      <c r="C797" s="130"/>
      <c r="D797" s="130"/>
      <c r="E797" s="130"/>
      <c r="F797" s="133"/>
      <c r="G797" s="134"/>
    </row>
    <row r="798">
      <c r="A798" s="130"/>
      <c r="B798" s="131"/>
      <c r="C798" s="130"/>
      <c r="D798" s="130"/>
      <c r="E798" s="130"/>
      <c r="F798" s="133"/>
      <c r="G798" s="134"/>
    </row>
    <row r="799">
      <c r="A799" s="130"/>
      <c r="B799" s="131"/>
      <c r="C799" s="130"/>
      <c r="D799" s="130"/>
      <c r="E799" s="130"/>
      <c r="F799" s="133"/>
      <c r="G799" s="134"/>
    </row>
    <row r="800">
      <c r="A800" s="130"/>
      <c r="B800" s="131"/>
      <c r="C800" s="130"/>
      <c r="D800" s="130"/>
      <c r="E800" s="130"/>
      <c r="F800" s="133"/>
      <c r="G800" s="134"/>
    </row>
    <row r="801">
      <c r="A801" s="130"/>
      <c r="B801" s="131"/>
      <c r="C801" s="130"/>
      <c r="D801" s="130"/>
      <c r="E801" s="130"/>
      <c r="F801" s="133"/>
      <c r="G801" s="134"/>
    </row>
    <row r="802">
      <c r="A802" s="130"/>
      <c r="B802" s="131"/>
      <c r="C802" s="130"/>
      <c r="D802" s="130"/>
      <c r="E802" s="130"/>
      <c r="F802" s="133"/>
      <c r="G802" s="134"/>
    </row>
    <row r="803">
      <c r="A803" s="130"/>
      <c r="B803" s="131"/>
      <c r="C803" s="130"/>
      <c r="D803" s="130"/>
      <c r="E803" s="130"/>
      <c r="F803" s="133"/>
      <c r="G803" s="134"/>
    </row>
    <row r="804">
      <c r="A804" s="130"/>
      <c r="B804" s="131"/>
      <c r="C804" s="130"/>
      <c r="D804" s="130"/>
      <c r="E804" s="130"/>
      <c r="F804" s="133"/>
      <c r="G804" s="134"/>
    </row>
    <row r="805">
      <c r="A805" s="130"/>
      <c r="B805" s="131"/>
      <c r="C805" s="130"/>
      <c r="D805" s="130"/>
      <c r="E805" s="130"/>
      <c r="F805" s="133"/>
      <c r="G805" s="134"/>
    </row>
    <row r="806">
      <c r="A806" s="130"/>
      <c r="B806" s="131"/>
      <c r="C806" s="130"/>
      <c r="D806" s="130"/>
      <c r="E806" s="130"/>
      <c r="F806" s="133"/>
      <c r="G806" s="134"/>
    </row>
    <row r="807">
      <c r="A807" s="130"/>
      <c r="B807" s="131"/>
      <c r="C807" s="130"/>
      <c r="D807" s="130"/>
      <c r="E807" s="130"/>
      <c r="F807" s="133"/>
      <c r="G807" s="134"/>
    </row>
    <row r="808">
      <c r="A808" s="130"/>
      <c r="B808" s="131"/>
      <c r="C808" s="130"/>
      <c r="D808" s="130"/>
      <c r="E808" s="130"/>
      <c r="F808" s="133"/>
      <c r="G808" s="134"/>
    </row>
    <row r="809">
      <c r="A809" s="130"/>
      <c r="B809" s="131"/>
      <c r="C809" s="130"/>
      <c r="D809" s="130"/>
      <c r="E809" s="130"/>
      <c r="F809" s="133"/>
      <c r="G809" s="134"/>
    </row>
    <row r="810">
      <c r="A810" s="130"/>
      <c r="B810" s="131"/>
      <c r="C810" s="130"/>
      <c r="D810" s="130"/>
      <c r="E810" s="130"/>
      <c r="F810" s="133"/>
      <c r="G810" s="134"/>
    </row>
    <row r="811">
      <c r="A811" s="130"/>
      <c r="B811" s="131"/>
      <c r="C811" s="130"/>
      <c r="D811" s="130"/>
      <c r="E811" s="130"/>
      <c r="F811" s="133"/>
      <c r="G811" s="134"/>
    </row>
    <row r="812">
      <c r="A812" s="130"/>
      <c r="B812" s="131"/>
      <c r="C812" s="130"/>
      <c r="D812" s="130"/>
      <c r="E812" s="130"/>
      <c r="F812" s="133"/>
      <c r="G812" s="134"/>
    </row>
    <row r="813">
      <c r="A813" s="130"/>
      <c r="B813" s="131"/>
      <c r="C813" s="130"/>
      <c r="D813" s="130"/>
      <c r="E813" s="130"/>
      <c r="F813" s="133"/>
      <c r="G813" s="134"/>
    </row>
    <row r="814">
      <c r="A814" s="130"/>
      <c r="B814" s="131"/>
      <c r="C814" s="130"/>
      <c r="D814" s="130"/>
      <c r="E814" s="130"/>
      <c r="F814" s="133"/>
      <c r="G814" s="134"/>
    </row>
    <row r="815">
      <c r="A815" s="130"/>
      <c r="B815" s="131"/>
      <c r="C815" s="130"/>
      <c r="D815" s="130"/>
      <c r="E815" s="130"/>
      <c r="F815" s="133"/>
      <c r="G815" s="134"/>
    </row>
    <row r="816">
      <c r="A816" s="130"/>
      <c r="B816" s="131"/>
      <c r="C816" s="130"/>
      <c r="D816" s="130"/>
      <c r="E816" s="130"/>
      <c r="F816" s="133"/>
      <c r="G816" s="134"/>
    </row>
    <row r="817">
      <c r="A817" s="130"/>
      <c r="B817" s="131"/>
      <c r="C817" s="130"/>
      <c r="D817" s="130"/>
      <c r="E817" s="130"/>
      <c r="F817" s="133"/>
      <c r="G817" s="134"/>
    </row>
    <row r="818">
      <c r="A818" s="130"/>
      <c r="B818" s="131"/>
      <c r="C818" s="130"/>
      <c r="D818" s="130"/>
      <c r="E818" s="130"/>
      <c r="F818" s="133"/>
      <c r="G818" s="134"/>
    </row>
    <row r="819">
      <c r="A819" s="130"/>
      <c r="B819" s="131"/>
      <c r="C819" s="130"/>
      <c r="D819" s="130"/>
      <c r="E819" s="130"/>
      <c r="F819" s="133"/>
      <c r="G819" s="134"/>
    </row>
    <row r="820">
      <c r="A820" s="130"/>
      <c r="B820" s="131"/>
      <c r="C820" s="130"/>
      <c r="D820" s="130"/>
      <c r="E820" s="130"/>
      <c r="F820" s="133"/>
      <c r="G820" s="134"/>
    </row>
    <row r="821">
      <c r="A821" s="130"/>
      <c r="B821" s="131"/>
      <c r="C821" s="130"/>
      <c r="D821" s="130"/>
      <c r="E821" s="130"/>
      <c r="F821" s="133"/>
      <c r="G821" s="134"/>
    </row>
    <row r="822">
      <c r="A822" s="130"/>
      <c r="B822" s="131"/>
      <c r="C822" s="130"/>
      <c r="D822" s="130"/>
      <c r="E822" s="130"/>
      <c r="F822" s="133"/>
      <c r="G822" s="134"/>
    </row>
    <row r="823">
      <c r="A823" s="130"/>
      <c r="B823" s="131"/>
      <c r="C823" s="130"/>
      <c r="D823" s="130"/>
      <c r="E823" s="130"/>
      <c r="F823" s="133"/>
      <c r="G823" s="134"/>
    </row>
    <row r="824">
      <c r="A824" s="130"/>
      <c r="B824" s="131"/>
      <c r="C824" s="130"/>
      <c r="D824" s="130"/>
      <c r="E824" s="130"/>
      <c r="F824" s="133"/>
      <c r="G824" s="134"/>
    </row>
    <row r="825">
      <c r="A825" s="130"/>
      <c r="B825" s="131"/>
      <c r="C825" s="130"/>
      <c r="D825" s="130"/>
      <c r="E825" s="130"/>
      <c r="F825" s="133"/>
      <c r="G825" s="134"/>
    </row>
    <row r="826">
      <c r="A826" s="130"/>
      <c r="B826" s="131"/>
      <c r="C826" s="130"/>
      <c r="D826" s="130"/>
      <c r="E826" s="130"/>
      <c r="F826" s="133"/>
      <c r="G826" s="134"/>
    </row>
    <row r="827">
      <c r="A827" s="130"/>
      <c r="B827" s="131"/>
      <c r="C827" s="130"/>
      <c r="D827" s="130"/>
      <c r="E827" s="130"/>
      <c r="F827" s="133"/>
      <c r="G827" s="134"/>
    </row>
    <row r="828">
      <c r="A828" s="130"/>
      <c r="B828" s="131"/>
      <c r="C828" s="130"/>
      <c r="D828" s="130"/>
      <c r="E828" s="130"/>
      <c r="F828" s="133"/>
      <c r="G828" s="134"/>
    </row>
    <row r="829">
      <c r="A829" s="130"/>
      <c r="B829" s="131"/>
      <c r="C829" s="130"/>
      <c r="D829" s="130"/>
      <c r="E829" s="130"/>
      <c r="F829" s="133"/>
      <c r="G829" s="134"/>
    </row>
    <row r="830">
      <c r="A830" s="130"/>
      <c r="B830" s="131"/>
      <c r="C830" s="130"/>
      <c r="D830" s="130"/>
      <c r="E830" s="130"/>
      <c r="F830" s="133"/>
      <c r="G830" s="134"/>
    </row>
    <row r="831">
      <c r="A831" s="130"/>
      <c r="B831" s="131"/>
      <c r="C831" s="130"/>
      <c r="D831" s="130"/>
      <c r="E831" s="130"/>
      <c r="F831" s="133"/>
      <c r="G831" s="134"/>
    </row>
    <row r="832">
      <c r="A832" s="130"/>
      <c r="B832" s="131"/>
      <c r="C832" s="130"/>
      <c r="D832" s="130"/>
      <c r="E832" s="130"/>
      <c r="F832" s="133"/>
      <c r="G832" s="134"/>
    </row>
    <row r="833">
      <c r="A833" s="130"/>
      <c r="B833" s="131"/>
      <c r="C833" s="130"/>
      <c r="D833" s="130"/>
      <c r="E833" s="130"/>
      <c r="F833" s="133"/>
      <c r="G833" s="134"/>
    </row>
    <row r="834">
      <c r="A834" s="130"/>
      <c r="B834" s="131"/>
      <c r="C834" s="130"/>
      <c r="D834" s="130"/>
      <c r="E834" s="130"/>
      <c r="F834" s="133"/>
      <c r="G834" s="134"/>
    </row>
    <row r="835">
      <c r="A835" s="130"/>
      <c r="B835" s="131"/>
      <c r="C835" s="130"/>
      <c r="D835" s="130"/>
      <c r="E835" s="130"/>
      <c r="F835" s="133"/>
      <c r="G835" s="134"/>
    </row>
    <row r="836">
      <c r="A836" s="130"/>
      <c r="B836" s="131"/>
      <c r="C836" s="130"/>
      <c r="D836" s="130"/>
      <c r="E836" s="130"/>
      <c r="F836" s="133"/>
      <c r="G836" s="134"/>
    </row>
    <row r="837">
      <c r="A837" s="130"/>
      <c r="B837" s="131"/>
      <c r="C837" s="130"/>
      <c r="D837" s="130"/>
      <c r="E837" s="130"/>
      <c r="F837" s="133"/>
      <c r="G837" s="134"/>
    </row>
    <row r="838">
      <c r="A838" s="130"/>
      <c r="B838" s="131"/>
      <c r="C838" s="130"/>
      <c r="D838" s="130"/>
      <c r="E838" s="130"/>
      <c r="F838" s="133"/>
      <c r="G838" s="134"/>
    </row>
    <row r="839">
      <c r="A839" s="130"/>
      <c r="B839" s="131"/>
      <c r="C839" s="130"/>
      <c r="D839" s="130"/>
      <c r="E839" s="130"/>
      <c r="F839" s="133"/>
      <c r="G839" s="134"/>
    </row>
    <row r="840">
      <c r="A840" s="130"/>
      <c r="B840" s="131"/>
      <c r="C840" s="130"/>
      <c r="D840" s="130"/>
      <c r="E840" s="130"/>
      <c r="F840" s="133"/>
      <c r="G840" s="134"/>
    </row>
    <row r="841">
      <c r="A841" s="130"/>
      <c r="B841" s="131"/>
      <c r="C841" s="130"/>
      <c r="D841" s="130"/>
      <c r="E841" s="130"/>
      <c r="F841" s="133"/>
      <c r="G841" s="134"/>
    </row>
    <row r="842">
      <c r="A842" s="130"/>
      <c r="B842" s="131"/>
      <c r="C842" s="130"/>
      <c r="D842" s="130"/>
      <c r="E842" s="130"/>
      <c r="F842" s="133"/>
      <c r="G842" s="134"/>
    </row>
    <row r="843">
      <c r="A843" s="130"/>
      <c r="B843" s="131"/>
      <c r="C843" s="130"/>
      <c r="D843" s="130"/>
      <c r="E843" s="130"/>
      <c r="F843" s="133"/>
      <c r="G843" s="134"/>
    </row>
    <row r="844">
      <c r="A844" s="130"/>
      <c r="B844" s="131"/>
      <c r="C844" s="130"/>
      <c r="D844" s="130"/>
      <c r="E844" s="130"/>
      <c r="F844" s="133"/>
      <c r="G844" s="134"/>
    </row>
    <row r="845">
      <c r="A845" s="130"/>
      <c r="B845" s="131"/>
      <c r="C845" s="130"/>
      <c r="D845" s="130"/>
      <c r="E845" s="130"/>
      <c r="F845" s="133"/>
      <c r="G845" s="134"/>
    </row>
    <row r="846">
      <c r="A846" s="130"/>
      <c r="B846" s="131"/>
      <c r="C846" s="130"/>
      <c r="D846" s="130"/>
      <c r="E846" s="130"/>
      <c r="F846" s="133"/>
      <c r="G846" s="134"/>
    </row>
    <row r="847">
      <c r="A847" s="130"/>
      <c r="B847" s="131"/>
      <c r="C847" s="130"/>
      <c r="D847" s="130"/>
      <c r="E847" s="130"/>
      <c r="F847" s="133"/>
      <c r="G847" s="134"/>
    </row>
    <row r="848">
      <c r="A848" s="130"/>
      <c r="B848" s="131"/>
      <c r="C848" s="130"/>
      <c r="D848" s="130"/>
      <c r="E848" s="130"/>
      <c r="F848" s="133"/>
      <c r="G848" s="134"/>
    </row>
    <row r="849">
      <c r="A849" s="130"/>
      <c r="B849" s="131"/>
      <c r="C849" s="130"/>
      <c r="D849" s="130"/>
      <c r="E849" s="130"/>
      <c r="F849" s="133"/>
      <c r="G849" s="134"/>
    </row>
    <row r="850">
      <c r="A850" s="130"/>
      <c r="B850" s="131"/>
      <c r="C850" s="130"/>
      <c r="D850" s="130"/>
      <c r="E850" s="130"/>
      <c r="F850" s="133"/>
      <c r="G850" s="134"/>
    </row>
    <row r="851">
      <c r="A851" s="130"/>
      <c r="B851" s="131"/>
      <c r="C851" s="130"/>
      <c r="D851" s="130"/>
      <c r="E851" s="130"/>
      <c r="F851" s="133"/>
      <c r="G851" s="134"/>
    </row>
    <row r="852">
      <c r="A852" s="130"/>
      <c r="B852" s="131"/>
      <c r="C852" s="130"/>
      <c r="D852" s="130"/>
      <c r="E852" s="130"/>
      <c r="F852" s="133"/>
      <c r="G852" s="134"/>
    </row>
    <row r="853">
      <c r="A853" s="130"/>
      <c r="B853" s="131"/>
      <c r="C853" s="130"/>
      <c r="D853" s="130"/>
      <c r="E853" s="130"/>
      <c r="F853" s="133"/>
      <c r="G853" s="134"/>
    </row>
    <row r="854">
      <c r="A854" s="130"/>
      <c r="B854" s="131"/>
      <c r="C854" s="130"/>
      <c r="D854" s="130"/>
      <c r="E854" s="130"/>
      <c r="F854" s="133"/>
      <c r="G854" s="134"/>
    </row>
    <row r="855">
      <c r="A855" s="130"/>
      <c r="B855" s="131"/>
      <c r="C855" s="130"/>
      <c r="D855" s="130"/>
      <c r="E855" s="130"/>
      <c r="F855" s="133"/>
      <c r="G855" s="134"/>
    </row>
    <row r="856">
      <c r="A856" s="130"/>
      <c r="B856" s="131"/>
      <c r="C856" s="130"/>
      <c r="D856" s="130"/>
      <c r="E856" s="130"/>
      <c r="F856" s="133"/>
      <c r="G856" s="134"/>
    </row>
    <row r="857">
      <c r="A857" s="130"/>
      <c r="B857" s="131"/>
      <c r="C857" s="130"/>
      <c r="D857" s="130"/>
      <c r="E857" s="130"/>
      <c r="F857" s="133"/>
      <c r="G857" s="134"/>
    </row>
    <row r="858">
      <c r="A858" s="130"/>
      <c r="B858" s="131"/>
      <c r="C858" s="130"/>
      <c r="D858" s="130"/>
      <c r="E858" s="130"/>
      <c r="F858" s="133"/>
      <c r="G858" s="134"/>
    </row>
    <row r="859">
      <c r="A859" s="130"/>
      <c r="B859" s="131"/>
      <c r="C859" s="130"/>
      <c r="D859" s="130"/>
      <c r="E859" s="130"/>
      <c r="F859" s="133"/>
      <c r="G859" s="134"/>
    </row>
    <row r="860">
      <c r="A860" s="130"/>
      <c r="B860" s="131"/>
      <c r="C860" s="130"/>
      <c r="D860" s="130"/>
      <c r="E860" s="130"/>
      <c r="F860" s="133"/>
      <c r="G860" s="134"/>
    </row>
    <row r="861">
      <c r="A861" s="130"/>
      <c r="B861" s="131"/>
      <c r="C861" s="130"/>
      <c r="D861" s="130"/>
      <c r="E861" s="130"/>
      <c r="F861" s="133"/>
      <c r="G861" s="134"/>
    </row>
    <row r="862">
      <c r="A862" s="130"/>
      <c r="B862" s="131"/>
      <c r="C862" s="130"/>
      <c r="D862" s="130"/>
      <c r="E862" s="130"/>
      <c r="F862" s="133"/>
      <c r="G862" s="134"/>
    </row>
    <row r="863">
      <c r="A863" s="130"/>
      <c r="B863" s="131"/>
      <c r="C863" s="130"/>
      <c r="D863" s="130"/>
      <c r="E863" s="130"/>
      <c r="F863" s="133"/>
      <c r="G863" s="134"/>
    </row>
    <row r="864">
      <c r="A864" s="130"/>
      <c r="B864" s="131"/>
      <c r="C864" s="130"/>
      <c r="D864" s="130"/>
      <c r="E864" s="130"/>
      <c r="F864" s="133"/>
      <c r="G864" s="134"/>
    </row>
    <row r="865">
      <c r="A865" s="130"/>
      <c r="B865" s="131"/>
      <c r="C865" s="130"/>
      <c r="D865" s="130"/>
      <c r="E865" s="130"/>
      <c r="F865" s="133"/>
      <c r="G865" s="134"/>
    </row>
    <row r="866">
      <c r="A866" s="130"/>
      <c r="B866" s="131"/>
      <c r="C866" s="130"/>
      <c r="D866" s="130"/>
      <c r="E866" s="130"/>
      <c r="F866" s="133"/>
      <c r="G866" s="134"/>
    </row>
    <row r="867">
      <c r="A867" s="130"/>
      <c r="B867" s="131"/>
      <c r="C867" s="130"/>
      <c r="D867" s="130"/>
      <c r="E867" s="130"/>
      <c r="F867" s="133"/>
      <c r="G867" s="134"/>
    </row>
    <row r="868">
      <c r="A868" s="130"/>
      <c r="B868" s="131"/>
      <c r="C868" s="130"/>
      <c r="D868" s="130"/>
      <c r="E868" s="130"/>
      <c r="F868" s="133"/>
      <c r="G868" s="134"/>
    </row>
    <row r="869">
      <c r="A869" s="130"/>
      <c r="B869" s="131"/>
      <c r="C869" s="130"/>
      <c r="D869" s="130"/>
      <c r="E869" s="130"/>
      <c r="F869" s="133"/>
      <c r="G869" s="134"/>
    </row>
    <row r="870">
      <c r="A870" s="130"/>
      <c r="B870" s="131"/>
      <c r="C870" s="130"/>
      <c r="D870" s="130"/>
      <c r="E870" s="130"/>
      <c r="F870" s="133"/>
      <c r="G870" s="134"/>
    </row>
    <row r="871">
      <c r="A871" s="130"/>
      <c r="B871" s="131"/>
      <c r="C871" s="130"/>
      <c r="D871" s="130"/>
      <c r="E871" s="130"/>
      <c r="F871" s="133"/>
      <c r="G871" s="134"/>
    </row>
    <row r="872">
      <c r="A872" s="130"/>
      <c r="B872" s="131"/>
      <c r="C872" s="130"/>
      <c r="D872" s="130"/>
      <c r="E872" s="130"/>
      <c r="F872" s="133"/>
      <c r="G872" s="134"/>
    </row>
    <row r="873">
      <c r="A873" s="130"/>
      <c r="B873" s="131"/>
      <c r="C873" s="130"/>
      <c r="D873" s="130"/>
      <c r="E873" s="130"/>
      <c r="F873" s="133"/>
      <c r="G873" s="134"/>
    </row>
    <row r="874">
      <c r="A874" s="130"/>
      <c r="B874" s="131"/>
      <c r="C874" s="130"/>
      <c r="D874" s="130"/>
      <c r="E874" s="130"/>
      <c r="F874" s="133"/>
      <c r="G874" s="134"/>
    </row>
    <row r="875">
      <c r="A875" s="130"/>
      <c r="B875" s="131"/>
      <c r="C875" s="130"/>
      <c r="D875" s="130"/>
      <c r="E875" s="130"/>
      <c r="F875" s="133"/>
      <c r="G875" s="134"/>
    </row>
    <row r="876">
      <c r="A876" s="130"/>
      <c r="B876" s="131"/>
      <c r="C876" s="130"/>
      <c r="D876" s="130"/>
      <c r="E876" s="130"/>
      <c r="F876" s="133"/>
      <c r="G876" s="134"/>
    </row>
    <row r="877">
      <c r="A877" s="130"/>
      <c r="B877" s="131"/>
      <c r="C877" s="130"/>
      <c r="D877" s="130"/>
      <c r="E877" s="130"/>
      <c r="F877" s="133"/>
      <c r="G877" s="134"/>
    </row>
    <row r="878">
      <c r="A878" s="130"/>
      <c r="B878" s="131"/>
      <c r="C878" s="130"/>
      <c r="D878" s="130"/>
      <c r="E878" s="130"/>
      <c r="F878" s="133"/>
      <c r="G878" s="134"/>
    </row>
    <row r="879">
      <c r="A879" s="130"/>
      <c r="B879" s="131"/>
      <c r="C879" s="130"/>
      <c r="D879" s="130"/>
      <c r="E879" s="130"/>
      <c r="F879" s="133"/>
      <c r="G879" s="134"/>
    </row>
    <row r="880">
      <c r="A880" s="130"/>
      <c r="B880" s="131"/>
      <c r="C880" s="130"/>
      <c r="D880" s="130"/>
      <c r="E880" s="130"/>
      <c r="F880" s="133"/>
      <c r="G880" s="134"/>
    </row>
    <row r="881">
      <c r="A881" s="130"/>
      <c r="B881" s="131"/>
      <c r="C881" s="130"/>
      <c r="D881" s="130"/>
      <c r="E881" s="130"/>
      <c r="F881" s="133"/>
      <c r="G881" s="134"/>
    </row>
    <row r="882">
      <c r="A882" s="130"/>
      <c r="B882" s="131"/>
      <c r="C882" s="130"/>
      <c r="D882" s="130"/>
      <c r="E882" s="130"/>
      <c r="F882" s="133"/>
      <c r="G882" s="134"/>
    </row>
    <row r="883">
      <c r="A883" s="130"/>
      <c r="B883" s="131"/>
      <c r="C883" s="130"/>
      <c r="D883" s="130"/>
      <c r="E883" s="130"/>
      <c r="F883" s="133"/>
      <c r="G883" s="134"/>
    </row>
    <row r="884">
      <c r="A884" s="130"/>
      <c r="B884" s="131"/>
      <c r="C884" s="130"/>
      <c r="D884" s="130"/>
      <c r="E884" s="130"/>
      <c r="F884" s="133"/>
      <c r="G884" s="134"/>
    </row>
    <row r="885">
      <c r="A885" s="130"/>
      <c r="B885" s="131"/>
      <c r="C885" s="130"/>
      <c r="D885" s="130"/>
      <c r="E885" s="130"/>
      <c r="F885" s="133"/>
      <c r="G885" s="134"/>
    </row>
    <row r="886">
      <c r="A886" s="130"/>
      <c r="B886" s="131"/>
      <c r="C886" s="130"/>
      <c r="D886" s="130"/>
      <c r="E886" s="130"/>
      <c r="F886" s="133"/>
      <c r="G886" s="134"/>
    </row>
    <row r="887">
      <c r="A887" s="130"/>
      <c r="B887" s="131"/>
      <c r="C887" s="130"/>
      <c r="D887" s="130"/>
      <c r="E887" s="130"/>
      <c r="F887" s="133"/>
      <c r="G887" s="134"/>
    </row>
    <row r="888">
      <c r="A888" s="130"/>
      <c r="B888" s="131"/>
      <c r="C888" s="130"/>
      <c r="D888" s="130"/>
      <c r="E888" s="130"/>
      <c r="F888" s="133"/>
      <c r="G888" s="134"/>
    </row>
    <row r="889">
      <c r="A889" s="130"/>
      <c r="B889" s="131"/>
      <c r="C889" s="130"/>
      <c r="D889" s="130"/>
      <c r="E889" s="130"/>
      <c r="F889" s="133"/>
      <c r="G889" s="134"/>
    </row>
    <row r="890">
      <c r="A890" s="130"/>
      <c r="B890" s="131"/>
      <c r="C890" s="130"/>
      <c r="D890" s="130"/>
      <c r="E890" s="130"/>
      <c r="F890" s="133"/>
      <c r="G890" s="134"/>
    </row>
    <row r="891">
      <c r="A891" s="130"/>
      <c r="B891" s="131"/>
      <c r="C891" s="130"/>
      <c r="D891" s="130"/>
      <c r="E891" s="130"/>
      <c r="F891" s="133"/>
      <c r="G891" s="134"/>
    </row>
    <row r="892">
      <c r="A892" s="130"/>
      <c r="B892" s="131"/>
      <c r="C892" s="130"/>
      <c r="D892" s="130"/>
      <c r="E892" s="130"/>
      <c r="F892" s="133"/>
      <c r="G892" s="134"/>
    </row>
    <row r="893">
      <c r="A893" s="130"/>
      <c r="B893" s="131"/>
      <c r="C893" s="130"/>
      <c r="D893" s="130"/>
      <c r="E893" s="130"/>
      <c r="F893" s="133"/>
      <c r="G893" s="134"/>
    </row>
    <row r="894">
      <c r="A894" s="130"/>
      <c r="B894" s="131"/>
      <c r="C894" s="130"/>
      <c r="D894" s="130"/>
      <c r="E894" s="130"/>
      <c r="F894" s="133"/>
      <c r="G894" s="134"/>
    </row>
    <row r="895">
      <c r="A895" s="130"/>
      <c r="B895" s="131"/>
      <c r="C895" s="130"/>
      <c r="D895" s="130"/>
      <c r="E895" s="130"/>
      <c r="F895" s="133"/>
      <c r="G895" s="134"/>
    </row>
    <row r="896">
      <c r="A896" s="130"/>
      <c r="B896" s="131"/>
      <c r="C896" s="130"/>
      <c r="D896" s="130"/>
      <c r="E896" s="130"/>
      <c r="F896" s="133"/>
      <c r="G896" s="134"/>
    </row>
    <row r="897">
      <c r="A897" s="130"/>
      <c r="B897" s="131"/>
      <c r="C897" s="130"/>
      <c r="D897" s="130"/>
      <c r="E897" s="130"/>
      <c r="F897" s="133"/>
      <c r="G897" s="134"/>
    </row>
    <row r="898">
      <c r="A898" s="130"/>
      <c r="B898" s="131"/>
      <c r="C898" s="130"/>
      <c r="D898" s="130"/>
      <c r="E898" s="130"/>
      <c r="F898" s="133"/>
      <c r="G898" s="134"/>
    </row>
    <row r="899">
      <c r="A899" s="130"/>
      <c r="B899" s="131"/>
      <c r="C899" s="130"/>
      <c r="D899" s="130"/>
      <c r="E899" s="130"/>
      <c r="F899" s="133"/>
      <c r="G899" s="134"/>
    </row>
    <row r="900">
      <c r="A900" s="130"/>
      <c r="B900" s="131"/>
      <c r="C900" s="130"/>
      <c r="D900" s="130"/>
      <c r="E900" s="130"/>
      <c r="F900" s="133"/>
      <c r="G900" s="134"/>
    </row>
    <row r="901">
      <c r="A901" s="130"/>
      <c r="B901" s="131"/>
      <c r="C901" s="130"/>
      <c r="D901" s="130"/>
      <c r="E901" s="130"/>
      <c r="F901" s="133"/>
      <c r="G901" s="134"/>
    </row>
    <row r="902">
      <c r="A902" s="130"/>
      <c r="B902" s="131"/>
      <c r="C902" s="130"/>
      <c r="D902" s="130"/>
      <c r="E902" s="130"/>
      <c r="F902" s="133"/>
      <c r="G902" s="134"/>
    </row>
    <row r="903">
      <c r="A903" s="130"/>
      <c r="B903" s="131"/>
      <c r="C903" s="130"/>
      <c r="D903" s="130"/>
      <c r="E903" s="130"/>
      <c r="F903" s="133"/>
      <c r="G903" s="134"/>
    </row>
    <row r="904">
      <c r="A904" s="130"/>
      <c r="B904" s="131"/>
      <c r="C904" s="130"/>
      <c r="D904" s="130"/>
      <c r="E904" s="130"/>
      <c r="F904" s="133"/>
      <c r="G904" s="134"/>
    </row>
    <row r="905">
      <c r="A905" s="130"/>
      <c r="B905" s="131"/>
      <c r="C905" s="130"/>
      <c r="D905" s="130"/>
      <c r="E905" s="130"/>
      <c r="F905" s="133"/>
      <c r="G905" s="134"/>
    </row>
    <row r="906">
      <c r="A906" s="130"/>
      <c r="B906" s="131"/>
      <c r="C906" s="130"/>
      <c r="D906" s="130"/>
      <c r="E906" s="130"/>
      <c r="F906" s="133"/>
      <c r="G906" s="134"/>
    </row>
    <row r="907">
      <c r="A907" s="130"/>
      <c r="B907" s="131"/>
      <c r="C907" s="130"/>
      <c r="D907" s="130"/>
      <c r="E907" s="130"/>
      <c r="F907" s="133"/>
      <c r="G907" s="134"/>
    </row>
    <row r="908">
      <c r="A908" s="130"/>
      <c r="B908" s="131"/>
      <c r="C908" s="130"/>
      <c r="D908" s="130"/>
      <c r="E908" s="130"/>
      <c r="F908" s="133"/>
      <c r="G908" s="134"/>
    </row>
    <row r="909">
      <c r="A909" s="130"/>
      <c r="B909" s="131"/>
      <c r="C909" s="130"/>
      <c r="D909" s="130"/>
      <c r="E909" s="130"/>
      <c r="F909" s="133"/>
      <c r="G909" s="134"/>
    </row>
    <row r="910">
      <c r="A910" s="130"/>
      <c r="B910" s="131"/>
      <c r="C910" s="130"/>
      <c r="D910" s="130"/>
      <c r="E910" s="130"/>
      <c r="F910" s="133"/>
      <c r="G910" s="134"/>
    </row>
    <row r="911">
      <c r="A911" s="130"/>
      <c r="B911" s="131"/>
      <c r="C911" s="130"/>
      <c r="D911" s="130"/>
      <c r="E911" s="130"/>
      <c r="F911" s="133"/>
      <c r="G911" s="134"/>
    </row>
    <row r="912">
      <c r="A912" s="130"/>
      <c r="B912" s="131"/>
      <c r="C912" s="130"/>
      <c r="D912" s="130"/>
      <c r="E912" s="130"/>
      <c r="F912" s="133"/>
      <c r="G912" s="134"/>
    </row>
    <row r="913">
      <c r="A913" s="130"/>
      <c r="B913" s="131"/>
      <c r="C913" s="130"/>
      <c r="D913" s="130"/>
      <c r="E913" s="130"/>
      <c r="F913" s="133"/>
      <c r="G913" s="134"/>
    </row>
    <row r="914">
      <c r="A914" s="130"/>
      <c r="B914" s="131"/>
      <c r="C914" s="130"/>
      <c r="D914" s="130"/>
      <c r="E914" s="130"/>
      <c r="F914" s="133"/>
      <c r="G914" s="134"/>
    </row>
    <row r="915">
      <c r="A915" s="130"/>
      <c r="B915" s="131"/>
      <c r="C915" s="130"/>
      <c r="D915" s="130"/>
      <c r="E915" s="130"/>
      <c r="F915" s="133"/>
      <c r="G915" s="134"/>
    </row>
    <row r="916">
      <c r="A916" s="130"/>
      <c r="B916" s="131"/>
      <c r="C916" s="130"/>
      <c r="D916" s="130"/>
      <c r="E916" s="130"/>
      <c r="F916" s="133"/>
      <c r="G916" s="134"/>
    </row>
    <row r="917">
      <c r="A917" s="130"/>
      <c r="B917" s="131"/>
      <c r="C917" s="130"/>
      <c r="D917" s="130"/>
      <c r="E917" s="130"/>
      <c r="F917" s="133"/>
      <c r="G917" s="134"/>
    </row>
    <row r="918">
      <c r="A918" s="130"/>
      <c r="B918" s="131"/>
      <c r="C918" s="130"/>
      <c r="D918" s="130"/>
      <c r="E918" s="130"/>
      <c r="F918" s="133"/>
      <c r="G918" s="134"/>
    </row>
    <row r="919">
      <c r="A919" s="130"/>
      <c r="B919" s="131"/>
      <c r="C919" s="130"/>
      <c r="D919" s="130"/>
      <c r="E919" s="130"/>
      <c r="F919" s="133"/>
      <c r="G919" s="134"/>
    </row>
    <row r="920">
      <c r="A920" s="130"/>
      <c r="B920" s="131"/>
      <c r="C920" s="130"/>
      <c r="D920" s="130"/>
      <c r="E920" s="130"/>
      <c r="F920" s="133"/>
      <c r="G920" s="134"/>
    </row>
    <row r="921">
      <c r="A921" s="130"/>
      <c r="B921" s="131"/>
      <c r="C921" s="130"/>
      <c r="D921" s="130"/>
      <c r="E921" s="130"/>
      <c r="F921" s="133"/>
      <c r="G921" s="134"/>
    </row>
    <row r="922">
      <c r="A922" s="130"/>
      <c r="B922" s="131"/>
      <c r="C922" s="130"/>
      <c r="D922" s="130"/>
      <c r="E922" s="130"/>
      <c r="F922" s="133"/>
      <c r="G922" s="134"/>
    </row>
    <row r="923">
      <c r="A923" s="130"/>
      <c r="B923" s="131"/>
      <c r="C923" s="130"/>
      <c r="D923" s="130"/>
      <c r="E923" s="130"/>
      <c r="F923" s="133"/>
      <c r="G923" s="134"/>
    </row>
    <row r="924">
      <c r="A924" s="130"/>
      <c r="B924" s="131"/>
      <c r="C924" s="130"/>
      <c r="D924" s="130"/>
      <c r="E924" s="130"/>
      <c r="F924" s="133"/>
      <c r="G924" s="134"/>
    </row>
    <row r="925">
      <c r="A925" s="130"/>
      <c r="B925" s="131"/>
      <c r="C925" s="130"/>
      <c r="D925" s="130"/>
      <c r="E925" s="130"/>
      <c r="F925" s="133"/>
      <c r="G925" s="134"/>
    </row>
    <row r="926">
      <c r="A926" s="130"/>
      <c r="B926" s="131"/>
      <c r="C926" s="130"/>
      <c r="D926" s="130"/>
      <c r="E926" s="130"/>
      <c r="F926" s="133"/>
      <c r="G926" s="134"/>
    </row>
    <row r="927">
      <c r="A927" s="130"/>
      <c r="B927" s="131"/>
      <c r="C927" s="130"/>
      <c r="D927" s="130"/>
      <c r="E927" s="130"/>
      <c r="F927" s="133"/>
      <c r="G927" s="134"/>
    </row>
    <row r="928">
      <c r="A928" s="130"/>
      <c r="B928" s="131"/>
      <c r="C928" s="130"/>
      <c r="D928" s="130"/>
      <c r="E928" s="130"/>
      <c r="F928" s="133"/>
      <c r="G928" s="134"/>
    </row>
    <row r="929">
      <c r="A929" s="130"/>
      <c r="B929" s="131"/>
      <c r="C929" s="130"/>
      <c r="D929" s="130"/>
      <c r="E929" s="130"/>
      <c r="F929" s="133"/>
      <c r="G929" s="134"/>
    </row>
    <row r="930">
      <c r="A930" s="130"/>
      <c r="B930" s="131"/>
      <c r="C930" s="130"/>
      <c r="D930" s="130"/>
      <c r="E930" s="130"/>
      <c r="F930" s="133"/>
      <c r="G930" s="134"/>
    </row>
    <row r="931">
      <c r="A931" s="130"/>
      <c r="B931" s="131"/>
      <c r="C931" s="130"/>
      <c r="D931" s="130"/>
      <c r="E931" s="130"/>
      <c r="F931" s="133"/>
      <c r="G931" s="134"/>
    </row>
    <row r="932">
      <c r="A932" s="130"/>
      <c r="B932" s="131"/>
      <c r="C932" s="130"/>
      <c r="D932" s="130"/>
      <c r="E932" s="130"/>
      <c r="F932" s="133"/>
      <c r="G932" s="134"/>
    </row>
    <row r="933">
      <c r="A933" s="130"/>
      <c r="B933" s="131"/>
      <c r="C933" s="130"/>
      <c r="D933" s="130"/>
      <c r="E933" s="130"/>
      <c r="F933" s="133"/>
      <c r="G933" s="134"/>
    </row>
    <row r="934">
      <c r="A934" s="130"/>
      <c r="B934" s="131"/>
      <c r="C934" s="130"/>
      <c r="D934" s="130"/>
      <c r="E934" s="130"/>
      <c r="F934" s="133"/>
      <c r="G934" s="134"/>
    </row>
    <row r="935">
      <c r="A935" s="130"/>
      <c r="B935" s="131"/>
      <c r="C935" s="130"/>
      <c r="D935" s="130"/>
      <c r="E935" s="130"/>
      <c r="F935" s="133"/>
      <c r="G935" s="134"/>
    </row>
    <row r="936">
      <c r="A936" s="130"/>
      <c r="B936" s="131"/>
      <c r="C936" s="130"/>
      <c r="D936" s="130"/>
      <c r="E936" s="130"/>
      <c r="F936" s="133"/>
      <c r="G936" s="134"/>
    </row>
    <row r="937">
      <c r="A937" s="130"/>
      <c r="B937" s="131"/>
      <c r="C937" s="130"/>
      <c r="D937" s="130"/>
      <c r="E937" s="130"/>
      <c r="F937" s="133"/>
      <c r="G937" s="134"/>
    </row>
    <row r="938">
      <c r="A938" s="130"/>
      <c r="B938" s="131"/>
      <c r="C938" s="130"/>
      <c r="D938" s="130"/>
      <c r="E938" s="130"/>
      <c r="F938" s="133"/>
      <c r="G938" s="134"/>
    </row>
    <row r="939">
      <c r="A939" s="130"/>
      <c r="B939" s="131"/>
      <c r="C939" s="130"/>
      <c r="D939" s="130"/>
      <c r="E939" s="130"/>
      <c r="F939" s="133"/>
      <c r="G939" s="134"/>
    </row>
    <row r="940">
      <c r="A940" s="130"/>
      <c r="B940" s="131"/>
      <c r="C940" s="130"/>
      <c r="D940" s="130"/>
      <c r="E940" s="130"/>
      <c r="F940" s="133"/>
      <c r="G940" s="134"/>
    </row>
    <row r="941">
      <c r="A941" s="130"/>
      <c r="B941" s="131"/>
      <c r="C941" s="130"/>
      <c r="D941" s="130"/>
      <c r="E941" s="130"/>
      <c r="F941" s="133"/>
      <c r="G941" s="134"/>
    </row>
    <row r="942">
      <c r="A942" s="130"/>
      <c r="B942" s="131"/>
      <c r="C942" s="130"/>
      <c r="D942" s="130"/>
      <c r="E942" s="130"/>
      <c r="F942" s="133"/>
      <c r="G942" s="134"/>
    </row>
    <row r="943">
      <c r="A943" s="130"/>
      <c r="B943" s="131"/>
      <c r="C943" s="130"/>
      <c r="D943" s="130"/>
      <c r="E943" s="130"/>
      <c r="F943" s="133"/>
      <c r="G943" s="134"/>
    </row>
    <row r="944">
      <c r="A944" s="130"/>
      <c r="B944" s="131"/>
      <c r="C944" s="130"/>
      <c r="D944" s="130"/>
      <c r="E944" s="130"/>
      <c r="F944" s="133"/>
      <c r="G944" s="134"/>
    </row>
    <row r="945">
      <c r="A945" s="130"/>
      <c r="B945" s="131"/>
      <c r="C945" s="130"/>
      <c r="D945" s="130"/>
      <c r="E945" s="130"/>
      <c r="F945" s="133"/>
      <c r="G945" s="134"/>
    </row>
    <row r="946">
      <c r="A946" s="130"/>
      <c r="B946" s="131"/>
      <c r="C946" s="130"/>
      <c r="D946" s="130"/>
      <c r="E946" s="130"/>
      <c r="F946" s="133"/>
      <c r="G946" s="134"/>
    </row>
    <row r="947">
      <c r="A947" s="130"/>
      <c r="B947" s="131"/>
      <c r="C947" s="130"/>
      <c r="D947" s="130"/>
      <c r="E947" s="130"/>
      <c r="F947" s="133"/>
      <c r="G947" s="134"/>
    </row>
    <row r="948">
      <c r="A948" s="130"/>
      <c r="B948" s="131"/>
      <c r="C948" s="130"/>
      <c r="D948" s="130"/>
      <c r="E948" s="130"/>
      <c r="F948" s="133"/>
      <c r="G948" s="134"/>
    </row>
    <row r="949">
      <c r="A949" s="130"/>
      <c r="B949" s="131"/>
      <c r="C949" s="130"/>
      <c r="D949" s="130"/>
      <c r="E949" s="130"/>
      <c r="F949" s="133"/>
      <c r="G949" s="134"/>
    </row>
    <row r="950">
      <c r="A950" s="130"/>
      <c r="B950" s="131"/>
      <c r="C950" s="130"/>
      <c r="D950" s="130"/>
      <c r="E950" s="130"/>
      <c r="F950" s="133"/>
      <c r="G950" s="134"/>
    </row>
    <row r="951">
      <c r="A951" s="130"/>
      <c r="B951" s="131"/>
      <c r="C951" s="130"/>
      <c r="D951" s="130"/>
      <c r="E951" s="130"/>
      <c r="F951" s="133"/>
      <c r="G951" s="134"/>
    </row>
    <row r="952">
      <c r="A952" s="130"/>
      <c r="B952" s="131"/>
      <c r="C952" s="130"/>
      <c r="D952" s="130"/>
      <c r="E952" s="130"/>
      <c r="F952" s="133"/>
      <c r="G952" s="134"/>
    </row>
    <row r="953">
      <c r="A953" s="130"/>
      <c r="B953" s="131"/>
      <c r="C953" s="130"/>
      <c r="D953" s="130"/>
      <c r="E953" s="130"/>
      <c r="F953" s="133"/>
      <c r="G953" s="134"/>
    </row>
    <row r="954">
      <c r="A954" s="130"/>
      <c r="B954" s="131"/>
      <c r="C954" s="130"/>
      <c r="D954" s="130"/>
      <c r="E954" s="130"/>
      <c r="F954" s="133"/>
      <c r="G954" s="134"/>
    </row>
    <row r="955">
      <c r="A955" s="130"/>
      <c r="B955" s="131"/>
      <c r="C955" s="130"/>
      <c r="D955" s="130"/>
      <c r="E955" s="130"/>
      <c r="F955" s="133"/>
      <c r="G955" s="134"/>
    </row>
    <row r="956">
      <c r="A956" s="130"/>
      <c r="B956" s="131"/>
      <c r="C956" s="130"/>
      <c r="D956" s="130"/>
      <c r="E956" s="130"/>
      <c r="F956" s="133"/>
      <c r="G956" s="134"/>
    </row>
    <row r="957">
      <c r="A957" s="130"/>
      <c r="B957" s="131"/>
      <c r="C957" s="130"/>
      <c r="D957" s="130"/>
      <c r="E957" s="130"/>
      <c r="F957" s="133"/>
      <c r="G957" s="134"/>
    </row>
    <row r="958">
      <c r="A958" s="130"/>
      <c r="B958" s="131"/>
      <c r="C958" s="130"/>
      <c r="D958" s="130"/>
      <c r="E958" s="130"/>
      <c r="F958" s="133"/>
      <c r="G958" s="134"/>
    </row>
    <row r="959">
      <c r="A959" s="130"/>
      <c r="B959" s="131"/>
      <c r="C959" s="130"/>
      <c r="D959" s="130"/>
      <c r="E959" s="130"/>
      <c r="F959" s="133"/>
      <c r="G959" s="134"/>
    </row>
    <row r="960">
      <c r="A960" s="130"/>
      <c r="B960" s="131"/>
      <c r="C960" s="130"/>
      <c r="D960" s="130"/>
      <c r="E960" s="130"/>
      <c r="F960" s="133"/>
      <c r="G960" s="134"/>
    </row>
    <row r="961">
      <c r="A961" s="130"/>
      <c r="B961" s="131"/>
      <c r="C961" s="130"/>
      <c r="D961" s="130"/>
      <c r="E961" s="130"/>
      <c r="F961" s="133"/>
      <c r="G961" s="134"/>
    </row>
    <row r="962">
      <c r="A962" s="130"/>
      <c r="B962" s="131"/>
      <c r="C962" s="130"/>
      <c r="D962" s="130"/>
      <c r="E962" s="130"/>
      <c r="F962" s="133"/>
      <c r="G962" s="134"/>
    </row>
    <row r="963">
      <c r="A963" s="130"/>
      <c r="B963" s="131"/>
      <c r="C963" s="130"/>
      <c r="D963" s="130"/>
      <c r="E963" s="130"/>
      <c r="F963" s="133"/>
      <c r="G963" s="134"/>
    </row>
    <row r="964">
      <c r="A964" s="130"/>
      <c r="B964" s="131"/>
      <c r="C964" s="130"/>
      <c r="D964" s="130"/>
      <c r="E964" s="130"/>
      <c r="F964" s="133"/>
      <c r="G964" s="134"/>
    </row>
    <row r="965">
      <c r="A965" s="130"/>
      <c r="B965" s="131"/>
      <c r="C965" s="130"/>
      <c r="D965" s="130"/>
      <c r="E965" s="130"/>
      <c r="F965" s="133"/>
      <c r="G965" s="134"/>
    </row>
    <row r="966">
      <c r="A966" s="130"/>
      <c r="B966" s="131"/>
      <c r="C966" s="130"/>
      <c r="D966" s="130"/>
      <c r="E966" s="130"/>
      <c r="F966" s="133"/>
      <c r="G966" s="134"/>
    </row>
    <row r="967">
      <c r="A967" s="130"/>
      <c r="B967" s="131"/>
      <c r="C967" s="130"/>
      <c r="D967" s="130"/>
      <c r="E967" s="130"/>
      <c r="F967" s="133"/>
      <c r="G967" s="134"/>
    </row>
    <row r="968">
      <c r="A968" s="130"/>
      <c r="B968" s="131"/>
      <c r="C968" s="130"/>
      <c r="D968" s="130"/>
      <c r="E968" s="130"/>
      <c r="F968" s="133"/>
      <c r="G968" s="134"/>
    </row>
    <row r="969">
      <c r="A969" s="130"/>
      <c r="B969" s="131"/>
      <c r="C969" s="130"/>
      <c r="D969" s="130"/>
      <c r="E969" s="130"/>
      <c r="F969" s="133"/>
      <c r="G969" s="134"/>
    </row>
    <row r="970">
      <c r="A970" s="130"/>
      <c r="B970" s="131"/>
      <c r="C970" s="130"/>
      <c r="D970" s="130"/>
      <c r="E970" s="130"/>
      <c r="F970" s="133"/>
      <c r="G970" s="134"/>
    </row>
    <row r="971">
      <c r="A971" s="130"/>
      <c r="B971" s="131"/>
      <c r="C971" s="130"/>
      <c r="D971" s="130"/>
      <c r="E971" s="130"/>
      <c r="F971" s="133"/>
      <c r="G971" s="134"/>
    </row>
    <row r="972">
      <c r="A972" s="130"/>
      <c r="B972" s="131"/>
      <c r="C972" s="130"/>
      <c r="D972" s="130"/>
      <c r="E972" s="130"/>
      <c r="F972" s="133"/>
      <c r="G972" s="134"/>
    </row>
    <row r="973">
      <c r="A973" s="130"/>
      <c r="B973" s="131"/>
      <c r="C973" s="130"/>
      <c r="D973" s="130"/>
      <c r="E973" s="130"/>
      <c r="F973" s="133"/>
      <c r="G973" s="134"/>
    </row>
    <row r="974">
      <c r="A974" s="130"/>
      <c r="B974" s="131"/>
      <c r="C974" s="130"/>
      <c r="D974" s="130"/>
      <c r="E974" s="130"/>
      <c r="F974" s="133"/>
      <c r="G974" s="134"/>
    </row>
    <row r="975">
      <c r="A975" s="130"/>
      <c r="B975" s="131"/>
      <c r="C975" s="130"/>
      <c r="D975" s="130"/>
      <c r="E975" s="130"/>
      <c r="F975" s="133"/>
      <c r="G975" s="134"/>
    </row>
    <row r="976">
      <c r="A976" s="130"/>
      <c r="B976" s="131"/>
      <c r="C976" s="130"/>
      <c r="D976" s="130"/>
      <c r="E976" s="130"/>
      <c r="F976" s="133"/>
      <c r="G976" s="134"/>
    </row>
    <row r="977">
      <c r="A977" s="130"/>
      <c r="B977" s="131"/>
      <c r="C977" s="130"/>
      <c r="D977" s="130"/>
      <c r="E977" s="130"/>
      <c r="F977" s="133"/>
      <c r="G977" s="134"/>
    </row>
    <row r="978">
      <c r="A978" s="130"/>
      <c r="B978" s="131"/>
      <c r="C978" s="130"/>
      <c r="D978" s="130"/>
      <c r="E978" s="130"/>
      <c r="F978" s="133"/>
      <c r="G978" s="134"/>
    </row>
    <row r="979">
      <c r="A979" s="130"/>
      <c r="B979" s="131"/>
      <c r="C979" s="130"/>
      <c r="D979" s="130"/>
      <c r="E979" s="130"/>
      <c r="F979" s="133"/>
      <c r="G979" s="134"/>
    </row>
    <row r="980">
      <c r="A980" s="130"/>
      <c r="B980" s="131"/>
      <c r="C980" s="130"/>
      <c r="D980" s="130"/>
      <c r="E980" s="130"/>
      <c r="F980" s="133"/>
      <c r="G980" s="134"/>
    </row>
    <row r="981">
      <c r="A981" s="130"/>
      <c r="B981" s="131"/>
      <c r="C981" s="130"/>
      <c r="D981" s="130"/>
      <c r="E981" s="130"/>
      <c r="F981" s="133"/>
      <c r="G981" s="134"/>
    </row>
    <row r="982">
      <c r="A982" s="130"/>
      <c r="B982" s="131"/>
      <c r="C982" s="130"/>
      <c r="D982" s="130"/>
      <c r="E982" s="130"/>
      <c r="F982" s="133"/>
      <c r="G982" s="134"/>
    </row>
    <row r="983">
      <c r="A983" s="130"/>
      <c r="B983" s="131"/>
      <c r="C983" s="130"/>
      <c r="D983" s="130"/>
      <c r="E983" s="130"/>
      <c r="F983" s="133"/>
      <c r="G983" s="134"/>
    </row>
    <row r="984">
      <c r="A984" s="130"/>
      <c r="B984" s="131"/>
      <c r="C984" s="130"/>
      <c r="D984" s="130"/>
      <c r="E984" s="130"/>
      <c r="F984" s="133"/>
      <c r="G984" s="134"/>
    </row>
    <row r="985">
      <c r="A985" s="130"/>
      <c r="B985" s="131"/>
      <c r="C985" s="130"/>
      <c r="D985" s="130"/>
      <c r="E985" s="130"/>
      <c r="F985" s="133"/>
      <c r="G985" s="134"/>
    </row>
    <row r="986">
      <c r="A986" s="130"/>
      <c r="B986" s="131"/>
      <c r="C986" s="130"/>
      <c r="D986" s="130"/>
      <c r="E986" s="130"/>
      <c r="F986" s="133"/>
      <c r="G986" s="134"/>
    </row>
    <row r="987">
      <c r="A987" s="130"/>
      <c r="B987" s="131"/>
      <c r="C987" s="130"/>
      <c r="D987" s="130"/>
      <c r="E987" s="130"/>
      <c r="F987" s="133"/>
      <c r="G987" s="134"/>
    </row>
    <row r="988">
      <c r="A988" s="130"/>
      <c r="B988" s="131"/>
      <c r="C988" s="130"/>
      <c r="D988" s="130"/>
      <c r="E988" s="130"/>
      <c r="F988" s="133"/>
      <c r="G988" s="134"/>
    </row>
    <row r="989">
      <c r="A989" s="130"/>
      <c r="B989" s="131"/>
      <c r="C989" s="130"/>
      <c r="D989" s="130"/>
      <c r="E989" s="130"/>
      <c r="F989" s="133"/>
      <c r="G989" s="134"/>
    </row>
    <row r="990">
      <c r="A990" s="130"/>
      <c r="B990" s="131"/>
      <c r="C990" s="130"/>
      <c r="D990" s="130"/>
      <c r="E990" s="130"/>
      <c r="F990" s="133"/>
      <c r="G990" s="134"/>
    </row>
    <row r="991">
      <c r="A991" s="130"/>
      <c r="B991" s="131"/>
      <c r="C991" s="130"/>
      <c r="D991" s="130"/>
      <c r="E991" s="130"/>
      <c r="F991" s="133"/>
      <c r="G991" s="134"/>
    </row>
    <row r="992">
      <c r="A992" s="130"/>
      <c r="B992" s="131"/>
      <c r="C992" s="130"/>
      <c r="D992" s="130"/>
      <c r="E992" s="130"/>
      <c r="F992" s="133"/>
      <c r="G992" s="134"/>
    </row>
    <row r="993">
      <c r="A993" s="130"/>
      <c r="B993" s="131"/>
      <c r="C993" s="130"/>
      <c r="D993" s="130"/>
      <c r="E993" s="130"/>
      <c r="F993" s="133"/>
      <c r="G993" s="134"/>
    </row>
    <row r="994">
      <c r="A994" s="130"/>
      <c r="B994" s="131"/>
      <c r="C994" s="130"/>
      <c r="D994" s="130"/>
      <c r="E994" s="130"/>
      <c r="F994" s="133"/>
      <c r="G994" s="134"/>
    </row>
    <row r="995">
      <c r="A995" s="130"/>
      <c r="B995" s="131"/>
      <c r="C995" s="130"/>
      <c r="D995" s="130"/>
      <c r="E995" s="130"/>
      <c r="F995" s="133"/>
      <c r="G995" s="134"/>
    </row>
    <row r="996">
      <c r="A996" s="130"/>
      <c r="B996" s="131"/>
      <c r="C996" s="130"/>
      <c r="D996" s="130"/>
      <c r="E996" s="130"/>
      <c r="F996" s="133"/>
      <c r="G996" s="134"/>
    </row>
    <row r="997">
      <c r="A997" s="130"/>
      <c r="B997" s="131"/>
      <c r="C997" s="130"/>
      <c r="D997" s="130"/>
      <c r="E997" s="130"/>
      <c r="F997" s="133"/>
      <c r="G997" s="134"/>
    </row>
    <row r="998">
      <c r="A998" s="130"/>
      <c r="B998" s="131"/>
      <c r="C998" s="130"/>
      <c r="D998" s="130"/>
      <c r="E998" s="130"/>
      <c r="F998" s="133"/>
      <c r="G998" s="134"/>
    </row>
    <row r="999">
      <c r="A999" s="130"/>
      <c r="B999" s="131"/>
      <c r="C999" s="130"/>
      <c r="D999" s="130"/>
      <c r="E999" s="130"/>
      <c r="F999" s="133"/>
      <c r="G999" s="134"/>
    </row>
    <row r="1000">
      <c r="A1000" s="130"/>
      <c r="B1000" s="131"/>
      <c r="C1000" s="130"/>
      <c r="D1000" s="130"/>
      <c r="E1000" s="130"/>
      <c r="F1000" s="133"/>
      <c r="G1000" s="134"/>
    </row>
    <row r="1001">
      <c r="A1001" s="130"/>
      <c r="B1001" s="131"/>
      <c r="C1001" s="130"/>
      <c r="D1001" s="130"/>
      <c r="E1001" s="130"/>
      <c r="F1001" s="133"/>
      <c r="G1001" s="134"/>
    </row>
    <row r="1002">
      <c r="A1002" s="130"/>
      <c r="B1002" s="131"/>
      <c r="C1002" s="130"/>
      <c r="D1002" s="130"/>
      <c r="E1002" s="130"/>
      <c r="F1002" s="133"/>
      <c r="G1002" s="134"/>
    </row>
    <row r="1003">
      <c r="A1003" s="130"/>
      <c r="B1003" s="131"/>
      <c r="C1003" s="130"/>
      <c r="D1003" s="130"/>
      <c r="E1003" s="130"/>
      <c r="F1003" s="133"/>
      <c r="G1003" s="134"/>
    </row>
    <row r="1004">
      <c r="A1004" s="130"/>
      <c r="B1004" s="131"/>
      <c r="C1004" s="130"/>
      <c r="D1004" s="130"/>
      <c r="E1004" s="130"/>
      <c r="F1004" s="133"/>
      <c r="G1004" s="134"/>
    </row>
    <row r="1005">
      <c r="A1005" s="130"/>
      <c r="B1005" s="131"/>
      <c r="C1005" s="130"/>
      <c r="D1005" s="130"/>
      <c r="E1005" s="130"/>
      <c r="F1005" s="133"/>
      <c r="G1005" s="134"/>
    </row>
    <row r="1006">
      <c r="A1006" s="130"/>
      <c r="B1006" s="131"/>
      <c r="C1006" s="130"/>
      <c r="D1006" s="130"/>
      <c r="E1006" s="130"/>
      <c r="F1006" s="133"/>
      <c r="G1006" s="134"/>
    </row>
    <row r="1007">
      <c r="A1007" s="130"/>
      <c r="B1007" s="131"/>
      <c r="C1007" s="130"/>
      <c r="D1007" s="130"/>
      <c r="E1007" s="130"/>
      <c r="F1007" s="133"/>
      <c r="G1007" s="134"/>
    </row>
    <row r="1008">
      <c r="A1008" s="130"/>
      <c r="B1008" s="131"/>
      <c r="C1008" s="130"/>
      <c r="D1008" s="130"/>
      <c r="E1008" s="130"/>
      <c r="F1008" s="133"/>
      <c r="G1008" s="134"/>
    </row>
    <row r="1009">
      <c r="A1009" s="130"/>
      <c r="B1009" s="131"/>
      <c r="C1009" s="130"/>
      <c r="D1009" s="130"/>
      <c r="E1009" s="130"/>
      <c r="F1009" s="133"/>
      <c r="G1009" s="134"/>
    </row>
    <row r="1010">
      <c r="A1010" s="130"/>
      <c r="B1010" s="131"/>
      <c r="C1010" s="130"/>
      <c r="D1010" s="130"/>
      <c r="E1010" s="130"/>
      <c r="F1010" s="133"/>
      <c r="G1010" s="134"/>
    </row>
    <row r="1011">
      <c r="A1011" s="130"/>
      <c r="B1011" s="131"/>
      <c r="C1011" s="130"/>
      <c r="D1011" s="130"/>
      <c r="E1011" s="130"/>
      <c r="F1011" s="133"/>
      <c r="G1011" s="134"/>
    </row>
    <row r="1012">
      <c r="A1012" s="130"/>
      <c r="B1012" s="131"/>
      <c r="C1012" s="130"/>
      <c r="D1012" s="130"/>
      <c r="E1012" s="130"/>
      <c r="F1012" s="133"/>
      <c r="G1012" s="134"/>
    </row>
    <row r="1013">
      <c r="A1013" s="130"/>
      <c r="B1013" s="131"/>
      <c r="C1013" s="130"/>
      <c r="D1013" s="130"/>
      <c r="E1013" s="130"/>
      <c r="F1013" s="133"/>
      <c r="G1013" s="134"/>
    </row>
    <row r="1014">
      <c r="A1014" s="130"/>
      <c r="B1014" s="131"/>
      <c r="C1014" s="130"/>
      <c r="D1014" s="130"/>
      <c r="E1014" s="130"/>
      <c r="F1014" s="133"/>
      <c r="G1014" s="134"/>
    </row>
    <row r="1015">
      <c r="A1015" s="130"/>
      <c r="B1015" s="131"/>
      <c r="C1015" s="130"/>
      <c r="D1015" s="130"/>
      <c r="E1015" s="130"/>
      <c r="F1015" s="133"/>
      <c r="G1015" s="134"/>
    </row>
    <row r="1016">
      <c r="A1016" s="130"/>
      <c r="B1016" s="131"/>
      <c r="C1016" s="130"/>
      <c r="D1016" s="130"/>
      <c r="E1016" s="130"/>
      <c r="F1016" s="133"/>
      <c r="G1016" s="134"/>
    </row>
    <row r="1017">
      <c r="A1017" s="130"/>
      <c r="B1017" s="131"/>
      <c r="C1017" s="130"/>
      <c r="D1017" s="130"/>
      <c r="E1017" s="130"/>
      <c r="F1017" s="133"/>
      <c r="G1017" s="134"/>
    </row>
    <row r="1018">
      <c r="A1018" s="130"/>
      <c r="B1018" s="131"/>
      <c r="C1018" s="130"/>
      <c r="D1018" s="130"/>
      <c r="E1018" s="130"/>
      <c r="F1018" s="133"/>
      <c r="G1018" s="134"/>
    </row>
  </sheetData>
  <mergeCells count="39">
    <mergeCell ref="D2:D9"/>
    <mergeCell ref="D11:D13"/>
    <mergeCell ref="G1:H1"/>
    <mergeCell ref="A2:A9"/>
    <mergeCell ref="C2:C9"/>
    <mergeCell ref="E2:E9"/>
    <mergeCell ref="C10:C15"/>
    <mergeCell ref="E10:E15"/>
    <mergeCell ref="D14:D15"/>
    <mergeCell ref="D26:D27"/>
    <mergeCell ref="D28:D29"/>
    <mergeCell ref="E31:E38"/>
    <mergeCell ref="E42:E51"/>
    <mergeCell ref="F47:F48"/>
    <mergeCell ref="E52:E55"/>
    <mergeCell ref="E56:E58"/>
    <mergeCell ref="A10:A15"/>
    <mergeCell ref="A16:A21"/>
    <mergeCell ref="C16:C21"/>
    <mergeCell ref="E16:E21"/>
    <mergeCell ref="D19:D21"/>
    <mergeCell ref="A22:A30"/>
    <mergeCell ref="E22:E30"/>
    <mergeCell ref="C43:C51"/>
    <mergeCell ref="C52:C55"/>
    <mergeCell ref="C56:C58"/>
    <mergeCell ref="C59:C63"/>
    <mergeCell ref="A52:A55"/>
    <mergeCell ref="A56:A58"/>
    <mergeCell ref="A59:A63"/>
    <mergeCell ref="B59:B61"/>
    <mergeCell ref="B62:B63"/>
    <mergeCell ref="C22:C23"/>
    <mergeCell ref="C24:C30"/>
    <mergeCell ref="A31:A41"/>
    <mergeCell ref="C32:C40"/>
    <mergeCell ref="B38:B39"/>
    <mergeCell ref="A42:A51"/>
    <mergeCell ref="B54:B55"/>
  </mergeCells>
  <hyperlinks>
    <hyperlink r:id="rId1" ref="G39"/>
    <hyperlink r:id="rId2" ref="G40"/>
    <hyperlink r:id="rId3" ref="G46"/>
    <hyperlink r:id="rId4" ref="G51"/>
    <hyperlink r:id="rId5" ref="G52"/>
    <hyperlink r:id="rId6" ref="G53"/>
    <hyperlink r:id="rId7" location="gid=0" ref="H53"/>
    <hyperlink r:id="rId8" ref="G60"/>
    <hyperlink r:id="rId9" ref="G61"/>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17.13"/>
    <col customWidth="1" min="3" max="3" width="42.5"/>
    <col customWidth="1" min="4" max="4" width="54.0"/>
    <col customWidth="1" min="5" max="5" width="23.5"/>
    <col customWidth="1" min="8" max="8" width="50.0"/>
  </cols>
  <sheetData>
    <row r="1">
      <c r="A1" s="4" t="s">
        <v>4</v>
      </c>
      <c r="B1" s="4" t="s">
        <v>6</v>
      </c>
      <c r="C1" s="4" t="s">
        <v>7</v>
      </c>
      <c r="D1" s="4" t="s">
        <v>8</v>
      </c>
      <c r="E1" s="4" t="s">
        <v>9</v>
      </c>
      <c r="F1" s="8"/>
      <c r="G1" s="8"/>
      <c r="H1" s="8"/>
      <c r="I1" s="8"/>
      <c r="J1" s="8"/>
      <c r="K1" s="8" t="str">
        <f t="array" ref="K1:K21">UNIQUE('【未使用】業種可否一覧'!D:D)</f>
        <v/>
      </c>
      <c r="L1" s="8"/>
      <c r="M1" s="8"/>
      <c r="N1" s="8"/>
      <c r="O1" s="8"/>
      <c r="P1" s="8"/>
      <c r="Q1" s="8"/>
      <c r="R1" s="8"/>
      <c r="S1" s="8"/>
      <c r="T1" s="8"/>
      <c r="U1" s="8"/>
      <c r="V1" s="8"/>
      <c r="W1" s="8"/>
      <c r="X1" s="8"/>
      <c r="Y1" s="8"/>
      <c r="Z1" s="8"/>
      <c r="AA1" s="8"/>
    </row>
    <row r="2">
      <c r="A2" s="18" t="s">
        <v>18</v>
      </c>
      <c r="B2" s="20"/>
      <c r="C2" s="20"/>
      <c r="D2" s="20"/>
      <c r="E2" s="23"/>
      <c r="F2" s="25"/>
      <c r="G2" s="25"/>
      <c r="H2" s="25"/>
      <c r="I2" s="25"/>
      <c r="J2" s="25"/>
      <c r="K2" s="25" t="s">
        <v>31</v>
      </c>
      <c r="L2" s="25"/>
      <c r="M2" s="25"/>
      <c r="N2" s="25"/>
      <c r="O2" s="25"/>
      <c r="P2" s="25"/>
      <c r="Q2" s="25"/>
      <c r="R2" s="25"/>
      <c r="S2" s="25"/>
      <c r="T2" s="25"/>
      <c r="U2" s="25"/>
      <c r="V2" s="25"/>
      <c r="W2" s="25"/>
      <c r="X2" s="25"/>
      <c r="Y2" s="25"/>
      <c r="Z2" s="25"/>
      <c r="AA2" s="25"/>
    </row>
    <row r="3">
      <c r="A3" s="29" t="s">
        <v>32</v>
      </c>
      <c r="B3" s="29" t="s">
        <v>33</v>
      </c>
      <c r="C3" s="29" t="s">
        <v>34</v>
      </c>
      <c r="D3" s="29" t="s">
        <v>36</v>
      </c>
      <c r="E3" s="32"/>
      <c r="K3" s="33" t="s">
        <v>37</v>
      </c>
    </row>
    <row r="4">
      <c r="A4" s="29" t="s">
        <v>39</v>
      </c>
      <c r="B4" s="29" t="s">
        <v>33</v>
      </c>
      <c r="C4" s="29" t="s">
        <v>41</v>
      </c>
      <c r="D4" s="29" t="s">
        <v>42</v>
      </c>
      <c r="E4" s="32"/>
      <c r="K4" s="33" t="s">
        <v>43</v>
      </c>
    </row>
    <row r="5">
      <c r="A5" s="29" t="s">
        <v>39</v>
      </c>
      <c r="B5" s="29" t="s">
        <v>33</v>
      </c>
      <c r="C5" s="29" t="s">
        <v>45</v>
      </c>
      <c r="D5" s="29" t="s">
        <v>42</v>
      </c>
      <c r="E5" s="32"/>
      <c r="K5" s="33" t="s">
        <v>46</v>
      </c>
    </row>
    <row r="6">
      <c r="A6" s="29" t="s">
        <v>39</v>
      </c>
      <c r="B6" s="29" t="s">
        <v>33</v>
      </c>
      <c r="C6" s="29" t="s">
        <v>49</v>
      </c>
      <c r="D6" s="29" t="s">
        <v>42</v>
      </c>
      <c r="E6" s="32"/>
      <c r="K6" s="33" t="s">
        <v>50</v>
      </c>
    </row>
    <row r="7">
      <c r="A7" s="29" t="s">
        <v>39</v>
      </c>
      <c r="B7" s="29" t="s">
        <v>33</v>
      </c>
      <c r="C7" s="29" t="s">
        <v>51</v>
      </c>
      <c r="D7" s="29" t="s">
        <v>42</v>
      </c>
      <c r="E7" s="32"/>
      <c r="K7" s="33" t="s">
        <v>53</v>
      </c>
    </row>
    <row r="8">
      <c r="A8" s="29" t="s">
        <v>39</v>
      </c>
      <c r="B8" s="29" t="s">
        <v>33</v>
      </c>
      <c r="C8" s="29" t="s">
        <v>55</v>
      </c>
      <c r="D8" s="29" t="s">
        <v>42</v>
      </c>
      <c r="E8" s="32"/>
      <c r="K8" s="33" t="s">
        <v>57</v>
      </c>
    </row>
    <row r="9">
      <c r="A9" s="29" t="s">
        <v>39</v>
      </c>
      <c r="B9" s="29" t="s">
        <v>33</v>
      </c>
      <c r="C9" s="29" t="s">
        <v>59</v>
      </c>
      <c r="D9" s="29" t="s">
        <v>42</v>
      </c>
      <c r="E9" s="32"/>
      <c r="K9" s="33" t="s">
        <v>60</v>
      </c>
    </row>
    <row r="10">
      <c r="A10" s="29" t="s">
        <v>62</v>
      </c>
      <c r="B10" s="29" t="s">
        <v>63</v>
      </c>
      <c r="C10" s="29" t="s">
        <v>65</v>
      </c>
      <c r="D10" s="29" t="s">
        <v>67</v>
      </c>
      <c r="E10" s="52" t="s">
        <v>68</v>
      </c>
      <c r="K10" s="33" t="s">
        <v>78</v>
      </c>
    </row>
    <row r="11">
      <c r="A11" s="29" t="s">
        <v>62</v>
      </c>
      <c r="B11" s="29" t="s">
        <v>63</v>
      </c>
      <c r="C11" s="29" t="s">
        <v>81</v>
      </c>
      <c r="D11" s="29" t="s">
        <v>83</v>
      </c>
      <c r="E11" s="32"/>
      <c r="K11" s="33" t="s">
        <v>84</v>
      </c>
    </row>
    <row r="12">
      <c r="A12" s="29" t="s">
        <v>39</v>
      </c>
      <c r="B12" s="29" t="s">
        <v>37</v>
      </c>
      <c r="C12" s="29" t="s">
        <v>85</v>
      </c>
      <c r="D12" s="29" t="s">
        <v>86</v>
      </c>
      <c r="E12" s="52" t="s">
        <v>87</v>
      </c>
      <c r="K12" s="33" t="s">
        <v>96</v>
      </c>
    </row>
    <row r="13">
      <c r="A13" s="29" t="s">
        <v>39</v>
      </c>
      <c r="B13" s="29" t="s">
        <v>98</v>
      </c>
      <c r="C13" s="29" t="s">
        <v>99</v>
      </c>
      <c r="D13" s="29" t="s">
        <v>86</v>
      </c>
      <c r="E13" s="52" t="s">
        <v>87</v>
      </c>
      <c r="K13" s="33" t="s">
        <v>102</v>
      </c>
    </row>
    <row r="14">
      <c r="A14" s="29" t="s">
        <v>62</v>
      </c>
      <c r="B14" s="29" t="s">
        <v>99</v>
      </c>
      <c r="C14" s="29" t="s">
        <v>103</v>
      </c>
      <c r="D14" s="29" t="s">
        <v>104</v>
      </c>
      <c r="E14" s="52" t="s">
        <v>106</v>
      </c>
      <c r="K14" s="33" t="s">
        <v>108</v>
      </c>
    </row>
    <row r="15">
      <c r="A15" s="29" t="s">
        <v>109</v>
      </c>
      <c r="B15" s="29" t="s">
        <v>99</v>
      </c>
      <c r="C15" s="64" t="s">
        <v>111</v>
      </c>
      <c r="D15" s="29" t="s">
        <v>113</v>
      </c>
      <c r="E15" s="32"/>
      <c r="K15" s="33" t="s">
        <v>114</v>
      </c>
    </row>
    <row r="16">
      <c r="A16" s="29" t="s">
        <v>109</v>
      </c>
      <c r="B16" s="29" t="s">
        <v>115</v>
      </c>
      <c r="C16" s="29" t="s">
        <v>116</v>
      </c>
      <c r="D16" s="29" t="s">
        <v>118</v>
      </c>
      <c r="E16" s="52" t="s">
        <v>119</v>
      </c>
      <c r="K16" s="33" t="s">
        <v>125</v>
      </c>
    </row>
    <row r="17">
      <c r="A17" s="29" t="s">
        <v>126</v>
      </c>
      <c r="B17" s="29" t="s">
        <v>99</v>
      </c>
      <c r="C17" s="64" t="s">
        <v>127</v>
      </c>
      <c r="D17" s="64" t="s">
        <v>129</v>
      </c>
      <c r="E17" s="68" t="s">
        <v>130</v>
      </c>
      <c r="F17" s="71" t="s">
        <v>139</v>
      </c>
      <c r="K17" s="33" t="s">
        <v>147</v>
      </c>
    </row>
    <row r="18">
      <c r="A18" s="29" t="s">
        <v>148</v>
      </c>
      <c r="B18" s="29" t="s">
        <v>149</v>
      </c>
      <c r="C18" s="29" t="s">
        <v>150</v>
      </c>
      <c r="D18" s="29" t="s">
        <v>152</v>
      </c>
      <c r="E18" s="68" t="s">
        <v>154</v>
      </c>
      <c r="K18" s="33" t="s">
        <v>159</v>
      </c>
    </row>
    <row r="19">
      <c r="A19" s="29" t="s">
        <v>160</v>
      </c>
      <c r="B19" s="29" t="s">
        <v>161</v>
      </c>
      <c r="C19" s="64" t="s">
        <v>162</v>
      </c>
      <c r="D19" s="29" t="s">
        <v>163</v>
      </c>
      <c r="E19" s="52" t="s">
        <v>164</v>
      </c>
      <c r="K19" s="33" t="s">
        <v>169</v>
      </c>
    </row>
    <row r="20">
      <c r="A20" s="29" t="s">
        <v>170</v>
      </c>
      <c r="B20" s="29" t="s">
        <v>63</v>
      </c>
      <c r="C20" s="29" t="s">
        <v>173</v>
      </c>
      <c r="D20" s="29" t="s">
        <v>174</v>
      </c>
      <c r="E20" s="64" t="s">
        <v>176</v>
      </c>
      <c r="K20" s="33" t="s">
        <v>177</v>
      </c>
    </row>
    <row r="21">
      <c r="A21" s="29" t="s">
        <v>179</v>
      </c>
      <c r="B21" s="29" t="s">
        <v>63</v>
      </c>
      <c r="C21" s="29" t="s">
        <v>180</v>
      </c>
      <c r="D21" s="29" t="s">
        <v>181</v>
      </c>
      <c r="E21" s="52" t="s">
        <v>68</v>
      </c>
      <c r="K21" s="33" t="s">
        <v>182</v>
      </c>
    </row>
    <row r="22">
      <c r="A22" s="29" t="s">
        <v>179</v>
      </c>
      <c r="B22" s="29" t="s">
        <v>63</v>
      </c>
      <c r="C22" s="64" t="s">
        <v>183</v>
      </c>
      <c r="D22" s="64" t="s">
        <v>185</v>
      </c>
      <c r="E22" s="52" t="s">
        <v>186</v>
      </c>
    </row>
    <row r="23">
      <c r="A23" s="29" t="s">
        <v>179</v>
      </c>
      <c r="B23" s="29" t="s">
        <v>194</v>
      </c>
      <c r="C23" s="29" t="s">
        <v>195</v>
      </c>
      <c r="D23" s="64" t="s">
        <v>197</v>
      </c>
      <c r="E23" s="71" t="s">
        <v>199</v>
      </c>
    </row>
  </sheetData>
  <autoFilter ref="$A$1:$AA$997"/>
  <hyperlinks>
    <hyperlink r:id="rId1" ref="A2"/>
    <hyperlink r:id="rId2" ref="E10"/>
    <hyperlink r:id="rId3" ref="E12"/>
    <hyperlink r:id="rId4" ref="E13"/>
    <hyperlink r:id="rId5" ref="E14"/>
    <hyperlink r:id="rId6" ref="E16"/>
    <hyperlink r:id="rId7" ref="E17"/>
    <hyperlink r:id="rId8" ref="F17"/>
    <hyperlink r:id="rId9" ref="E18"/>
    <hyperlink r:id="rId10" ref="E19"/>
    <hyperlink r:id="rId11" ref="E21"/>
    <hyperlink r:id="rId12" ref="E22"/>
    <hyperlink r:id="rId13" ref="E23"/>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2.63" defaultRowHeight="15.75"/>
  <cols>
    <col customWidth="1" min="1" max="1" width="39.63"/>
    <col customWidth="1" min="2" max="2" width="86.13"/>
    <col customWidth="1" min="3" max="3" width="46.5"/>
  </cols>
  <sheetData>
    <row r="1">
      <c r="A1" s="1" t="s">
        <v>0</v>
      </c>
      <c r="B1" s="3" t="s">
        <v>3</v>
      </c>
      <c r="C1" s="10" t="s">
        <v>5</v>
      </c>
    </row>
    <row r="2" ht="22.5" customHeight="1">
      <c r="A2" s="22" t="s">
        <v>20</v>
      </c>
      <c r="B2" s="37" t="s">
        <v>30</v>
      </c>
      <c r="C2" s="41" t="s">
        <v>54</v>
      </c>
    </row>
    <row r="3" ht="22.5" customHeight="1">
      <c r="A3" s="39"/>
      <c r="B3" s="43"/>
      <c r="C3" s="45" t="s">
        <v>64</v>
      </c>
    </row>
    <row r="4" ht="22.5" customHeight="1">
      <c r="A4" s="39"/>
      <c r="B4" s="43"/>
      <c r="C4" s="45" t="s">
        <v>69</v>
      </c>
    </row>
    <row r="5" ht="22.5" customHeight="1">
      <c r="A5" s="47"/>
      <c r="B5" s="49"/>
      <c r="C5" s="51" t="s">
        <v>74</v>
      </c>
    </row>
    <row r="6">
      <c r="C6" s="29" t="s">
        <v>77</v>
      </c>
    </row>
    <row r="7">
      <c r="C7" s="29" t="s">
        <v>80</v>
      </c>
    </row>
    <row r="8">
      <c r="C8" s="29" t="s">
        <v>82</v>
      </c>
    </row>
  </sheetData>
  <mergeCells count="2">
    <mergeCell ref="A2:A5"/>
    <mergeCell ref="B2:B5"/>
  </mergeCells>
  <hyperlinks>
    <hyperlink r:id="rId1" ref="A2"/>
    <hyperlink r:id="rId2" ref="B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8.63"/>
    <col customWidth="1" min="2" max="2" width="87.75"/>
  </cols>
  <sheetData>
    <row r="1">
      <c r="A1" s="90"/>
      <c r="B1" s="33" t="str">
        <f>IFERROR(__xludf.DUMMYFUNCTION("IMPORTRANGE(""1iffY98t6APC9-LcVDDd3QCqe1Xr01YM5BcHxMDI92RA"", ""是正案内テンプレ!D:D"")"),"")</f>
        <v/>
      </c>
    </row>
    <row r="2">
      <c r="A2" s="95" t="s">
        <v>225</v>
      </c>
      <c r="B2" s="33" t="str">
        <f>IFERROR(__xludf.DUMMYFUNCTION("""COMPUTED_VALUE"""),"タイミーでは現在、労働基準法に基づき実際の業務時間より早く業務の準備（説明、着替え、移動等）が行われた場合にワーカーの勤務時間に含まれるため、事前の集合時間の記載をお控えいただいております。")</f>
        <v>タイミーでは現在、労働基準法に基づき実際の業務時間より早く業務の準備（説明、着替え、移動等）が行われた場合にワーカーの勤務時間に含まれるため、事前の集合時間の記載をお控えいただいております。</v>
      </c>
    </row>
    <row r="3">
      <c r="A3" s="95" t="s">
        <v>235</v>
      </c>
      <c r="B3" s="33" t="str">
        <f>IFERROR(__xludf.DUMMYFUNCTION("""COMPUTED_VALUE"""),"求人対象から男性もしくは女性などの性別を排除する表現は男女雇用機会均等法に抵触する恐れがある為、掲載をお控えいただいております。")</f>
        <v>求人対象から男性もしくは女性などの性別を排除する表現は男女雇用機会均等法に抵触する恐れがある為、掲載をお控えいただいております。</v>
      </c>
    </row>
    <row r="4">
      <c r="A4" s="95" t="s">
        <v>238</v>
      </c>
      <c r="B4" s="33" t="str">
        <f>IFERROR(__xludf.DUMMYFUNCTION("""COMPUTED_VALUE"""),"特定の年齢層を絞る文言は、雇用対策法（現・労働施策総合推進法）に抵触する恐れがあるため、掲載をお控えいただいております。")</f>
        <v>特定の年齢層を絞る文言は、雇用対策法（現・労働施策総合推進法）に抵触する恐れがあるため、掲載をお控えいただいております。</v>
      </c>
    </row>
    <row r="5">
      <c r="A5" s="95" t="s">
        <v>240</v>
      </c>
      <c r="B5" s="33" t="str">
        <f>IFERROR(__xludf.DUMMYFUNCTION("""COMPUTED_VALUE"""),"タイミーは日雇い雇用のプラットフォームですので、長期雇用を前提と捉えらえる文言はお控えいただいております。
また、複数日勤務に関しても募集業務とは関連しないものなので、これを応募の条件とすることは、公正な採用選考の基本に反するため、記載をお控えいただいております。")</f>
        <v>タイミーは日雇い雇用のプラットフォームですので、長期雇用を前提と捉えらえる文言はお控えいただいております。
また、複数日勤務に関しても募集業務とは関連しないものなので、これを応募の条件とすることは、公正な採用選考の基本に反するため、記載をお控えいただいております。</v>
      </c>
    </row>
    <row r="6">
      <c r="A6" s="95" t="s">
        <v>242</v>
      </c>
      <c r="B6" s="33" t="str">
        <f>IFERROR(__xludf.DUMMYFUNCTION("""COMPUTED_VALUE"""),"職業紹介事業であるTimeeでは、職業安定法により「建設業務」の求人掲載が法律上禁止されています。")</f>
        <v>職業紹介事業であるTimeeでは、職業安定法により「建設業務」の求人掲載が法律上禁止されています。</v>
      </c>
    </row>
    <row r="7">
      <c r="A7" s="95" t="s">
        <v>244</v>
      </c>
      <c r="B7" s="33" t="str">
        <f>IFERROR(__xludf.DUMMYFUNCTION("""COMPUTED_VALUE"""),"タイミーではナイトワーク系などの「接待を伴う業務、もしくは接待を含む業務を行う勤務地」での求人はお控えいただいております。")</f>
        <v>タイミーではナイトワーク系などの「接待を伴う業務、もしくは接待を含む業務を行う勤務地」での求人はお控えいただいております。</v>
      </c>
    </row>
    <row r="8">
      <c r="A8" s="95" t="s">
        <v>245</v>
      </c>
      <c r="B8" s="33" t="str">
        <f>IFERROR(__xludf.DUMMYFUNCTION("""COMPUTED_VALUE"""),"利用規約に基づき、タイミーを介さないワーカーさんへの直接の報酬支払い、手渡しでの金銭の支払いをお控えいただいております。")</f>
        <v>利用規約に基づき、タイミーを介さないワーカーさんへの直接の報酬支払い、手渡しでの金銭の支払いをお控えいただいております。</v>
      </c>
    </row>
    <row r="9">
      <c r="A9" s="95" t="s">
        <v>248</v>
      </c>
      <c r="B9" s="33" t="str">
        <f>IFERROR(__xludf.DUMMYFUNCTION("""COMPUTED_VALUE"""),"タイミーでは業務にワーカーの自家用車を使用することは、事故発生時のリスクや、弊社システム上でガソリン代等などの経費の計上が難しいことから、お控えをいただいております。 ")</f>
        <v>タイミーでは業務にワーカーの自家用車を使用することは、事故発生時のリスクや、弊社システム上でガソリン代等などの経費の計上が難しいことから、お控えをいただいております。 </v>
      </c>
    </row>
    <row r="10">
      <c r="A10" s="95" t="s">
        <v>249</v>
      </c>
      <c r="B10" s="33" t="str">
        <f>IFERROR(__xludf.DUMMYFUNCTION("""COMPUTED_VALUE"""),"お任せするお仕事が、警備業法上の警備業務にあたる内容の場合は掲載をお控えいただいております。")</f>
        <v>お任せするお仕事が、警備業法上の警備業務にあたる内容の場合は掲載をお控えいただいております。</v>
      </c>
    </row>
    <row r="11">
      <c r="A11" s="95" t="s">
        <v>252</v>
      </c>
      <c r="B11" s="33" t="str">
        <f>IFERROR(__xludf.DUMMYFUNCTION("""COMPUTED_VALUE"""),"モデル案件は、タイミーにて掲載をお断りさせていただいている業務となります。")</f>
        <v>モデル案件は、タイミーにて掲載をお断りさせていただいている業務となります。</v>
      </c>
    </row>
    <row r="12">
      <c r="A12" s="95" t="s">
        <v>253</v>
      </c>
      <c r="B12" s="33" t="str">
        <f>IFERROR(__xludf.DUMMYFUNCTION("""COMPUTED_VALUE"""),"面接案件は、タイミーにて掲載をお断りさせていただいている業務となります。")</f>
        <v>面接案件は、タイミーにて掲載をお断りさせていただいている業務となります。</v>
      </c>
    </row>
    <row r="13">
      <c r="A13" s="95" t="s">
        <v>257</v>
      </c>
      <c r="B13" s="33" t="str">
        <f>IFERROR(__xludf.DUMMYFUNCTION("""COMPUTED_VALUE"""),"タイミーでは、お酒を飲むお仕事を掲載される場合、想定される飲酒量をあらかじめ求人に記載いただきたく存じます。")</f>
        <v>タイミーでは、お酒を飲むお仕事を掲載される場合、想定される飲酒量をあらかじめ求人に記載いただきたく存じます。</v>
      </c>
    </row>
    <row r="14">
      <c r="A14" s="95" t="s">
        <v>260</v>
      </c>
      <c r="B14" s="33" t="str">
        <f>IFERROR(__xludf.DUMMYFUNCTION("""COMPUTED_VALUE"""),"サクラ行為と弊社が判断させていただいた場合に、掲載をお断りさせていただいている業務となります。")</f>
        <v>サクラ行為と弊社が判断させていただいた場合に、掲載をお断りさせていただいている業務となります。</v>
      </c>
    </row>
    <row r="15">
      <c r="A15" s="95" t="s">
        <v>264</v>
      </c>
      <c r="B15" s="33" t="str">
        <f>IFERROR(__xludf.DUMMYFUNCTION("""COMPUTED_VALUE"""),"店舗アカウントにご登録いただいている店舗名については、雇用主（企業名・店舗名）が不明な記載は職業安定法に抵触する恐れがあるため、適切に修正をいただきたく存じます。")</f>
        <v>店舗アカウントにご登録いただいている店舗名については、雇用主（企業名・店舗名）が不明な記載は職業安定法に抵触する恐れがあるため、適切に修正をいただきたく存じます。</v>
      </c>
    </row>
    <row r="16">
      <c r="A16" s="95" t="s">
        <v>268</v>
      </c>
      <c r="B16" s="33" t="str">
        <f>IFERROR(__xludf.DUMMYFUNCTION("""COMPUTED_VALUE"""),"【働く場所】に記載の住所が不明瞭な場合、労働基準法に抵触する恐れがあるため、詳細な住所を記載いただきたく存じます。")</f>
        <v>【働く場所】に記載の住所が不明瞭な場合、労働基準法に抵触する恐れがあるため、詳細な住所を記載いただきたく存じます。</v>
      </c>
    </row>
    <row r="17">
      <c r="A17" s="95" t="s">
        <v>271</v>
      </c>
      <c r="B17" s="33" t="str">
        <f>IFERROR(__xludf.DUMMYFUNCTION("""COMPUTED_VALUE"""),"【仕事内容】にお仕事内容が不明瞭な場合、労働基準法に抵触する恐れがあるため、詳細な仕事内容を記載いただきたく存じます。")</f>
        <v>【仕事内容】にお仕事内容が不明瞭な場合、労働基準法に抵触する恐れがあるため、詳細な仕事内容を記載いただきたく存じます。</v>
      </c>
    </row>
    <row r="18">
      <c r="A18" s="95" t="s">
        <v>281</v>
      </c>
      <c r="B18" s="33" t="str">
        <f>IFERROR(__xludf.DUMMYFUNCTION("""COMPUTED_VALUE"""),"特定の地域(出身地・居住地・通勤時間)を排除や限定する表現は、厚生労働省の定める公正な採用選考の基本に反する恐れがあり掲載をお控えいただいております。")</f>
        <v>特定の地域(出身地・居住地・通勤時間)を排除や限定する表現は、厚生労働省の定める公正な採用選考の基本に反する恐れがあり掲載をお控えいただいております。</v>
      </c>
    </row>
    <row r="19">
      <c r="A19" s="95" t="s">
        <v>283</v>
      </c>
      <c r="B19" s="33" t="str">
        <f>IFERROR(__xludf.DUMMYFUNCTION("""COMPUTED_VALUE"""),"学生限定は、募集業務との関連性がない場合、応募者の能力・適正とは関係がないので公正な採用選考の基本から掲載をお控えいただいております。")</f>
        <v>学生限定は、募集業務との関連性がない場合、応募者の能力・適正とは関係がないので公正な採用選考の基本から掲載をお控えいただいております。</v>
      </c>
    </row>
    <row r="20">
      <c r="A20" s="95" t="s">
        <v>285</v>
      </c>
      <c r="B20" s="33" t="str">
        <f>IFERROR(__xludf.DUMMYFUNCTION("""COMPUTED_VALUE"""),"公正な採用選考の観点から採用条件は客観的な基準によることが求められており、主観的な基準の条件の記載をお控えいただいております。")</f>
        <v>公正な採用選考の観点から採用条件は客観的な基準によることが求められており、主観的な基準の条件の記載をお控えいただいております。</v>
      </c>
    </row>
    <row r="21">
      <c r="A21" s="95" t="s">
        <v>286</v>
      </c>
      <c r="B21" s="33" t="str">
        <f>IFERROR(__xludf.DUMMYFUNCTION("""COMPUTED_VALUE"""),"初回の方を限定とした募集は、公正な採用選考の基本に反する恐れがあるため、掲載をお控えいただいております。")</f>
        <v>初回の方を限定とした募集は、公正な採用選考の基本に反する恐れがあるため、掲載をお控えいただいております。</v>
      </c>
    </row>
    <row r="22">
      <c r="A22" s="95" t="s">
        <v>287</v>
      </c>
      <c r="B22" s="33" t="str">
        <f>IFERROR(__xludf.DUMMYFUNCTION("""COMPUTED_VALUE"""),"個人情報保護法に抵触する恐れがあるため、ワーカー名を記載することはお控えいただいております。")</f>
        <v>個人情報保護法に抵触する恐れがあるため、ワーカー名を記載することはお控えいただいております。</v>
      </c>
    </row>
    <row r="23">
      <c r="A23" s="95" t="s">
        <v>288</v>
      </c>
      <c r="B23" s="33" t="str">
        <f>IFERROR(__xludf.DUMMYFUNCTION("""COMPUTED_VALUE"""),"誤掲載のリスクがあるため、テンプレートなどの掲載目的以外でのひな形の作成はお控えいただいております。")</f>
        <v>誤掲載のリスクがあるため、テンプレートなどの掲載目的以外でのひな形の作成はお控えいただいております。</v>
      </c>
    </row>
    <row r="24">
      <c r="A24" s="95" t="s">
        <v>293</v>
      </c>
      <c r="B24" s="33" t="str">
        <f>IFERROR(__xludf.DUMMYFUNCTION("""COMPUTED_VALUE"""),"複数回勤務に関しては募集業務とは関連しないものなので、これを応募の条件とすることは、公正な採用選考の考え方から掲載をお控えいただいております。")</f>
        <v>複数回勤務に関しては募集業務とは関連しないものなので、これを応募の条件とすることは、公正な採用選考の考え方から掲載をお控えいただいております。</v>
      </c>
    </row>
    <row r="25">
      <c r="A25" s="95" t="s">
        <v>294</v>
      </c>
      <c r="B25" s="33" t="str">
        <f>IFERROR(__xludf.DUMMYFUNCTION("""COMPUTED_VALUE"""),"タイミーでは、マッサージに関する業務を掲載する場合「医師又はあん摩マッサージ指圧師免許必須」と記載がなければ掲載をお控えいただいております。")</f>
        <v>タイミーでは、マッサージに関する業務を掲載する場合「医師又はあん摩マッサージ指圧師免許必須」と記載がなければ掲載をお控えいただいております。</v>
      </c>
    </row>
    <row r="26">
      <c r="A26" s="95" t="s">
        <v>295</v>
      </c>
      <c r="B26" s="33" t="str">
        <f>IFERROR(__xludf.DUMMYFUNCTION("""COMPUTED_VALUE"""),"サンプルと言う旨や、企業名が透かしで記載されている画像をそのまま利用することは、著作権法や提供元の利用規約に抵触する恐れがあるため、修正をいただきたく存じます。")</f>
        <v>サンプルと言う旨や、企業名が透かしで記載されている画像をそのまま利用することは、著作権法や提供元の利用規約に抵触する恐れがあるため、修正をいただきたく存じます。</v>
      </c>
    </row>
    <row r="27">
      <c r="A27" s="95" t="s">
        <v>299</v>
      </c>
      <c r="B27" s="33" t="str">
        <f>IFERROR(__xludf.DUMMYFUNCTION("""COMPUTED_VALUE"""),"一般的な業務に直ちに支障が生じることはない「見えない位置のタトゥー」を禁止することは公正な採用選考の考え方に反する可能性があるため、掲載をお控えいただいております。")</f>
        <v>一般的な業務に直ちに支障が生じることはない「見えない位置のタトゥー」を禁止することは公正な採用選考の考え方に反する可能性があるため、掲載をお控えいただいております。</v>
      </c>
    </row>
    <row r="28">
      <c r="A28" s="95" t="s">
        <v>301</v>
      </c>
      <c r="B28" s="33" t="str">
        <f>IFERROR(__xludf.DUMMYFUNCTION("""COMPUTED_VALUE"""),"性別で異なる条件を記載した表現は男女雇用機会均等法に抵触する恐れがあるため、業務指示としての記載となるよう内容の修正をいただきたく存じます。")</f>
        <v>性別で異なる条件を記載した表現は男女雇用機会均等法に抵触する恐れがあるため、業務指示としての記載となるよう内容の修正をいただきたく存じます。</v>
      </c>
    </row>
    <row r="29">
      <c r="A29" s="95" t="s">
        <v>307</v>
      </c>
      <c r="B29" s="33" t="str">
        <f>IFERROR(__xludf.DUMMYFUNCTION("""COMPUTED_VALUE"""),"厚労省が出している公正な採用選考の考え方では、採用選考にあたっては応募者の適性・能力に基づいて行うことが求められているため、文言の修正をいただきたく存じます。")</f>
        <v>厚労省が出している公正な採用選考の考え方では、採用選考にあたっては応募者の適性・能力に基づいて行うことが求められているため、文言の修正をいただきたく存じます。</v>
      </c>
    </row>
    <row r="30">
      <c r="A30" s="95" t="s">
        <v>311</v>
      </c>
      <c r="B30" s="33" t="str">
        <f>IFERROR(__xludf.DUMMYFUNCTION("""COMPUTED_VALUE"""),"特定の国籍や人種を限定する表現は厚生労働省の定める公正な採用選考の基本に反する恐れがあるため、掲載をお控えいただいております。")</f>
        <v>特定の国籍や人種を限定する表現は厚生労働省の定める公正な採用選考の基本に反する恐れがあるため、掲載をお控えいただいております。</v>
      </c>
    </row>
    <row r="31">
      <c r="A31" s="95" t="s">
        <v>316</v>
      </c>
      <c r="B31" s="33" t="str">
        <f>IFERROR(__xludf.DUMMYFUNCTION("""COMPUTED_VALUE"""),"合理的な理由（業務上の必要性や雇用管理上の必要性など）なく労働者の身長、体重又は体力を条件とすることは男女雇用機会均等法に抵触する恐れがあるため、掲載をお控えいただいております。")</f>
        <v>合理的な理由（業務上の必要性や雇用管理上の必要性など）なく労働者の身長、体重又は体力を条件とすることは男女雇用機会均等法に抵触する恐れがあるため、掲載をお控えいただいております。</v>
      </c>
    </row>
    <row r="32">
      <c r="A32" s="95" t="s">
        <v>318</v>
      </c>
      <c r="B32" s="33" t="str">
        <f>IFERROR(__xludf.DUMMYFUNCTION("""COMPUTED_VALUE"""),"トップ表現などを記載いただくことは景品表示法に抵触する恐れがあるため、掲載をお控えいただいております。")</f>
        <v>トップ表現などを記載いただくことは景品表示法に抵触する恐れがあるため、掲載をお控えいただいております。</v>
      </c>
    </row>
    <row r="33">
      <c r="A33" s="95" t="s">
        <v>321</v>
      </c>
      <c r="B33" s="33" t="str">
        <f>IFERROR(__xludf.DUMMYFUNCTION("""COMPUTED_VALUE"""),"交通費の金額の合理的な運賃額を超える部分は、給与として課税対象になります。
本来は交通費ではない金額を交通費として設定している場合は、虚偽の内容と捉えられ、弊社利用規約や脱税等に抵触する恐れもあるため、詳細のご確認をさせていただきたく存じます。")</f>
        <v>交通費の金額の合理的な運賃額を超える部分は、給与として課税対象になります。
本来は交通費ではない金額を交通費として設定している場合は、虚偽の内容と捉えられ、弊社利用規約や脱税等に抵触する恐れもあるため、詳細のご確認をさせていただきたく存じます。</v>
      </c>
    </row>
    <row r="34">
      <c r="A34" s="95" t="s">
        <v>325</v>
      </c>
      <c r="B34" s="33" t="str">
        <f>IFERROR(__xludf.DUMMYFUNCTION("""COMPUTED_VALUE"""),"代打ちのお仕事は、タイミーにて掲載をお断りさせていただいている業務となります。                                                                                                ")</f>
        <v>代打ちのお仕事は、タイミーにて掲載をお断りさせていただいている業務となります。                                                                                                </v>
      </c>
    </row>
    <row r="35">
      <c r="A35" s="95"/>
      <c r="B35" s="33"/>
    </row>
    <row r="36">
      <c r="A36" s="90"/>
      <c r="B36" s="33"/>
    </row>
    <row r="37">
      <c r="A37" s="90"/>
      <c r="B37" s="33"/>
    </row>
    <row r="38">
      <c r="A38" s="90"/>
      <c r="B38" s="33"/>
    </row>
    <row r="39">
      <c r="A39" s="90"/>
      <c r="B39" s="33"/>
    </row>
    <row r="40">
      <c r="A40" s="90"/>
      <c r="B40" s="33"/>
    </row>
    <row r="41">
      <c r="A41" s="90"/>
      <c r="B41" s="33"/>
    </row>
    <row r="42">
      <c r="A42" s="90"/>
      <c r="B42" s="33"/>
    </row>
    <row r="43">
      <c r="A43" s="90"/>
      <c r="B43" s="33"/>
    </row>
    <row r="44">
      <c r="A44" s="90"/>
      <c r="B44" s="33"/>
    </row>
    <row r="45">
      <c r="A45" s="90"/>
      <c r="B45" s="33"/>
    </row>
    <row r="46">
      <c r="A46" s="90"/>
      <c r="B46" s="33"/>
    </row>
    <row r="47">
      <c r="A47" s="90"/>
      <c r="B47" s="33"/>
    </row>
    <row r="48">
      <c r="A48" s="90"/>
      <c r="B48" s="33"/>
    </row>
    <row r="49">
      <c r="A49" s="90"/>
      <c r="B49" s="33"/>
    </row>
    <row r="50">
      <c r="A50" s="90"/>
      <c r="B50" s="33"/>
    </row>
    <row r="51">
      <c r="A51" s="90"/>
      <c r="B51" s="33"/>
    </row>
    <row r="52">
      <c r="A52" s="90"/>
      <c r="B52" s="33"/>
    </row>
    <row r="53">
      <c r="A53" s="90"/>
      <c r="B53" s="33"/>
    </row>
    <row r="54">
      <c r="A54" s="90"/>
      <c r="B54" s="33"/>
    </row>
    <row r="55">
      <c r="A55" s="90"/>
      <c r="B55" s="33"/>
    </row>
    <row r="56">
      <c r="A56" s="90"/>
      <c r="B56" s="33"/>
    </row>
    <row r="57">
      <c r="A57" s="90"/>
      <c r="B57" s="33"/>
    </row>
    <row r="58">
      <c r="A58" s="90"/>
      <c r="B58" s="33"/>
    </row>
    <row r="59">
      <c r="A59" s="90"/>
      <c r="B59" s="33"/>
    </row>
    <row r="60">
      <c r="A60" s="90"/>
      <c r="B60" s="33"/>
    </row>
    <row r="61">
      <c r="A61" s="90"/>
      <c r="B61" s="33"/>
    </row>
    <row r="62">
      <c r="A62" s="90"/>
      <c r="B62" s="33"/>
    </row>
    <row r="63">
      <c r="A63" s="90"/>
      <c r="B63" s="33"/>
    </row>
    <row r="64">
      <c r="A64" s="90"/>
      <c r="B64" s="33"/>
    </row>
    <row r="65">
      <c r="A65" s="90"/>
      <c r="B65" s="33"/>
    </row>
    <row r="66">
      <c r="A66" s="90"/>
      <c r="B66" s="33"/>
    </row>
    <row r="67">
      <c r="A67" s="90"/>
      <c r="B67" s="33"/>
    </row>
    <row r="68">
      <c r="A68" s="90"/>
      <c r="B68" s="33"/>
    </row>
    <row r="69">
      <c r="A69" s="90"/>
      <c r="B69" s="33"/>
    </row>
    <row r="70">
      <c r="A70" s="90"/>
      <c r="B70" s="33"/>
    </row>
    <row r="71">
      <c r="A71" s="90"/>
      <c r="B71" s="33"/>
    </row>
    <row r="72">
      <c r="A72" s="90"/>
      <c r="B72" s="33"/>
    </row>
    <row r="73">
      <c r="A73" s="90"/>
      <c r="B73" s="33"/>
    </row>
    <row r="74">
      <c r="A74" s="90"/>
      <c r="B74" s="33"/>
    </row>
    <row r="75">
      <c r="A75" s="90"/>
      <c r="B75" s="33"/>
    </row>
    <row r="76">
      <c r="A76" s="90"/>
      <c r="B76" s="33"/>
    </row>
    <row r="77">
      <c r="A77" s="90"/>
      <c r="B77" s="33"/>
    </row>
    <row r="78">
      <c r="A78" s="90"/>
      <c r="B78" s="33"/>
    </row>
    <row r="79">
      <c r="A79" s="90"/>
      <c r="B79" s="33"/>
    </row>
    <row r="80">
      <c r="A80" s="90"/>
      <c r="B80" s="33"/>
    </row>
    <row r="81">
      <c r="A81" s="90"/>
      <c r="B81" s="33"/>
    </row>
    <row r="82">
      <c r="A82" s="90"/>
      <c r="B82" s="33"/>
    </row>
    <row r="83">
      <c r="A83" s="90"/>
      <c r="B83" s="33"/>
    </row>
    <row r="84">
      <c r="A84" s="90"/>
      <c r="B84" s="33"/>
    </row>
    <row r="85">
      <c r="A85" s="90"/>
      <c r="B85" s="33"/>
    </row>
    <row r="86">
      <c r="A86" s="90"/>
      <c r="B86" s="33"/>
    </row>
    <row r="87">
      <c r="A87" s="90"/>
      <c r="B87" s="33"/>
    </row>
    <row r="88">
      <c r="A88" s="90"/>
      <c r="B88" s="33"/>
    </row>
    <row r="89">
      <c r="A89" s="90"/>
      <c r="B89" s="33"/>
    </row>
    <row r="90">
      <c r="A90" s="90"/>
      <c r="B90" s="33"/>
    </row>
    <row r="91">
      <c r="A91" s="90"/>
      <c r="B91" s="33"/>
    </row>
    <row r="92">
      <c r="A92" s="90"/>
      <c r="B92" s="33"/>
    </row>
    <row r="93">
      <c r="A93" s="90"/>
      <c r="B93" s="33"/>
    </row>
    <row r="94">
      <c r="A94" s="90"/>
      <c r="B94" s="33"/>
    </row>
    <row r="95">
      <c r="A95" s="90"/>
      <c r="B95" s="33"/>
    </row>
    <row r="96">
      <c r="A96" s="90"/>
      <c r="B96" s="33"/>
    </row>
    <row r="97">
      <c r="A97" s="90"/>
      <c r="B97" s="33"/>
    </row>
    <row r="98">
      <c r="A98" s="90"/>
      <c r="B98" s="33"/>
    </row>
    <row r="99">
      <c r="A99" s="90"/>
      <c r="B99" s="33"/>
    </row>
    <row r="100">
      <c r="A100" s="90"/>
      <c r="B100" s="33"/>
    </row>
    <row r="101">
      <c r="A101" s="90"/>
      <c r="B101" s="33"/>
    </row>
    <row r="102">
      <c r="A102" s="90"/>
      <c r="B102" s="33"/>
    </row>
    <row r="103">
      <c r="A103" s="90"/>
      <c r="B103" s="33"/>
    </row>
    <row r="104">
      <c r="A104" s="90"/>
      <c r="B104" s="33"/>
    </row>
    <row r="105">
      <c r="A105" s="90"/>
      <c r="B105" s="33"/>
    </row>
    <row r="106">
      <c r="A106" s="90"/>
      <c r="B106" s="33"/>
    </row>
    <row r="107">
      <c r="A107" s="90"/>
      <c r="B107" s="33"/>
    </row>
    <row r="108">
      <c r="A108" s="90"/>
      <c r="B108" s="33"/>
    </row>
    <row r="109">
      <c r="A109" s="90"/>
      <c r="B109" s="33"/>
    </row>
    <row r="110">
      <c r="A110" s="90"/>
      <c r="B110" s="33"/>
    </row>
    <row r="111">
      <c r="A111" s="90"/>
      <c r="B111" s="33"/>
    </row>
    <row r="112">
      <c r="A112" s="90"/>
      <c r="B112" s="33"/>
    </row>
    <row r="113">
      <c r="A113" s="90"/>
      <c r="B113" s="33"/>
    </row>
    <row r="114">
      <c r="A114" s="90"/>
      <c r="B114" s="33"/>
    </row>
    <row r="115">
      <c r="A115" s="90"/>
      <c r="B115" s="33"/>
    </row>
    <row r="116">
      <c r="A116" s="90"/>
      <c r="B116" s="33"/>
    </row>
    <row r="117">
      <c r="A117" s="90"/>
      <c r="B117" s="33"/>
    </row>
    <row r="118">
      <c r="A118" s="90"/>
      <c r="B118" s="33"/>
    </row>
    <row r="119">
      <c r="A119" s="90"/>
      <c r="B119" s="33"/>
    </row>
    <row r="120">
      <c r="A120" s="90"/>
      <c r="B120" s="33"/>
    </row>
    <row r="121">
      <c r="A121" s="90"/>
      <c r="B121" s="33"/>
    </row>
    <row r="122">
      <c r="A122" s="90"/>
      <c r="B122" s="33"/>
    </row>
    <row r="123">
      <c r="A123" s="90"/>
      <c r="B123" s="33"/>
    </row>
    <row r="124">
      <c r="A124" s="90"/>
      <c r="B124" s="33"/>
    </row>
    <row r="125">
      <c r="A125" s="90"/>
      <c r="B125" s="33"/>
    </row>
    <row r="126">
      <c r="A126" s="90"/>
      <c r="B126" s="33"/>
    </row>
    <row r="127">
      <c r="A127" s="90"/>
      <c r="B127" s="33"/>
    </row>
    <row r="128">
      <c r="A128" s="90"/>
      <c r="B128" s="33"/>
    </row>
    <row r="129">
      <c r="A129" s="90"/>
      <c r="B129" s="33"/>
    </row>
    <row r="130">
      <c r="A130" s="90"/>
      <c r="B130" s="33"/>
    </row>
    <row r="131">
      <c r="A131" s="90"/>
      <c r="B131" s="33"/>
    </row>
    <row r="132">
      <c r="A132" s="90"/>
      <c r="B132" s="33"/>
    </row>
    <row r="133">
      <c r="A133" s="90"/>
      <c r="B133" s="33"/>
    </row>
    <row r="134">
      <c r="A134" s="90"/>
      <c r="B134" s="33"/>
    </row>
    <row r="135">
      <c r="A135" s="90"/>
      <c r="B135" s="33"/>
    </row>
    <row r="136">
      <c r="A136" s="90"/>
      <c r="B136" s="33"/>
    </row>
    <row r="137">
      <c r="A137" s="90"/>
      <c r="B137" s="33"/>
    </row>
    <row r="138">
      <c r="A138" s="90"/>
      <c r="B138" s="33"/>
    </row>
    <row r="139">
      <c r="A139" s="90"/>
      <c r="B139" s="33"/>
    </row>
    <row r="140">
      <c r="A140" s="90"/>
      <c r="B140" s="33"/>
    </row>
    <row r="141">
      <c r="A141" s="90"/>
      <c r="B141" s="33"/>
    </row>
    <row r="142">
      <c r="A142" s="90"/>
      <c r="B142" s="33"/>
    </row>
    <row r="143">
      <c r="A143" s="90"/>
      <c r="B143" s="33"/>
    </row>
    <row r="144">
      <c r="A144" s="90"/>
      <c r="B144" s="33"/>
    </row>
    <row r="145">
      <c r="A145" s="90"/>
      <c r="B145" s="33"/>
    </row>
    <row r="146">
      <c r="A146" s="90"/>
      <c r="B146" s="33"/>
    </row>
    <row r="147">
      <c r="A147" s="90"/>
      <c r="B147" s="33"/>
    </row>
    <row r="148">
      <c r="A148" s="90"/>
      <c r="B148" s="33"/>
    </row>
    <row r="149">
      <c r="A149" s="90"/>
      <c r="B149" s="33"/>
    </row>
    <row r="150">
      <c r="A150" s="90"/>
      <c r="B150" s="33"/>
    </row>
    <row r="151">
      <c r="A151" s="90"/>
      <c r="B151" s="33"/>
    </row>
    <row r="152">
      <c r="A152" s="90"/>
      <c r="B152" s="33"/>
    </row>
    <row r="153">
      <c r="A153" s="90"/>
      <c r="B153" s="33"/>
    </row>
    <row r="154">
      <c r="A154" s="90"/>
      <c r="B154" s="33"/>
    </row>
    <row r="155">
      <c r="A155" s="90"/>
      <c r="B155" s="33"/>
    </row>
    <row r="156">
      <c r="A156" s="90"/>
      <c r="B156" s="33"/>
    </row>
    <row r="157">
      <c r="A157" s="90"/>
      <c r="B157" s="33"/>
    </row>
    <row r="158">
      <c r="A158" s="90"/>
      <c r="B158" s="33"/>
    </row>
    <row r="159">
      <c r="A159" s="90"/>
      <c r="B159" s="33"/>
    </row>
    <row r="160">
      <c r="A160" s="90"/>
      <c r="B160" s="33"/>
    </row>
    <row r="161">
      <c r="A161" s="90"/>
      <c r="B161" s="33"/>
    </row>
    <row r="162">
      <c r="A162" s="90"/>
      <c r="B162" s="33"/>
    </row>
    <row r="163">
      <c r="A163" s="90"/>
      <c r="B163" s="33"/>
    </row>
    <row r="164">
      <c r="A164" s="90"/>
      <c r="B164" s="33"/>
    </row>
    <row r="165">
      <c r="A165" s="90"/>
      <c r="B165" s="33"/>
    </row>
    <row r="166">
      <c r="A166" s="90"/>
      <c r="B166" s="33"/>
    </row>
    <row r="167">
      <c r="A167" s="90"/>
      <c r="B167" s="33"/>
    </row>
    <row r="168">
      <c r="A168" s="90"/>
      <c r="B168" s="33"/>
    </row>
    <row r="169">
      <c r="A169" s="90"/>
      <c r="B169" s="33"/>
    </row>
    <row r="170">
      <c r="A170" s="90"/>
      <c r="B170" s="33"/>
    </row>
    <row r="171">
      <c r="A171" s="90"/>
      <c r="B171" s="33"/>
    </row>
    <row r="172">
      <c r="A172" s="90"/>
      <c r="B172" s="33"/>
    </row>
    <row r="173">
      <c r="A173" s="90"/>
      <c r="B173" s="33"/>
    </row>
    <row r="174">
      <c r="A174" s="90"/>
      <c r="B174" s="33"/>
    </row>
    <row r="175">
      <c r="A175" s="90"/>
      <c r="B175" s="33"/>
    </row>
    <row r="176">
      <c r="A176" s="90"/>
      <c r="B176" s="33"/>
    </row>
    <row r="177">
      <c r="A177" s="90"/>
      <c r="B177" s="33"/>
    </row>
    <row r="178">
      <c r="A178" s="90"/>
      <c r="B178" s="33"/>
    </row>
    <row r="179">
      <c r="A179" s="90"/>
      <c r="B179" s="33"/>
    </row>
    <row r="180">
      <c r="A180" s="90"/>
      <c r="B180" s="33"/>
    </row>
    <row r="181">
      <c r="A181" s="90"/>
      <c r="B181" s="33"/>
    </row>
    <row r="182">
      <c r="A182" s="90"/>
      <c r="B182" s="33"/>
    </row>
    <row r="183">
      <c r="A183" s="90"/>
      <c r="B183" s="33"/>
    </row>
    <row r="184">
      <c r="A184" s="90"/>
      <c r="B184" s="33"/>
    </row>
    <row r="185">
      <c r="A185" s="90"/>
      <c r="B185" s="33"/>
    </row>
    <row r="186">
      <c r="A186" s="90"/>
      <c r="B186" s="33"/>
    </row>
    <row r="187">
      <c r="A187" s="90"/>
      <c r="B187" s="33"/>
    </row>
    <row r="188">
      <c r="A188" s="90"/>
      <c r="B188" s="33"/>
    </row>
    <row r="189">
      <c r="A189" s="90"/>
      <c r="B189" s="33"/>
    </row>
    <row r="190">
      <c r="A190" s="90"/>
      <c r="B190" s="33"/>
    </row>
    <row r="191">
      <c r="A191" s="90"/>
      <c r="B191" s="33"/>
    </row>
    <row r="192">
      <c r="A192" s="90"/>
      <c r="B192" s="33"/>
    </row>
    <row r="193">
      <c r="A193" s="90"/>
      <c r="B193" s="33"/>
    </row>
    <row r="194">
      <c r="A194" s="90"/>
      <c r="B194" s="33"/>
    </row>
    <row r="195">
      <c r="A195" s="90"/>
      <c r="B195" s="33"/>
    </row>
    <row r="196">
      <c r="A196" s="90"/>
      <c r="B196" s="33"/>
    </row>
    <row r="197">
      <c r="A197" s="90"/>
      <c r="B197" s="33"/>
    </row>
    <row r="198">
      <c r="A198" s="90"/>
      <c r="B198" s="33"/>
    </row>
    <row r="199">
      <c r="A199" s="90"/>
      <c r="B199" s="33"/>
    </row>
    <row r="200">
      <c r="A200" s="90"/>
      <c r="B200" s="33"/>
    </row>
    <row r="201">
      <c r="A201" s="90"/>
      <c r="B201" s="33"/>
    </row>
    <row r="202">
      <c r="A202" s="90"/>
      <c r="B202" s="33"/>
    </row>
    <row r="203">
      <c r="A203" s="90"/>
      <c r="B203" s="33"/>
    </row>
    <row r="204">
      <c r="A204" s="90"/>
      <c r="B204" s="33"/>
    </row>
    <row r="205">
      <c r="A205" s="90"/>
      <c r="B205" s="33"/>
    </row>
    <row r="206">
      <c r="A206" s="90"/>
      <c r="B206" s="33"/>
    </row>
    <row r="207">
      <c r="A207" s="90"/>
      <c r="B207" s="33"/>
    </row>
    <row r="208">
      <c r="A208" s="90"/>
      <c r="B208" s="33"/>
    </row>
    <row r="209">
      <c r="A209" s="90"/>
      <c r="B209" s="33"/>
    </row>
    <row r="210">
      <c r="A210" s="90"/>
      <c r="B210" s="33"/>
    </row>
    <row r="211">
      <c r="A211" s="90"/>
      <c r="B211" s="33"/>
    </row>
    <row r="212">
      <c r="A212" s="90"/>
      <c r="B212" s="33"/>
    </row>
    <row r="213">
      <c r="A213" s="90"/>
      <c r="B213" s="33"/>
    </row>
    <row r="214">
      <c r="A214" s="90"/>
      <c r="B214" s="33"/>
    </row>
    <row r="215">
      <c r="A215" s="90"/>
      <c r="B215" s="33"/>
    </row>
    <row r="216">
      <c r="A216" s="90"/>
      <c r="B216" s="33"/>
    </row>
    <row r="217">
      <c r="A217" s="90"/>
      <c r="B217" s="33"/>
    </row>
    <row r="218">
      <c r="A218" s="90"/>
      <c r="B218" s="33"/>
    </row>
    <row r="219">
      <c r="A219" s="90"/>
      <c r="B219" s="33"/>
    </row>
    <row r="220">
      <c r="A220" s="90"/>
      <c r="B220" s="33"/>
    </row>
    <row r="221">
      <c r="A221" s="90"/>
      <c r="B221" s="33"/>
    </row>
    <row r="222">
      <c r="A222" s="90"/>
      <c r="B222" s="33"/>
    </row>
    <row r="223">
      <c r="A223" s="90"/>
      <c r="B223" s="33"/>
    </row>
    <row r="224">
      <c r="A224" s="90"/>
      <c r="B224" s="33"/>
    </row>
    <row r="225">
      <c r="A225" s="90"/>
      <c r="B225" s="33"/>
    </row>
    <row r="226">
      <c r="A226" s="90"/>
      <c r="B226" s="33"/>
    </row>
    <row r="227">
      <c r="A227" s="90"/>
      <c r="B227" s="33"/>
    </row>
    <row r="228">
      <c r="A228" s="90"/>
      <c r="B228" s="33"/>
    </row>
    <row r="229">
      <c r="A229" s="90"/>
      <c r="B229" s="33"/>
    </row>
    <row r="230">
      <c r="A230" s="90"/>
      <c r="B230" s="33"/>
    </row>
    <row r="231">
      <c r="A231" s="90"/>
      <c r="B231" s="33"/>
    </row>
    <row r="232">
      <c r="A232" s="90"/>
      <c r="B232" s="33"/>
    </row>
    <row r="233">
      <c r="A233" s="90"/>
      <c r="B233" s="33"/>
    </row>
    <row r="234">
      <c r="A234" s="90"/>
      <c r="B234" s="33"/>
    </row>
    <row r="235">
      <c r="A235" s="90"/>
      <c r="B235" s="33"/>
    </row>
    <row r="236">
      <c r="A236" s="90"/>
      <c r="B236" s="33"/>
    </row>
    <row r="237">
      <c r="A237" s="90"/>
      <c r="B237" s="33"/>
    </row>
    <row r="238">
      <c r="A238" s="90"/>
      <c r="B238" s="33"/>
    </row>
    <row r="239">
      <c r="A239" s="90"/>
      <c r="B239" s="33"/>
    </row>
    <row r="240">
      <c r="A240" s="90"/>
      <c r="B240" s="33"/>
    </row>
    <row r="241">
      <c r="A241" s="90"/>
      <c r="B241" s="33"/>
    </row>
    <row r="242">
      <c r="A242" s="90"/>
      <c r="B242" s="33"/>
    </row>
    <row r="243">
      <c r="A243" s="90"/>
      <c r="B243" s="33"/>
    </row>
    <row r="244">
      <c r="A244" s="90"/>
      <c r="B244" s="33"/>
    </row>
    <row r="245">
      <c r="A245" s="90"/>
      <c r="B245" s="33"/>
    </row>
    <row r="246">
      <c r="A246" s="90"/>
      <c r="B246" s="33"/>
    </row>
    <row r="247">
      <c r="A247" s="90"/>
      <c r="B247" s="33"/>
    </row>
    <row r="248">
      <c r="A248" s="90"/>
      <c r="B248" s="33"/>
    </row>
    <row r="249">
      <c r="A249" s="90"/>
      <c r="B249" s="33"/>
    </row>
    <row r="250">
      <c r="A250" s="90"/>
      <c r="B250" s="33"/>
    </row>
    <row r="251">
      <c r="A251" s="90"/>
      <c r="B251" s="33"/>
    </row>
    <row r="252">
      <c r="A252" s="90"/>
      <c r="B252" s="33"/>
    </row>
    <row r="253">
      <c r="A253" s="90"/>
      <c r="B253" s="33"/>
    </row>
    <row r="254">
      <c r="A254" s="90"/>
      <c r="B254" s="33"/>
    </row>
    <row r="255">
      <c r="A255" s="90"/>
      <c r="B255" s="33"/>
    </row>
    <row r="256">
      <c r="A256" s="90"/>
      <c r="B256" s="33"/>
    </row>
    <row r="257">
      <c r="A257" s="90"/>
      <c r="B257" s="33"/>
    </row>
    <row r="258">
      <c r="A258" s="90"/>
      <c r="B258" s="33"/>
    </row>
    <row r="259">
      <c r="A259" s="90"/>
      <c r="B259" s="33"/>
    </row>
    <row r="260">
      <c r="A260" s="90"/>
      <c r="B260" s="33"/>
    </row>
    <row r="261">
      <c r="A261" s="90"/>
      <c r="B261" s="33"/>
    </row>
    <row r="262">
      <c r="A262" s="90"/>
      <c r="B262" s="33"/>
    </row>
    <row r="263">
      <c r="A263" s="90"/>
      <c r="B263" s="33"/>
    </row>
    <row r="264">
      <c r="A264" s="90"/>
      <c r="B264" s="33"/>
    </row>
    <row r="265">
      <c r="A265" s="90"/>
      <c r="B265" s="33"/>
    </row>
    <row r="266">
      <c r="A266" s="90"/>
      <c r="B266" s="33"/>
    </row>
    <row r="267">
      <c r="A267" s="90"/>
      <c r="B267" s="33"/>
    </row>
    <row r="268">
      <c r="A268" s="90"/>
      <c r="B268" s="33"/>
    </row>
    <row r="269">
      <c r="A269" s="90"/>
      <c r="B269" s="33"/>
    </row>
    <row r="270">
      <c r="A270" s="90"/>
      <c r="B270" s="33"/>
    </row>
    <row r="271">
      <c r="A271" s="90"/>
      <c r="B271" s="33"/>
    </row>
    <row r="272">
      <c r="A272" s="90"/>
      <c r="B272" s="33"/>
    </row>
    <row r="273">
      <c r="A273" s="90"/>
      <c r="B273" s="33"/>
    </row>
    <row r="274">
      <c r="A274" s="90"/>
      <c r="B274" s="33"/>
    </row>
    <row r="275">
      <c r="A275" s="90"/>
      <c r="B275" s="33"/>
    </row>
    <row r="276">
      <c r="A276" s="90"/>
      <c r="B276" s="33"/>
    </row>
    <row r="277">
      <c r="A277" s="90"/>
      <c r="B277" s="33"/>
    </row>
    <row r="278">
      <c r="A278" s="90"/>
      <c r="B278" s="33"/>
    </row>
    <row r="279">
      <c r="A279" s="90"/>
      <c r="B279" s="33"/>
    </row>
    <row r="280">
      <c r="A280" s="90"/>
      <c r="B280" s="33"/>
    </row>
    <row r="281">
      <c r="A281" s="90"/>
      <c r="B281" s="33"/>
    </row>
    <row r="282">
      <c r="A282" s="90"/>
      <c r="B282" s="33"/>
    </row>
    <row r="283">
      <c r="A283" s="90"/>
      <c r="B283" s="33"/>
    </row>
    <row r="284">
      <c r="A284" s="90"/>
      <c r="B284" s="33"/>
    </row>
    <row r="285">
      <c r="A285" s="90"/>
      <c r="B285" s="33"/>
    </row>
    <row r="286">
      <c r="A286" s="90"/>
      <c r="B286" s="33"/>
    </row>
    <row r="287">
      <c r="A287" s="90"/>
      <c r="B287" s="33"/>
    </row>
    <row r="288">
      <c r="A288" s="90"/>
      <c r="B288" s="33"/>
    </row>
    <row r="289">
      <c r="A289" s="90"/>
      <c r="B289" s="33"/>
    </row>
    <row r="290">
      <c r="A290" s="90"/>
      <c r="B290" s="33"/>
    </row>
    <row r="291">
      <c r="A291" s="90"/>
      <c r="B291" s="33"/>
    </row>
    <row r="292">
      <c r="A292" s="90"/>
      <c r="B292" s="33"/>
    </row>
    <row r="293">
      <c r="A293" s="90"/>
      <c r="B293" s="33"/>
    </row>
    <row r="294">
      <c r="A294" s="90"/>
      <c r="B294" s="33"/>
    </row>
    <row r="295">
      <c r="A295" s="90"/>
      <c r="B295" s="33"/>
    </row>
    <row r="296">
      <c r="A296" s="90"/>
      <c r="B296" s="33"/>
    </row>
    <row r="297">
      <c r="A297" s="90"/>
      <c r="B297" s="33"/>
    </row>
    <row r="298">
      <c r="A298" s="90"/>
      <c r="B298" s="33"/>
    </row>
    <row r="299">
      <c r="A299" s="90"/>
      <c r="B299" s="33"/>
    </row>
    <row r="300">
      <c r="A300" s="90"/>
      <c r="B300" s="33"/>
    </row>
    <row r="301">
      <c r="A301" s="90"/>
      <c r="B301" s="33"/>
    </row>
    <row r="302">
      <c r="A302" s="90"/>
      <c r="B302" s="33"/>
    </row>
    <row r="303">
      <c r="A303" s="90"/>
      <c r="B303" s="33"/>
    </row>
    <row r="304">
      <c r="A304" s="90"/>
      <c r="B304" s="33"/>
    </row>
    <row r="305">
      <c r="A305" s="90"/>
      <c r="B305" s="33"/>
    </row>
    <row r="306">
      <c r="A306" s="90"/>
      <c r="B306" s="33"/>
    </row>
    <row r="307">
      <c r="A307" s="90"/>
      <c r="B307" s="33"/>
    </row>
    <row r="308">
      <c r="A308" s="90"/>
      <c r="B308" s="33"/>
    </row>
    <row r="309">
      <c r="A309" s="90"/>
      <c r="B309" s="33"/>
    </row>
    <row r="310">
      <c r="A310" s="90"/>
      <c r="B310" s="33"/>
    </row>
    <row r="311">
      <c r="A311" s="90"/>
      <c r="B311" s="33"/>
    </row>
    <row r="312">
      <c r="A312" s="90"/>
      <c r="B312" s="33"/>
    </row>
    <row r="313">
      <c r="A313" s="90"/>
      <c r="B313" s="33"/>
    </row>
    <row r="314">
      <c r="A314" s="90"/>
      <c r="B314" s="33"/>
    </row>
    <row r="315">
      <c r="A315" s="90"/>
      <c r="B315" s="33"/>
    </row>
    <row r="316">
      <c r="A316" s="90"/>
      <c r="B316" s="33"/>
    </row>
    <row r="317">
      <c r="A317" s="90"/>
      <c r="B317" s="33"/>
    </row>
    <row r="318">
      <c r="A318" s="90"/>
      <c r="B318" s="33"/>
    </row>
    <row r="319">
      <c r="A319" s="90"/>
      <c r="B319" s="33"/>
    </row>
    <row r="320">
      <c r="A320" s="90"/>
      <c r="B320" s="33"/>
    </row>
    <row r="321">
      <c r="A321" s="90"/>
      <c r="B321" s="33"/>
    </row>
    <row r="322">
      <c r="A322" s="90"/>
      <c r="B322" s="33"/>
    </row>
    <row r="323">
      <c r="A323" s="90"/>
      <c r="B323" s="33"/>
    </row>
    <row r="324">
      <c r="A324" s="90"/>
      <c r="B324" s="33"/>
    </row>
    <row r="325">
      <c r="A325" s="90"/>
      <c r="B325" s="33"/>
    </row>
    <row r="326">
      <c r="A326" s="90"/>
      <c r="B326" s="33"/>
    </row>
    <row r="327">
      <c r="A327" s="90"/>
      <c r="B327" s="33"/>
    </row>
    <row r="328">
      <c r="A328" s="90"/>
      <c r="B328" s="33"/>
    </row>
    <row r="329">
      <c r="A329" s="90"/>
      <c r="B329" s="33"/>
    </row>
    <row r="330">
      <c r="A330" s="90"/>
      <c r="B330" s="33"/>
    </row>
    <row r="331">
      <c r="A331" s="90"/>
      <c r="B331" s="33"/>
    </row>
    <row r="332">
      <c r="A332" s="90"/>
      <c r="B332" s="33"/>
    </row>
    <row r="333">
      <c r="A333" s="90"/>
      <c r="B333" s="33"/>
    </row>
    <row r="334">
      <c r="A334" s="90"/>
      <c r="B334" s="33"/>
    </row>
    <row r="335">
      <c r="A335" s="90"/>
      <c r="B335" s="33"/>
    </row>
    <row r="336">
      <c r="A336" s="90"/>
      <c r="B336" s="33"/>
    </row>
    <row r="337">
      <c r="A337" s="90"/>
      <c r="B337" s="33"/>
    </row>
    <row r="338">
      <c r="A338" s="90"/>
      <c r="B338" s="33"/>
    </row>
    <row r="339">
      <c r="A339" s="90"/>
      <c r="B339" s="33"/>
    </row>
    <row r="340">
      <c r="A340" s="90"/>
      <c r="B340" s="33"/>
    </row>
    <row r="341">
      <c r="A341" s="90"/>
      <c r="B341" s="33"/>
    </row>
    <row r="342">
      <c r="A342" s="90"/>
      <c r="B342" s="33"/>
    </row>
    <row r="343">
      <c r="A343" s="90"/>
      <c r="B343" s="33"/>
    </row>
    <row r="344">
      <c r="A344" s="90"/>
      <c r="B344" s="33"/>
    </row>
    <row r="345">
      <c r="A345" s="90"/>
      <c r="B345" s="33"/>
    </row>
    <row r="346">
      <c r="A346" s="90"/>
      <c r="B346" s="33"/>
    </row>
    <row r="347">
      <c r="A347" s="90"/>
      <c r="B347" s="33"/>
    </row>
    <row r="348">
      <c r="A348" s="90"/>
      <c r="B348" s="33"/>
    </row>
    <row r="349">
      <c r="A349" s="90"/>
      <c r="B349" s="33"/>
    </row>
    <row r="350">
      <c r="A350" s="90"/>
      <c r="B350" s="33"/>
    </row>
    <row r="351">
      <c r="A351" s="90"/>
      <c r="B351" s="33"/>
    </row>
    <row r="352">
      <c r="A352" s="90"/>
      <c r="B352" s="33"/>
    </row>
    <row r="353">
      <c r="A353" s="90"/>
      <c r="B353" s="33"/>
    </row>
    <row r="354">
      <c r="A354" s="90"/>
      <c r="B354" s="33"/>
    </row>
    <row r="355">
      <c r="A355" s="90"/>
      <c r="B355" s="33"/>
    </row>
    <row r="356">
      <c r="A356" s="90"/>
      <c r="B356" s="33"/>
    </row>
    <row r="357">
      <c r="A357" s="90"/>
      <c r="B357" s="33"/>
    </row>
    <row r="358">
      <c r="A358" s="90"/>
      <c r="B358" s="33"/>
    </row>
    <row r="359">
      <c r="A359" s="90"/>
      <c r="B359" s="33"/>
    </row>
    <row r="360">
      <c r="A360" s="90"/>
      <c r="B360" s="33"/>
    </row>
    <row r="361">
      <c r="A361" s="90"/>
      <c r="B361" s="33"/>
    </row>
    <row r="362">
      <c r="A362" s="90"/>
      <c r="B362" s="33"/>
    </row>
    <row r="363">
      <c r="A363" s="90"/>
      <c r="B363" s="33"/>
    </row>
    <row r="364">
      <c r="A364" s="90"/>
      <c r="B364" s="33"/>
    </row>
    <row r="365">
      <c r="A365" s="90"/>
      <c r="B365" s="33"/>
    </row>
    <row r="366">
      <c r="A366" s="90"/>
      <c r="B366" s="33"/>
    </row>
    <row r="367">
      <c r="A367" s="90"/>
      <c r="B367" s="33"/>
    </row>
    <row r="368">
      <c r="A368" s="90"/>
      <c r="B368" s="33"/>
    </row>
    <row r="369">
      <c r="A369" s="90"/>
      <c r="B369" s="33"/>
    </row>
    <row r="370">
      <c r="A370" s="90"/>
      <c r="B370" s="33"/>
    </row>
    <row r="371">
      <c r="A371" s="90"/>
      <c r="B371" s="33"/>
    </row>
    <row r="372">
      <c r="A372" s="90"/>
      <c r="B372" s="33"/>
    </row>
    <row r="373">
      <c r="A373" s="90"/>
      <c r="B373" s="33"/>
    </row>
    <row r="374">
      <c r="A374" s="90"/>
      <c r="B374" s="33"/>
    </row>
    <row r="375">
      <c r="A375" s="90"/>
      <c r="B375" s="33"/>
    </row>
    <row r="376">
      <c r="A376" s="90"/>
      <c r="B376" s="33"/>
    </row>
    <row r="377">
      <c r="A377" s="90"/>
      <c r="B377" s="33"/>
    </row>
    <row r="378">
      <c r="A378" s="90"/>
      <c r="B378" s="33"/>
    </row>
    <row r="379">
      <c r="A379" s="90"/>
      <c r="B379" s="33"/>
    </row>
    <row r="380">
      <c r="A380" s="90"/>
      <c r="B380" s="33"/>
    </row>
    <row r="381">
      <c r="A381" s="90"/>
      <c r="B381" s="33"/>
    </row>
    <row r="382">
      <c r="A382" s="90"/>
      <c r="B382" s="33"/>
    </row>
    <row r="383">
      <c r="A383" s="90"/>
      <c r="B383" s="33"/>
    </row>
    <row r="384">
      <c r="A384" s="90"/>
      <c r="B384" s="33"/>
    </row>
    <row r="385">
      <c r="A385" s="90"/>
      <c r="B385" s="33"/>
    </row>
    <row r="386">
      <c r="A386" s="90"/>
      <c r="B386" s="33"/>
    </row>
    <row r="387">
      <c r="A387" s="90"/>
      <c r="B387" s="33"/>
    </row>
    <row r="388">
      <c r="A388" s="90"/>
      <c r="B388" s="33"/>
    </row>
    <row r="389">
      <c r="A389" s="90"/>
      <c r="B389" s="33"/>
    </row>
    <row r="390">
      <c r="A390" s="90"/>
      <c r="B390" s="33"/>
    </row>
    <row r="391">
      <c r="A391" s="90"/>
      <c r="B391" s="33"/>
    </row>
    <row r="392">
      <c r="A392" s="90"/>
      <c r="B392" s="33"/>
    </row>
    <row r="393">
      <c r="A393" s="90"/>
      <c r="B393" s="33"/>
    </row>
    <row r="394">
      <c r="A394" s="90"/>
      <c r="B394" s="33"/>
    </row>
    <row r="395">
      <c r="A395" s="90"/>
      <c r="B395" s="33"/>
    </row>
    <row r="396">
      <c r="A396" s="90"/>
      <c r="B396" s="33"/>
    </row>
    <row r="397">
      <c r="A397" s="90"/>
      <c r="B397" s="33"/>
    </row>
    <row r="398">
      <c r="A398" s="90"/>
      <c r="B398" s="33"/>
    </row>
    <row r="399">
      <c r="A399" s="90"/>
      <c r="B399" s="33"/>
    </row>
    <row r="400">
      <c r="A400" s="90"/>
      <c r="B400" s="33"/>
    </row>
    <row r="401">
      <c r="A401" s="90"/>
      <c r="B401" s="33"/>
    </row>
    <row r="402">
      <c r="A402" s="90"/>
      <c r="B402" s="33"/>
    </row>
    <row r="403">
      <c r="A403" s="90"/>
      <c r="B403" s="33"/>
    </row>
    <row r="404">
      <c r="A404" s="90"/>
      <c r="B404" s="33"/>
    </row>
    <row r="405">
      <c r="A405" s="90"/>
      <c r="B405" s="33"/>
    </row>
    <row r="406">
      <c r="A406" s="90"/>
      <c r="B406" s="33"/>
    </row>
    <row r="407">
      <c r="A407" s="90"/>
      <c r="B407" s="33"/>
    </row>
    <row r="408">
      <c r="A408" s="90"/>
      <c r="B408" s="33"/>
    </row>
    <row r="409">
      <c r="A409" s="90"/>
      <c r="B409" s="33"/>
    </row>
    <row r="410">
      <c r="A410" s="90"/>
      <c r="B410" s="33"/>
    </row>
    <row r="411">
      <c r="A411" s="90"/>
      <c r="B411" s="33"/>
    </row>
    <row r="412">
      <c r="A412" s="90"/>
      <c r="B412" s="33"/>
    </row>
    <row r="413">
      <c r="A413" s="90"/>
      <c r="B413" s="33"/>
    </row>
    <row r="414">
      <c r="A414" s="90"/>
      <c r="B414" s="33"/>
    </row>
    <row r="415">
      <c r="A415" s="90"/>
      <c r="B415" s="33"/>
    </row>
    <row r="416">
      <c r="A416" s="90"/>
      <c r="B416" s="33"/>
    </row>
    <row r="417">
      <c r="A417" s="90"/>
      <c r="B417" s="33"/>
    </row>
    <row r="418">
      <c r="A418" s="90"/>
      <c r="B418" s="33"/>
    </row>
    <row r="419">
      <c r="A419" s="90"/>
      <c r="B419" s="33"/>
    </row>
    <row r="420">
      <c r="A420" s="90"/>
      <c r="B420" s="33"/>
    </row>
    <row r="421">
      <c r="A421" s="90"/>
      <c r="B421" s="33"/>
    </row>
    <row r="422">
      <c r="A422" s="90"/>
      <c r="B422" s="33"/>
    </row>
    <row r="423">
      <c r="A423" s="90"/>
      <c r="B423" s="33"/>
    </row>
    <row r="424">
      <c r="A424" s="90"/>
      <c r="B424" s="33"/>
    </row>
    <row r="425">
      <c r="A425" s="90"/>
      <c r="B425" s="33"/>
    </row>
    <row r="426">
      <c r="A426" s="90"/>
      <c r="B426" s="33"/>
    </row>
    <row r="427">
      <c r="A427" s="90"/>
      <c r="B427" s="33"/>
    </row>
    <row r="428">
      <c r="A428" s="90"/>
      <c r="B428" s="33"/>
    </row>
    <row r="429">
      <c r="A429" s="90"/>
      <c r="B429" s="33"/>
    </row>
    <row r="430">
      <c r="A430" s="90"/>
      <c r="B430" s="33"/>
    </row>
    <row r="431">
      <c r="A431" s="90"/>
      <c r="B431" s="33"/>
    </row>
    <row r="432">
      <c r="A432" s="90"/>
      <c r="B432" s="33"/>
    </row>
    <row r="433">
      <c r="A433" s="90"/>
      <c r="B433" s="33"/>
    </row>
    <row r="434">
      <c r="A434" s="90"/>
      <c r="B434" s="33"/>
    </row>
    <row r="435">
      <c r="A435" s="90"/>
      <c r="B435" s="33"/>
    </row>
    <row r="436">
      <c r="A436" s="90"/>
      <c r="B436" s="33"/>
    </row>
    <row r="437">
      <c r="A437" s="90"/>
      <c r="B437" s="33"/>
    </row>
    <row r="438">
      <c r="A438" s="90"/>
      <c r="B438" s="33"/>
    </row>
    <row r="439">
      <c r="A439" s="90"/>
      <c r="B439" s="33"/>
    </row>
    <row r="440">
      <c r="A440" s="90"/>
      <c r="B440" s="33"/>
    </row>
    <row r="441">
      <c r="A441" s="90"/>
      <c r="B441" s="33"/>
    </row>
    <row r="442">
      <c r="A442" s="90"/>
      <c r="B442" s="33"/>
    </row>
    <row r="443">
      <c r="A443" s="90"/>
      <c r="B443" s="33"/>
    </row>
    <row r="444">
      <c r="A444" s="90"/>
      <c r="B444" s="33"/>
    </row>
    <row r="445">
      <c r="A445" s="90"/>
      <c r="B445" s="33"/>
    </row>
    <row r="446">
      <c r="A446" s="90"/>
      <c r="B446" s="33"/>
    </row>
    <row r="447">
      <c r="A447" s="90"/>
      <c r="B447" s="33"/>
    </row>
    <row r="448">
      <c r="A448" s="90"/>
      <c r="B448" s="33"/>
    </row>
    <row r="449">
      <c r="A449" s="90"/>
      <c r="B449" s="33"/>
    </row>
    <row r="450">
      <c r="A450" s="90"/>
      <c r="B450" s="33"/>
    </row>
    <row r="451">
      <c r="A451" s="90"/>
      <c r="B451" s="33"/>
    </row>
    <row r="452">
      <c r="A452" s="90"/>
      <c r="B452" s="33"/>
    </row>
    <row r="453">
      <c r="A453" s="90"/>
      <c r="B453" s="33"/>
    </row>
    <row r="454">
      <c r="A454" s="90"/>
      <c r="B454" s="33"/>
    </row>
    <row r="455">
      <c r="A455" s="90"/>
      <c r="B455" s="33"/>
    </row>
    <row r="456">
      <c r="A456" s="90"/>
      <c r="B456" s="33"/>
    </row>
    <row r="457">
      <c r="A457" s="90"/>
      <c r="B457" s="33"/>
    </row>
    <row r="458">
      <c r="A458" s="90"/>
      <c r="B458" s="33"/>
    </row>
    <row r="459">
      <c r="A459" s="90"/>
      <c r="B459" s="33"/>
    </row>
    <row r="460">
      <c r="A460" s="90"/>
      <c r="B460" s="33"/>
    </row>
    <row r="461">
      <c r="A461" s="90"/>
      <c r="B461" s="33"/>
    </row>
    <row r="462">
      <c r="A462" s="90"/>
      <c r="B462" s="33"/>
    </row>
    <row r="463">
      <c r="A463" s="90"/>
      <c r="B463" s="33"/>
    </row>
    <row r="464">
      <c r="A464" s="90"/>
      <c r="B464" s="33"/>
    </row>
    <row r="465">
      <c r="A465" s="90"/>
      <c r="B465" s="33"/>
    </row>
    <row r="466">
      <c r="A466" s="90"/>
      <c r="B466" s="33"/>
    </row>
    <row r="467">
      <c r="A467" s="90"/>
      <c r="B467" s="33"/>
    </row>
    <row r="468">
      <c r="A468" s="90"/>
      <c r="B468" s="33"/>
    </row>
    <row r="469">
      <c r="A469" s="90"/>
      <c r="B469" s="33"/>
    </row>
    <row r="470">
      <c r="A470" s="90"/>
      <c r="B470" s="33"/>
    </row>
    <row r="471">
      <c r="A471" s="90"/>
      <c r="B471" s="33"/>
    </row>
    <row r="472">
      <c r="A472" s="90"/>
      <c r="B472" s="33"/>
    </row>
    <row r="473">
      <c r="A473" s="90"/>
      <c r="B473" s="33"/>
    </row>
    <row r="474">
      <c r="A474" s="90"/>
      <c r="B474" s="33"/>
    </row>
    <row r="475">
      <c r="A475" s="90"/>
      <c r="B475" s="33"/>
    </row>
    <row r="476">
      <c r="A476" s="90"/>
      <c r="B476" s="33"/>
    </row>
    <row r="477">
      <c r="A477" s="90"/>
      <c r="B477" s="33"/>
    </row>
    <row r="478">
      <c r="A478" s="90"/>
      <c r="B478" s="33"/>
    </row>
    <row r="479">
      <c r="A479" s="90"/>
      <c r="B479" s="33"/>
    </row>
    <row r="480">
      <c r="A480" s="90"/>
      <c r="B480" s="33"/>
    </row>
    <row r="481">
      <c r="A481" s="90"/>
      <c r="B481" s="33"/>
    </row>
    <row r="482">
      <c r="A482" s="90"/>
      <c r="B482" s="33"/>
    </row>
    <row r="483">
      <c r="A483" s="90"/>
      <c r="B483" s="33"/>
    </row>
    <row r="484">
      <c r="A484" s="90"/>
      <c r="B484" s="33"/>
    </row>
    <row r="485">
      <c r="A485" s="90"/>
      <c r="B485" s="33"/>
    </row>
    <row r="486">
      <c r="A486" s="90"/>
      <c r="B486" s="33"/>
    </row>
    <row r="487">
      <c r="A487" s="90"/>
      <c r="B487" s="33"/>
    </row>
    <row r="488">
      <c r="A488" s="90"/>
      <c r="B488" s="33"/>
    </row>
    <row r="489">
      <c r="A489" s="90"/>
      <c r="B489" s="33"/>
    </row>
    <row r="490">
      <c r="A490" s="90"/>
      <c r="B490" s="33"/>
    </row>
    <row r="491">
      <c r="A491" s="90"/>
      <c r="B491" s="33"/>
    </row>
    <row r="492">
      <c r="A492" s="90"/>
      <c r="B492" s="33"/>
    </row>
    <row r="493">
      <c r="A493" s="90"/>
      <c r="B493" s="33"/>
    </row>
    <row r="494">
      <c r="A494" s="90"/>
      <c r="B494" s="33"/>
    </row>
    <row r="495">
      <c r="A495" s="90"/>
      <c r="B495" s="33"/>
    </row>
    <row r="496">
      <c r="A496" s="90"/>
      <c r="B496" s="33"/>
    </row>
    <row r="497">
      <c r="A497" s="90"/>
      <c r="B497" s="33"/>
    </row>
    <row r="498">
      <c r="A498" s="90"/>
      <c r="B498" s="33"/>
    </row>
    <row r="499">
      <c r="A499" s="90"/>
      <c r="B499" s="33"/>
    </row>
    <row r="500">
      <c r="A500" s="90"/>
      <c r="B500" s="33"/>
    </row>
    <row r="501">
      <c r="A501" s="90"/>
      <c r="B501" s="33"/>
    </row>
    <row r="502">
      <c r="A502" s="90"/>
      <c r="B502" s="33"/>
    </row>
    <row r="503">
      <c r="A503" s="90"/>
      <c r="B503" s="33"/>
    </row>
    <row r="504">
      <c r="A504" s="90"/>
      <c r="B504" s="33"/>
    </row>
    <row r="505">
      <c r="A505" s="90"/>
      <c r="B505" s="33"/>
    </row>
    <row r="506">
      <c r="A506" s="90"/>
      <c r="B506" s="33"/>
    </row>
    <row r="507">
      <c r="A507" s="90"/>
      <c r="B507" s="33"/>
    </row>
    <row r="508">
      <c r="A508" s="90"/>
      <c r="B508" s="33"/>
    </row>
    <row r="509">
      <c r="A509" s="90"/>
      <c r="B509" s="33"/>
    </row>
    <row r="510">
      <c r="A510" s="90"/>
      <c r="B510" s="33"/>
    </row>
    <row r="511">
      <c r="A511" s="90"/>
      <c r="B511" s="33"/>
    </row>
    <row r="512">
      <c r="A512" s="90"/>
      <c r="B512" s="33"/>
    </row>
    <row r="513">
      <c r="A513" s="90"/>
      <c r="B513" s="33"/>
    </row>
    <row r="514">
      <c r="A514" s="90"/>
      <c r="B514" s="33"/>
    </row>
    <row r="515">
      <c r="A515" s="90"/>
      <c r="B515" s="33"/>
    </row>
    <row r="516">
      <c r="A516" s="90"/>
      <c r="B516" s="33"/>
    </row>
    <row r="517">
      <c r="A517" s="90"/>
      <c r="B517" s="33"/>
    </row>
    <row r="518">
      <c r="A518" s="90"/>
      <c r="B518" s="33"/>
    </row>
    <row r="519">
      <c r="A519" s="90"/>
      <c r="B519" s="33"/>
    </row>
    <row r="520">
      <c r="A520" s="90"/>
      <c r="B520" s="33"/>
    </row>
    <row r="521">
      <c r="A521" s="90"/>
      <c r="B521" s="33"/>
    </row>
    <row r="522">
      <c r="A522" s="90"/>
      <c r="B522" s="33"/>
    </row>
    <row r="523">
      <c r="A523" s="90"/>
      <c r="B523" s="33"/>
    </row>
    <row r="524">
      <c r="A524" s="90"/>
      <c r="B524" s="33"/>
    </row>
    <row r="525">
      <c r="A525" s="90"/>
      <c r="B525" s="33"/>
    </row>
    <row r="526">
      <c r="A526" s="90"/>
      <c r="B526" s="33"/>
    </row>
    <row r="527">
      <c r="A527" s="90"/>
      <c r="B527" s="33"/>
    </row>
    <row r="528">
      <c r="A528" s="90"/>
      <c r="B528" s="33"/>
    </row>
    <row r="529">
      <c r="A529" s="90"/>
      <c r="B529" s="33"/>
    </row>
    <row r="530">
      <c r="A530" s="90"/>
      <c r="B530" s="33"/>
    </row>
    <row r="531">
      <c r="A531" s="90"/>
      <c r="B531" s="33"/>
    </row>
    <row r="532">
      <c r="A532" s="90"/>
      <c r="B532" s="33"/>
    </row>
    <row r="533">
      <c r="A533" s="90"/>
      <c r="B533" s="33"/>
    </row>
    <row r="534">
      <c r="A534" s="90"/>
      <c r="B534" s="33"/>
    </row>
    <row r="535">
      <c r="A535" s="90"/>
      <c r="B535" s="33"/>
    </row>
    <row r="536">
      <c r="A536" s="90"/>
      <c r="B536" s="33"/>
    </row>
    <row r="537">
      <c r="A537" s="90"/>
      <c r="B537" s="33"/>
    </row>
    <row r="538">
      <c r="A538" s="90"/>
      <c r="B538" s="33"/>
    </row>
    <row r="539">
      <c r="A539" s="90"/>
      <c r="B539" s="33"/>
    </row>
    <row r="540">
      <c r="A540" s="90"/>
      <c r="B540" s="33"/>
    </row>
    <row r="541">
      <c r="A541" s="90"/>
      <c r="B541" s="33"/>
    </row>
    <row r="542">
      <c r="A542" s="90"/>
      <c r="B542" s="33"/>
    </row>
    <row r="543">
      <c r="A543" s="90"/>
      <c r="B543" s="33"/>
    </row>
    <row r="544">
      <c r="A544" s="90"/>
      <c r="B544" s="33"/>
    </row>
    <row r="545">
      <c r="A545" s="90"/>
      <c r="B545" s="33"/>
    </row>
    <row r="546">
      <c r="A546" s="90"/>
      <c r="B546" s="33"/>
    </row>
    <row r="547">
      <c r="A547" s="90"/>
      <c r="B547" s="33"/>
    </row>
    <row r="548">
      <c r="A548" s="90"/>
      <c r="B548" s="33"/>
    </row>
    <row r="549">
      <c r="A549" s="90"/>
      <c r="B549" s="33"/>
    </row>
    <row r="550">
      <c r="A550" s="90"/>
      <c r="B550" s="33"/>
    </row>
    <row r="551">
      <c r="A551" s="90"/>
      <c r="B551" s="33"/>
    </row>
    <row r="552">
      <c r="A552" s="90"/>
      <c r="B552" s="33"/>
    </row>
    <row r="553">
      <c r="A553" s="90"/>
      <c r="B553" s="33"/>
    </row>
    <row r="554">
      <c r="A554" s="90"/>
      <c r="B554" s="33"/>
    </row>
    <row r="555">
      <c r="A555" s="90"/>
      <c r="B555" s="33"/>
    </row>
    <row r="556">
      <c r="A556" s="90"/>
      <c r="B556" s="33"/>
    </row>
    <row r="557">
      <c r="A557" s="90"/>
      <c r="B557" s="33"/>
    </row>
    <row r="558">
      <c r="A558" s="90"/>
      <c r="B558" s="33"/>
    </row>
    <row r="559">
      <c r="A559" s="90"/>
      <c r="B559" s="33"/>
    </row>
    <row r="560">
      <c r="A560" s="90"/>
      <c r="B560" s="33"/>
    </row>
    <row r="561">
      <c r="A561" s="90"/>
      <c r="B561" s="33"/>
    </row>
    <row r="562">
      <c r="A562" s="90"/>
      <c r="B562" s="33"/>
    </row>
    <row r="563">
      <c r="A563" s="90"/>
      <c r="B563" s="33"/>
    </row>
    <row r="564">
      <c r="A564" s="90"/>
      <c r="B564" s="33"/>
    </row>
    <row r="565">
      <c r="A565" s="90"/>
      <c r="B565" s="33"/>
    </row>
    <row r="566">
      <c r="A566" s="90"/>
      <c r="B566" s="33"/>
    </row>
    <row r="567">
      <c r="A567" s="90"/>
      <c r="B567" s="33"/>
    </row>
    <row r="568">
      <c r="A568" s="90"/>
      <c r="B568" s="33"/>
    </row>
    <row r="569">
      <c r="A569" s="90"/>
      <c r="B569" s="33"/>
    </row>
    <row r="570">
      <c r="A570" s="90"/>
      <c r="B570" s="33"/>
    </row>
    <row r="571">
      <c r="A571" s="90"/>
      <c r="B571" s="33"/>
    </row>
    <row r="572">
      <c r="A572" s="90"/>
      <c r="B572" s="33"/>
    </row>
    <row r="573">
      <c r="A573" s="90"/>
      <c r="B573" s="33"/>
    </row>
    <row r="574">
      <c r="A574" s="90"/>
      <c r="B574" s="33"/>
    </row>
    <row r="575">
      <c r="A575" s="90"/>
      <c r="B575" s="33"/>
    </row>
    <row r="576">
      <c r="A576" s="90"/>
      <c r="B576" s="33"/>
    </row>
    <row r="577">
      <c r="A577" s="90"/>
      <c r="B577" s="33"/>
    </row>
    <row r="578">
      <c r="A578" s="90"/>
      <c r="B578" s="33"/>
    </row>
    <row r="579">
      <c r="A579" s="90"/>
      <c r="B579" s="33"/>
    </row>
    <row r="580">
      <c r="A580" s="90"/>
      <c r="B580" s="33"/>
    </row>
    <row r="581">
      <c r="A581" s="90"/>
      <c r="B581" s="33"/>
    </row>
    <row r="582">
      <c r="A582" s="90"/>
      <c r="B582" s="33"/>
    </row>
    <row r="583">
      <c r="A583" s="90"/>
      <c r="B583" s="33"/>
    </row>
    <row r="584">
      <c r="A584" s="90"/>
      <c r="B584" s="33"/>
    </row>
    <row r="585">
      <c r="A585" s="90"/>
      <c r="B585" s="33"/>
    </row>
    <row r="586">
      <c r="A586" s="90"/>
      <c r="B586" s="33"/>
    </row>
    <row r="587">
      <c r="A587" s="90"/>
      <c r="B587" s="33"/>
    </row>
    <row r="588">
      <c r="A588" s="90"/>
      <c r="B588" s="33"/>
    </row>
    <row r="589">
      <c r="A589" s="90"/>
      <c r="B589" s="33"/>
    </row>
    <row r="590">
      <c r="A590" s="90"/>
      <c r="B590" s="33"/>
    </row>
    <row r="591">
      <c r="A591" s="90"/>
      <c r="B591" s="33"/>
    </row>
    <row r="592">
      <c r="A592" s="90"/>
      <c r="B592" s="33"/>
    </row>
    <row r="593">
      <c r="A593" s="90"/>
      <c r="B593" s="33"/>
    </row>
    <row r="594">
      <c r="A594" s="90"/>
      <c r="B594" s="33"/>
    </row>
    <row r="595">
      <c r="A595" s="90"/>
      <c r="B595" s="33"/>
    </row>
    <row r="596">
      <c r="A596" s="90"/>
      <c r="B596" s="33"/>
    </row>
    <row r="597">
      <c r="A597" s="90"/>
      <c r="B597" s="33"/>
    </row>
    <row r="598">
      <c r="A598" s="90"/>
      <c r="B598" s="33"/>
    </row>
    <row r="599">
      <c r="A599" s="90"/>
      <c r="B599" s="33"/>
    </row>
    <row r="600">
      <c r="A600" s="90"/>
      <c r="B600" s="33"/>
    </row>
    <row r="601">
      <c r="A601" s="90"/>
      <c r="B601" s="33"/>
    </row>
    <row r="602">
      <c r="A602" s="90"/>
      <c r="B602" s="33"/>
    </row>
    <row r="603">
      <c r="A603" s="90"/>
      <c r="B603" s="33"/>
    </row>
    <row r="604">
      <c r="A604" s="90"/>
      <c r="B604" s="33"/>
    </row>
    <row r="605">
      <c r="A605" s="90"/>
      <c r="B605" s="33"/>
    </row>
    <row r="606">
      <c r="A606" s="90"/>
      <c r="B606" s="33"/>
    </row>
    <row r="607">
      <c r="A607" s="90"/>
      <c r="B607" s="33"/>
    </row>
    <row r="608">
      <c r="A608" s="90"/>
      <c r="B608" s="33"/>
    </row>
    <row r="609">
      <c r="A609" s="90"/>
      <c r="B609" s="33"/>
    </row>
    <row r="610">
      <c r="A610" s="90"/>
      <c r="B610" s="33"/>
    </row>
    <row r="611">
      <c r="A611" s="90"/>
      <c r="B611" s="33"/>
    </row>
    <row r="612">
      <c r="A612" s="90"/>
      <c r="B612" s="33"/>
    </row>
    <row r="613">
      <c r="A613" s="90"/>
      <c r="B613" s="33"/>
    </row>
    <row r="614">
      <c r="A614" s="90"/>
      <c r="B614" s="33"/>
    </row>
    <row r="615">
      <c r="A615" s="90"/>
      <c r="B615" s="33"/>
    </row>
    <row r="616">
      <c r="A616" s="90"/>
      <c r="B616" s="33"/>
    </row>
    <row r="617">
      <c r="A617" s="90"/>
      <c r="B617" s="33"/>
    </row>
    <row r="618">
      <c r="A618" s="90"/>
      <c r="B618" s="33"/>
    </row>
    <row r="619">
      <c r="A619" s="90"/>
      <c r="B619" s="33"/>
    </row>
    <row r="620">
      <c r="A620" s="90"/>
      <c r="B620" s="33"/>
    </row>
    <row r="621">
      <c r="A621" s="90"/>
      <c r="B621" s="33"/>
    </row>
    <row r="622">
      <c r="A622" s="90"/>
      <c r="B622" s="33"/>
    </row>
    <row r="623">
      <c r="A623" s="90"/>
      <c r="B623" s="33"/>
    </row>
    <row r="624">
      <c r="A624" s="90"/>
      <c r="B624" s="33"/>
    </row>
    <row r="625">
      <c r="A625" s="90"/>
      <c r="B625" s="33"/>
    </row>
    <row r="626">
      <c r="A626" s="90"/>
      <c r="B626" s="33"/>
    </row>
    <row r="627">
      <c r="A627" s="90"/>
      <c r="B627" s="33"/>
    </row>
    <row r="628">
      <c r="A628" s="90"/>
      <c r="B628" s="33"/>
    </row>
    <row r="629">
      <c r="A629" s="90"/>
      <c r="B629" s="33"/>
    </row>
    <row r="630">
      <c r="A630" s="90"/>
      <c r="B630" s="33"/>
    </row>
    <row r="631">
      <c r="A631" s="90"/>
      <c r="B631" s="33"/>
    </row>
    <row r="632">
      <c r="A632" s="90"/>
      <c r="B632" s="33"/>
    </row>
    <row r="633">
      <c r="A633" s="90"/>
      <c r="B633" s="33"/>
    </row>
    <row r="634">
      <c r="A634" s="90"/>
      <c r="B634" s="33"/>
    </row>
    <row r="635">
      <c r="A635" s="90"/>
      <c r="B635" s="33"/>
    </row>
    <row r="636">
      <c r="A636" s="90"/>
      <c r="B636" s="33"/>
    </row>
    <row r="637">
      <c r="A637" s="90"/>
      <c r="B637" s="33"/>
    </row>
    <row r="638">
      <c r="A638" s="90"/>
      <c r="B638" s="33"/>
    </row>
    <row r="639">
      <c r="A639" s="90"/>
      <c r="B639" s="33"/>
    </row>
    <row r="640">
      <c r="A640" s="90"/>
      <c r="B640" s="33"/>
    </row>
    <row r="641">
      <c r="A641" s="90"/>
      <c r="B641" s="33"/>
    </row>
    <row r="642">
      <c r="A642" s="90"/>
      <c r="B642" s="33"/>
    </row>
    <row r="643">
      <c r="A643" s="90"/>
      <c r="B643" s="33"/>
    </row>
    <row r="644">
      <c r="A644" s="90"/>
      <c r="B644" s="33"/>
    </row>
    <row r="645">
      <c r="A645" s="90"/>
      <c r="B645" s="33"/>
    </row>
    <row r="646">
      <c r="A646" s="90"/>
      <c r="B646" s="33"/>
    </row>
    <row r="647">
      <c r="A647" s="90"/>
      <c r="B647" s="33"/>
    </row>
    <row r="648">
      <c r="A648" s="90"/>
      <c r="B648" s="33"/>
    </row>
    <row r="649">
      <c r="A649" s="90"/>
      <c r="B649" s="33"/>
    </row>
    <row r="650">
      <c r="A650" s="90"/>
      <c r="B650" s="33"/>
    </row>
    <row r="651">
      <c r="A651" s="90"/>
      <c r="B651" s="33"/>
    </row>
    <row r="652">
      <c r="A652" s="90"/>
      <c r="B652" s="33"/>
    </row>
    <row r="653">
      <c r="A653" s="90"/>
      <c r="B653" s="33"/>
    </row>
    <row r="654">
      <c r="A654" s="90"/>
      <c r="B654" s="33"/>
    </row>
    <row r="655">
      <c r="A655" s="90"/>
      <c r="B655" s="33"/>
    </row>
    <row r="656">
      <c r="A656" s="90"/>
      <c r="B656" s="33"/>
    </row>
    <row r="657">
      <c r="A657" s="90"/>
      <c r="B657" s="33"/>
    </row>
    <row r="658">
      <c r="A658" s="90"/>
      <c r="B658" s="33"/>
    </row>
    <row r="659">
      <c r="A659" s="90"/>
      <c r="B659" s="33"/>
    </row>
    <row r="660">
      <c r="A660" s="90"/>
      <c r="B660" s="33"/>
    </row>
    <row r="661">
      <c r="A661" s="90"/>
      <c r="B661" s="33"/>
    </row>
    <row r="662">
      <c r="A662" s="90"/>
      <c r="B662" s="33"/>
    </row>
    <row r="663">
      <c r="A663" s="90"/>
      <c r="B663" s="33"/>
    </row>
    <row r="664">
      <c r="A664" s="90"/>
      <c r="B664" s="33"/>
    </row>
    <row r="665">
      <c r="A665" s="90"/>
      <c r="B665" s="33"/>
    </row>
    <row r="666">
      <c r="A666" s="90"/>
      <c r="B666" s="33"/>
    </row>
    <row r="667">
      <c r="A667" s="90"/>
      <c r="B667" s="33"/>
    </row>
    <row r="668">
      <c r="A668" s="90"/>
      <c r="B668" s="33"/>
    </row>
    <row r="669">
      <c r="A669" s="90"/>
      <c r="B669" s="33"/>
    </row>
    <row r="670">
      <c r="A670" s="90"/>
      <c r="B670" s="33"/>
    </row>
    <row r="671">
      <c r="A671" s="90"/>
      <c r="B671" s="33"/>
    </row>
    <row r="672">
      <c r="A672" s="90"/>
      <c r="B672" s="33"/>
    </row>
    <row r="673">
      <c r="A673" s="90"/>
      <c r="B673" s="33"/>
    </row>
    <row r="674">
      <c r="A674" s="90"/>
      <c r="B674" s="33"/>
    </row>
    <row r="675">
      <c r="A675" s="90"/>
      <c r="B675" s="33"/>
    </row>
    <row r="676">
      <c r="A676" s="90"/>
      <c r="B676" s="33"/>
    </row>
    <row r="677">
      <c r="A677" s="90"/>
      <c r="B677" s="33"/>
    </row>
    <row r="678">
      <c r="A678" s="90"/>
      <c r="B678" s="33"/>
    </row>
    <row r="679">
      <c r="A679" s="90"/>
      <c r="B679" s="33"/>
    </row>
    <row r="680">
      <c r="A680" s="90"/>
      <c r="B680" s="33"/>
    </row>
    <row r="681">
      <c r="A681" s="90"/>
      <c r="B681" s="33"/>
    </row>
    <row r="682">
      <c r="A682" s="90"/>
      <c r="B682" s="33"/>
    </row>
    <row r="683">
      <c r="A683" s="90"/>
      <c r="B683" s="33"/>
    </row>
    <row r="684">
      <c r="A684" s="90"/>
      <c r="B684" s="33"/>
    </row>
    <row r="685">
      <c r="A685" s="90"/>
      <c r="B685" s="33"/>
    </row>
    <row r="686">
      <c r="A686" s="90"/>
      <c r="B686" s="33"/>
    </row>
    <row r="687">
      <c r="A687" s="90"/>
      <c r="B687" s="33"/>
    </row>
    <row r="688">
      <c r="A688" s="90"/>
      <c r="B688" s="33"/>
    </row>
    <row r="689">
      <c r="A689" s="90"/>
      <c r="B689" s="33"/>
    </row>
    <row r="690">
      <c r="A690" s="90"/>
      <c r="B690" s="33"/>
    </row>
    <row r="691">
      <c r="A691" s="90"/>
      <c r="B691" s="33"/>
    </row>
    <row r="692">
      <c r="A692" s="90"/>
      <c r="B692" s="33"/>
    </row>
    <row r="693">
      <c r="A693" s="90"/>
      <c r="B693" s="33"/>
    </row>
    <row r="694">
      <c r="A694" s="90"/>
      <c r="B694" s="33"/>
    </row>
    <row r="695">
      <c r="A695" s="90"/>
      <c r="B695" s="33"/>
    </row>
    <row r="696">
      <c r="A696" s="90"/>
      <c r="B696" s="33"/>
    </row>
    <row r="697">
      <c r="A697" s="90"/>
      <c r="B697" s="33"/>
    </row>
    <row r="698">
      <c r="A698" s="90"/>
      <c r="B698" s="33"/>
    </row>
    <row r="699">
      <c r="A699" s="90"/>
      <c r="B699" s="33"/>
    </row>
    <row r="700">
      <c r="A700" s="90"/>
      <c r="B700" s="33"/>
    </row>
    <row r="701">
      <c r="A701" s="90"/>
      <c r="B701" s="33"/>
    </row>
    <row r="702">
      <c r="A702" s="90"/>
      <c r="B702" s="33"/>
    </row>
    <row r="703">
      <c r="A703" s="90"/>
      <c r="B703" s="33"/>
    </row>
    <row r="704">
      <c r="A704" s="90"/>
      <c r="B704" s="33"/>
    </row>
    <row r="705">
      <c r="A705" s="90"/>
      <c r="B705" s="33"/>
    </row>
    <row r="706">
      <c r="A706" s="90"/>
      <c r="B706" s="33"/>
    </row>
    <row r="707">
      <c r="A707" s="90"/>
      <c r="B707" s="33"/>
    </row>
    <row r="708">
      <c r="A708" s="90"/>
      <c r="B708" s="33"/>
    </row>
    <row r="709">
      <c r="A709" s="90"/>
      <c r="B709" s="33"/>
    </row>
    <row r="710">
      <c r="A710" s="90"/>
      <c r="B710" s="33"/>
    </row>
    <row r="711">
      <c r="A711" s="90"/>
      <c r="B711" s="33"/>
    </row>
    <row r="712">
      <c r="A712" s="90"/>
      <c r="B712" s="33"/>
    </row>
    <row r="713">
      <c r="A713" s="90"/>
      <c r="B713" s="33"/>
    </row>
    <row r="714">
      <c r="A714" s="90"/>
      <c r="B714" s="33"/>
    </row>
    <row r="715">
      <c r="A715" s="90"/>
      <c r="B715" s="33"/>
    </row>
    <row r="716">
      <c r="A716" s="90"/>
      <c r="B716" s="33"/>
    </row>
    <row r="717">
      <c r="A717" s="90"/>
      <c r="B717" s="33"/>
    </row>
    <row r="718">
      <c r="A718" s="90"/>
      <c r="B718" s="33"/>
    </row>
    <row r="719">
      <c r="A719" s="90"/>
      <c r="B719" s="33"/>
    </row>
    <row r="720">
      <c r="A720" s="90"/>
      <c r="B720" s="33"/>
    </row>
    <row r="721">
      <c r="A721" s="90"/>
      <c r="B721" s="33"/>
    </row>
    <row r="722">
      <c r="A722" s="90"/>
      <c r="B722" s="33"/>
    </row>
    <row r="723">
      <c r="A723" s="90"/>
      <c r="B723" s="33"/>
    </row>
    <row r="724">
      <c r="A724" s="90"/>
      <c r="B724" s="33"/>
    </row>
    <row r="725">
      <c r="A725" s="90"/>
      <c r="B725" s="33"/>
    </row>
    <row r="726">
      <c r="A726" s="90"/>
      <c r="B726" s="33"/>
    </row>
    <row r="727">
      <c r="A727" s="90"/>
      <c r="B727" s="33"/>
    </row>
    <row r="728">
      <c r="A728" s="90"/>
      <c r="B728" s="33"/>
    </row>
    <row r="729">
      <c r="A729" s="90"/>
      <c r="B729" s="33"/>
    </row>
    <row r="730">
      <c r="A730" s="90"/>
      <c r="B730" s="33"/>
    </row>
    <row r="731">
      <c r="A731" s="90"/>
      <c r="B731" s="33"/>
    </row>
    <row r="732">
      <c r="A732" s="90"/>
      <c r="B732" s="33"/>
    </row>
    <row r="733">
      <c r="A733" s="90"/>
      <c r="B733" s="33"/>
    </row>
    <row r="734">
      <c r="A734" s="90"/>
      <c r="B734" s="33"/>
    </row>
    <row r="735">
      <c r="A735" s="90"/>
      <c r="B735" s="33"/>
    </row>
    <row r="736">
      <c r="A736" s="90"/>
      <c r="B736" s="33"/>
    </row>
    <row r="737">
      <c r="A737" s="90"/>
      <c r="B737" s="33"/>
    </row>
    <row r="738">
      <c r="A738" s="90"/>
      <c r="B738" s="33"/>
    </row>
    <row r="739">
      <c r="A739" s="90"/>
      <c r="B739" s="33"/>
    </row>
    <row r="740">
      <c r="A740" s="90"/>
      <c r="B740" s="33"/>
    </row>
    <row r="741">
      <c r="A741" s="90"/>
      <c r="B741" s="33"/>
    </row>
    <row r="742">
      <c r="A742" s="90"/>
      <c r="B742" s="33"/>
    </row>
    <row r="743">
      <c r="A743" s="90"/>
      <c r="B743" s="33"/>
    </row>
    <row r="744">
      <c r="A744" s="90"/>
      <c r="B744" s="33"/>
    </row>
    <row r="745">
      <c r="A745" s="90"/>
      <c r="B745" s="33"/>
    </row>
    <row r="746">
      <c r="A746" s="90"/>
      <c r="B746" s="33"/>
    </row>
    <row r="747">
      <c r="A747" s="90"/>
      <c r="B747" s="33"/>
    </row>
    <row r="748">
      <c r="A748" s="90"/>
      <c r="B748" s="33"/>
    </row>
    <row r="749">
      <c r="A749" s="90"/>
      <c r="B749" s="33"/>
    </row>
    <row r="750">
      <c r="A750" s="90"/>
      <c r="B750" s="33"/>
    </row>
    <row r="751">
      <c r="A751" s="90"/>
      <c r="B751" s="33"/>
    </row>
    <row r="752">
      <c r="A752" s="90"/>
      <c r="B752" s="33"/>
    </row>
    <row r="753">
      <c r="A753" s="90"/>
      <c r="B753" s="33"/>
    </row>
    <row r="754">
      <c r="A754" s="90"/>
      <c r="B754" s="33"/>
    </row>
    <row r="755">
      <c r="A755" s="90"/>
      <c r="B755" s="33"/>
    </row>
    <row r="756">
      <c r="A756" s="90"/>
      <c r="B756" s="33"/>
    </row>
    <row r="757">
      <c r="A757" s="90"/>
      <c r="B757" s="33"/>
    </row>
    <row r="758">
      <c r="A758" s="90"/>
      <c r="B758" s="33"/>
    </row>
    <row r="759">
      <c r="A759" s="90"/>
      <c r="B759" s="33"/>
    </row>
    <row r="760">
      <c r="A760" s="90"/>
      <c r="B760" s="33"/>
    </row>
    <row r="761">
      <c r="A761" s="90"/>
      <c r="B761" s="33"/>
    </row>
    <row r="762">
      <c r="A762" s="90"/>
      <c r="B762" s="33"/>
    </row>
    <row r="763">
      <c r="A763" s="90"/>
      <c r="B763" s="33"/>
    </row>
    <row r="764">
      <c r="A764" s="90"/>
      <c r="B764" s="33"/>
    </row>
    <row r="765">
      <c r="A765" s="90"/>
      <c r="B765" s="33"/>
    </row>
    <row r="766">
      <c r="A766" s="90"/>
      <c r="B766" s="33"/>
    </row>
    <row r="767">
      <c r="A767" s="90"/>
      <c r="B767" s="33"/>
    </row>
    <row r="768">
      <c r="A768" s="90"/>
      <c r="B768" s="33"/>
    </row>
    <row r="769">
      <c r="A769" s="90"/>
      <c r="B769" s="33"/>
    </row>
    <row r="770">
      <c r="A770" s="90"/>
      <c r="B770" s="33"/>
    </row>
    <row r="771">
      <c r="A771" s="90"/>
      <c r="B771" s="33"/>
    </row>
    <row r="772">
      <c r="A772" s="90"/>
      <c r="B772" s="33"/>
    </row>
    <row r="773">
      <c r="A773" s="90"/>
      <c r="B773" s="33"/>
    </row>
    <row r="774">
      <c r="A774" s="90"/>
      <c r="B774" s="33"/>
    </row>
    <row r="775">
      <c r="A775" s="90"/>
      <c r="B775" s="33"/>
    </row>
    <row r="776">
      <c r="A776" s="90"/>
      <c r="B776" s="33"/>
    </row>
    <row r="777">
      <c r="A777" s="90"/>
      <c r="B777" s="33"/>
    </row>
    <row r="778">
      <c r="A778" s="90"/>
      <c r="B778" s="33"/>
    </row>
    <row r="779">
      <c r="A779" s="90"/>
      <c r="B779" s="33"/>
    </row>
    <row r="780">
      <c r="A780" s="90"/>
      <c r="B780" s="33"/>
    </row>
    <row r="781">
      <c r="A781" s="90"/>
      <c r="B781" s="33"/>
    </row>
    <row r="782">
      <c r="A782" s="90"/>
      <c r="B782" s="33"/>
    </row>
    <row r="783">
      <c r="A783" s="90"/>
      <c r="B783" s="33"/>
    </row>
    <row r="784">
      <c r="A784" s="90"/>
      <c r="B784" s="33"/>
    </row>
    <row r="785">
      <c r="A785" s="90"/>
      <c r="B785" s="33"/>
    </row>
    <row r="786">
      <c r="A786" s="90"/>
      <c r="B786" s="33"/>
    </row>
    <row r="787">
      <c r="A787" s="90"/>
      <c r="B787" s="33"/>
    </row>
    <row r="788">
      <c r="A788" s="90"/>
      <c r="B788" s="33"/>
    </row>
    <row r="789">
      <c r="A789" s="90"/>
      <c r="B789" s="33"/>
    </row>
    <row r="790">
      <c r="A790" s="90"/>
      <c r="B790" s="33"/>
    </row>
    <row r="791">
      <c r="A791" s="90"/>
      <c r="B791" s="33"/>
    </row>
    <row r="792">
      <c r="A792" s="90"/>
      <c r="B792" s="33"/>
    </row>
    <row r="793">
      <c r="A793" s="90"/>
      <c r="B793" s="33"/>
    </row>
    <row r="794">
      <c r="A794" s="90"/>
      <c r="B794" s="33"/>
    </row>
    <row r="795">
      <c r="A795" s="90"/>
      <c r="B795" s="33"/>
    </row>
    <row r="796">
      <c r="A796" s="90"/>
      <c r="B796" s="33"/>
    </row>
    <row r="797">
      <c r="A797" s="90"/>
      <c r="B797" s="33"/>
    </row>
    <row r="798">
      <c r="A798" s="90"/>
      <c r="B798" s="33"/>
    </row>
    <row r="799">
      <c r="A799" s="90"/>
      <c r="B799" s="33"/>
    </row>
    <row r="800">
      <c r="A800" s="90"/>
      <c r="B800" s="33"/>
    </row>
    <row r="801">
      <c r="A801" s="90"/>
      <c r="B801" s="33"/>
    </row>
    <row r="802">
      <c r="A802" s="90"/>
      <c r="B802" s="33"/>
    </row>
    <row r="803">
      <c r="A803" s="90"/>
      <c r="B803" s="33"/>
    </row>
    <row r="804">
      <c r="A804" s="90"/>
      <c r="B804" s="33"/>
    </row>
    <row r="805">
      <c r="A805" s="90"/>
      <c r="B805" s="33"/>
    </row>
    <row r="806">
      <c r="A806" s="90"/>
      <c r="B806" s="33"/>
    </row>
    <row r="807">
      <c r="A807" s="90"/>
      <c r="B807" s="33"/>
    </row>
    <row r="808">
      <c r="A808" s="90"/>
      <c r="B808" s="33"/>
    </row>
    <row r="809">
      <c r="A809" s="90"/>
      <c r="B809" s="33"/>
    </row>
    <row r="810">
      <c r="A810" s="90"/>
      <c r="B810" s="33"/>
    </row>
    <row r="811">
      <c r="A811" s="90"/>
      <c r="B811" s="33"/>
    </row>
    <row r="812">
      <c r="A812" s="90"/>
      <c r="B812" s="33"/>
    </row>
    <row r="813">
      <c r="A813" s="90"/>
      <c r="B813" s="33"/>
    </row>
    <row r="814">
      <c r="A814" s="90"/>
      <c r="B814" s="33"/>
    </row>
    <row r="815">
      <c r="A815" s="90"/>
      <c r="B815" s="33"/>
    </row>
    <row r="816">
      <c r="A816" s="90"/>
      <c r="B816" s="33"/>
    </row>
    <row r="817">
      <c r="A817" s="90"/>
      <c r="B817" s="33"/>
    </row>
    <row r="818">
      <c r="A818" s="90"/>
      <c r="B818" s="33"/>
    </row>
    <row r="819">
      <c r="A819" s="90"/>
      <c r="B819" s="33"/>
    </row>
    <row r="820">
      <c r="A820" s="90"/>
      <c r="B820" s="33"/>
    </row>
    <row r="821">
      <c r="A821" s="90"/>
      <c r="B821" s="33"/>
    </row>
    <row r="822">
      <c r="A822" s="90"/>
      <c r="B822" s="33"/>
    </row>
    <row r="823">
      <c r="A823" s="90"/>
      <c r="B823" s="33"/>
    </row>
    <row r="824">
      <c r="A824" s="90"/>
      <c r="B824" s="33"/>
    </row>
    <row r="825">
      <c r="A825" s="90"/>
      <c r="B825" s="33"/>
    </row>
    <row r="826">
      <c r="A826" s="90"/>
      <c r="B826" s="33"/>
    </row>
    <row r="827">
      <c r="A827" s="90"/>
      <c r="B827" s="33"/>
    </row>
    <row r="828">
      <c r="A828" s="90"/>
      <c r="B828" s="33"/>
    </row>
    <row r="829">
      <c r="A829" s="90"/>
      <c r="B829" s="33"/>
    </row>
    <row r="830">
      <c r="A830" s="90"/>
      <c r="B830" s="33"/>
    </row>
    <row r="831">
      <c r="A831" s="90"/>
      <c r="B831" s="33"/>
    </row>
    <row r="832">
      <c r="A832" s="90"/>
      <c r="B832" s="33"/>
    </row>
    <row r="833">
      <c r="A833" s="90"/>
      <c r="B833" s="33"/>
    </row>
    <row r="834">
      <c r="A834" s="90"/>
      <c r="B834" s="33"/>
    </row>
    <row r="835">
      <c r="A835" s="90"/>
      <c r="B835" s="33"/>
    </row>
    <row r="836">
      <c r="A836" s="90"/>
      <c r="B836" s="33"/>
    </row>
    <row r="837">
      <c r="A837" s="90"/>
      <c r="B837" s="33"/>
    </row>
    <row r="838">
      <c r="A838" s="90"/>
      <c r="B838" s="33"/>
    </row>
    <row r="839">
      <c r="A839" s="90"/>
      <c r="B839" s="33"/>
    </row>
    <row r="840">
      <c r="A840" s="90"/>
      <c r="B840" s="33"/>
    </row>
    <row r="841">
      <c r="A841" s="90"/>
      <c r="B841" s="33"/>
    </row>
    <row r="842">
      <c r="A842" s="90"/>
      <c r="B842" s="33"/>
    </row>
    <row r="843">
      <c r="A843" s="90"/>
      <c r="B843" s="33"/>
    </row>
    <row r="844">
      <c r="A844" s="90"/>
      <c r="B844" s="33"/>
    </row>
    <row r="845">
      <c r="A845" s="90"/>
      <c r="B845" s="33"/>
    </row>
    <row r="846">
      <c r="A846" s="90"/>
      <c r="B846" s="33"/>
    </row>
    <row r="847">
      <c r="A847" s="90"/>
      <c r="B847" s="33"/>
    </row>
    <row r="848">
      <c r="A848" s="90"/>
      <c r="B848" s="33"/>
    </row>
    <row r="849">
      <c r="A849" s="90"/>
      <c r="B849" s="33"/>
    </row>
    <row r="850">
      <c r="A850" s="90"/>
      <c r="B850" s="33"/>
    </row>
    <row r="851">
      <c r="A851" s="90"/>
      <c r="B851" s="33"/>
    </row>
    <row r="852">
      <c r="A852" s="90"/>
      <c r="B852" s="33"/>
    </row>
    <row r="853">
      <c r="A853" s="90"/>
      <c r="B853" s="33"/>
    </row>
    <row r="854">
      <c r="A854" s="90"/>
      <c r="B854" s="33"/>
    </row>
    <row r="855">
      <c r="A855" s="90"/>
      <c r="B855" s="33"/>
    </row>
    <row r="856">
      <c r="A856" s="90"/>
      <c r="B856" s="33"/>
    </row>
    <row r="857">
      <c r="A857" s="90"/>
      <c r="B857" s="33"/>
    </row>
    <row r="858">
      <c r="A858" s="90"/>
      <c r="B858" s="33"/>
    </row>
    <row r="859">
      <c r="A859" s="90"/>
      <c r="B859" s="33"/>
    </row>
    <row r="860">
      <c r="A860" s="90"/>
      <c r="B860" s="33"/>
    </row>
    <row r="861">
      <c r="A861" s="90"/>
      <c r="B861" s="33"/>
    </row>
    <row r="862">
      <c r="A862" s="90"/>
      <c r="B862" s="33"/>
    </row>
    <row r="863">
      <c r="A863" s="90"/>
      <c r="B863" s="33"/>
    </row>
    <row r="864">
      <c r="A864" s="90"/>
      <c r="B864" s="33"/>
    </row>
    <row r="865">
      <c r="A865" s="90"/>
      <c r="B865" s="33"/>
    </row>
    <row r="866">
      <c r="A866" s="90"/>
      <c r="B866" s="33"/>
    </row>
    <row r="867">
      <c r="A867" s="90"/>
      <c r="B867" s="33"/>
    </row>
    <row r="868">
      <c r="A868" s="90"/>
      <c r="B868" s="33"/>
    </row>
    <row r="869">
      <c r="A869" s="90"/>
      <c r="B869" s="33"/>
    </row>
    <row r="870">
      <c r="A870" s="90"/>
      <c r="B870" s="33"/>
    </row>
    <row r="871">
      <c r="A871" s="90"/>
      <c r="B871" s="33"/>
    </row>
    <row r="872">
      <c r="A872" s="90"/>
      <c r="B872" s="33"/>
    </row>
    <row r="873">
      <c r="A873" s="90"/>
      <c r="B873" s="33"/>
    </row>
    <row r="874">
      <c r="A874" s="90"/>
      <c r="B874" s="33"/>
    </row>
    <row r="875">
      <c r="A875" s="90"/>
      <c r="B875" s="33"/>
    </row>
    <row r="876">
      <c r="A876" s="90"/>
      <c r="B876" s="33"/>
    </row>
    <row r="877">
      <c r="A877" s="90"/>
      <c r="B877" s="33"/>
    </row>
    <row r="878">
      <c r="A878" s="90"/>
      <c r="B878" s="33"/>
    </row>
    <row r="879">
      <c r="A879" s="90"/>
      <c r="B879" s="33"/>
    </row>
    <row r="880">
      <c r="A880" s="90"/>
      <c r="B880" s="33"/>
    </row>
    <row r="881">
      <c r="A881" s="90"/>
      <c r="B881" s="33"/>
    </row>
    <row r="882">
      <c r="A882" s="90"/>
      <c r="B882" s="33"/>
    </row>
    <row r="883">
      <c r="A883" s="90"/>
      <c r="B883" s="33"/>
    </row>
    <row r="884">
      <c r="A884" s="90"/>
      <c r="B884" s="33"/>
    </row>
    <row r="885">
      <c r="A885" s="90"/>
      <c r="B885" s="33"/>
    </row>
    <row r="886">
      <c r="A886" s="90"/>
      <c r="B886" s="33"/>
    </row>
    <row r="887">
      <c r="A887" s="90"/>
      <c r="B887" s="33"/>
    </row>
    <row r="888">
      <c r="A888" s="90"/>
      <c r="B888" s="33"/>
    </row>
    <row r="889">
      <c r="A889" s="90"/>
      <c r="B889" s="33"/>
    </row>
    <row r="890">
      <c r="A890" s="90"/>
      <c r="B890" s="33"/>
    </row>
    <row r="891">
      <c r="A891" s="90"/>
      <c r="B891" s="33"/>
    </row>
    <row r="892">
      <c r="A892" s="90"/>
      <c r="B892" s="33"/>
    </row>
    <row r="893">
      <c r="A893" s="90"/>
      <c r="B893" s="33"/>
    </row>
    <row r="894">
      <c r="A894" s="90"/>
      <c r="B894" s="33"/>
    </row>
    <row r="895">
      <c r="A895" s="90"/>
      <c r="B895" s="33"/>
    </row>
    <row r="896">
      <c r="A896" s="90"/>
      <c r="B896" s="33"/>
    </row>
    <row r="897">
      <c r="A897" s="90"/>
      <c r="B897" s="33"/>
    </row>
    <row r="898">
      <c r="A898" s="90"/>
      <c r="B898" s="33"/>
    </row>
    <row r="899">
      <c r="A899" s="90"/>
      <c r="B899" s="33"/>
    </row>
    <row r="900">
      <c r="A900" s="90"/>
      <c r="B900" s="33"/>
    </row>
    <row r="901">
      <c r="A901" s="90"/>
      <c r="B901" s="33"/>
    </row>
    <row r="902">
      <c r="A902" s="90"/>
      <c r="B902" s="33"/>
    </row>
    <row r="903">
      <c r="A903" s="90"/>
      <c r="B903" s="33"/>
    </row>
    <row r="904">
      <c r="A904" s="90"/>
      <c r="B904" s="33"/>
    </row>
    <row r="905">
      <c r="A905" s="90"/>
      <c r="B905" s="33"/>
    </row>
    <row r="906">
      <c r="A906" s="90"/>
      <c r="B906" s="33"/>
    </row>
    <row r="907">
      <c r="A907" s="90"/>
      <c r="B907" s="33"/>
    </row>
    <row r="908">
      <c r="A908" s="90"/>
      <c r="B908" s="33"/>
    </row>
    <row r="909">
      <c r="A909" s="90"/>
      <c r="B909" s="33"/>
    </row>
    <row r="910">
      <c r="A910" s="90"/>
      <c r="B910" s="33"/>
    </row>
    <row r="911">
      <c r="A911" s="90"/>
      <c r="B911" s="33"/>
    </row>
    <row r="912">
      <c r="A912" s="90"/>
      <c r="B912" s="33"/>
    </row>
    <row r="913">
      <c r="A913" s="90"/>
      <c r="B913" s="33"/>
    </row>
    <row r="914">
      <c r="A914" s="90"/>
      <c r="B914" s="33"/>
    </row>
    <row r="915">
      <c r="A915" s="90"/>
      <c r="B915" s="33"/>
    </row>
    <row r="916">
      <c r="A916" s="90"/>
      <c r="B916" s="33"/>
    </row>
    <row r="917">
      <c r="A917" s="90"/>
      <c r="B917" s="33"/>
    </row>
    <row r="918">
      <c r="A918" s="90"/>
      <c r="B918" s="33"/>
    </row>
    <row r="919">
      <c r="A919" s="90"/>
      <c r="B919" s="33"/>
    </row>
    <row r="920">
      <c r="A920" s="90"/>
      <c r="B920" s="33"/>
    </row>
    <row r="921">
      <c r="A921" s="90"/>
      <c r="B921" s="33"/>
    </row>
    <row r="922">
      <c r="A922" s="90"/>
      <c r="B922" s="33"/>
    </row>
    <row r="923">
      <c r="A923" s="90"/>
      <c r="B923" s="33"/>
    </row>
    <row r="924">
      <c r="A924" s="90"/>
      <c r="B924" s="33"/>
    </row>
    <row r="925">
      <c r="A925" s="90"/>
      <c r="B925" s="33"/>
    </row>
    <row r="926">
      <c r="A926" s="90"/>
      <c r="B926" s="33"/>
    </row>
    <row r="927">
      <c r="A927" s="90"/>
      <c r="B927" s="33"/>
    </row>
    <row r="928">
      <c r="A928" s="90"/>
      <c r="B928" s="33"/>
    </row>
    <row r="929">
      <c r="A929" s="90"/>
      <c r="B929" s="33"/>
    </row>
    <row r="930">
      <c r="A930" s="90"/>
      <c r="B930" s="33"/>
    </row>
    <row r="931">
      <c r="A931" s="90"/>
      <c r="B931" s="33"/>
    </row>
    <row r="932">
      <c r="A932" s="90"/>
      <c r="B932" s="33"/>
    </row>
    <row r="933">
      <c r="A933" s="90"/>
      <c r="B933" s="33"/>
    </row>
    <row r="934">
      <c r="A934" s="90"/>
      <c r="B934" s="33"/>
    </row>
    <row r="935">
      <c r="A935" s="90"/>
      <c r="B935" s="33"/>
    </row>
    <row r="936">
      <c r="A936" s="90"/>
      <c r="B936" s="33"/>
    </row>
    <row r="937">
      <c r="A937" s="90"/>
      <c r="B937" s="33"/>
    </row>
    <row r="938">
      <c r="A938" s="90"/>
      <c r="B938" s="33"/>
    </row>
    <row r="939">
      <c r="A939" s="90"/>
      <c r="B939" s="33"/>
    </row>
    <row r="940">
      <c r="A940" s="90"/>
      <c r="B940" s="33"/>
    </row>
    <row r="941">
      <c r="A941" s="90"/>
      <c r="B941" s="33"/>
    </row>
    <row r="942">
      <c r="A942" s="90"/>
      <c r="B942" s="33"/>
    </row>
    <row r="943">
      <c r="A943" s="90"/>
      <c r="B943" s="33"/>
    </row>
    <row r="944">
      <c r="A944" s="90"/>
      <c r="B944" s="33"/>
    </row>
    <row r="945">
      <c r="A945" s="90"/>
      <c r="B945" s="33"/>
    </row>
    <row r="946">
      <c r="A946" s="90"/>
      <c r="B946" s="33"/>
    </row>
    <row r="947">
      <c r="A947" s="90"/>
      <c r="B947" s="33"/>
    </row>
    <row r="948">
      <c r="A948" s="90"/>
      <c r="B948" s="33"/>
    </row>
    <row r="949">
      <c r="A949" s="90"/>
      <c r="B949" s="33"/>
    </row>
    <row r="950">
      <c r="A950" s="90"/>
      <c r="B950" s="33"/>
    </row>
    <row r="951">
      <c r="A951" s="90"/>
      <c r="B951" s="33"/>
    </row>
    <row r="952">
      <c r="A952" s="90"/>
      <c r="B952" s="33"/>
    </row>
    <row r="953">
      <c r="A953" s="90"/>
      <c r="B953" s="33"/>
    </row>
    <row r="954">
      <c r="A954" s="90"/>
      <c r="B954" s="33"/>
    </row>
    <row r="955">
      <c r="A955" s="90"/>
      <c r="B955" s="33"/>
    </row>
    <row r="956">
      <c r="A956" s="90"/>
      <c r="B956" s="33"/>
    </row>
    <row r="957">
      <c r="A957" s="90"/>
      <c r="B957" s="33"/>
    </row>
    <row r="958">
      <c r="A958" s="90"/>
      <c r="B958" s="33"/>
    </row>
    <row r="959">
      <c r="A959" s="90"/>
      <c r="B959" s="33"/>
    </row>
    <row r="960">
      <c r="A960" s="90"/>
      <c r="B960" s="33"/>
    </row>
    <row r="961">
      <c r="A961" s="90"/>
      <c r="B961" s="33"/>
    </row>
    <row r="962">
      <c r="A962" s="90"/>
      <c r="B962" s="33"/>
    </row>
    <row r="963">
      <c r="A963" s="90"/>
      <c r="B963" s="33"/>
    </row>
    <row r="964">
      <c r="A964" s="90"/>
      <c r="B964" s="33"/>
    </row>
    <row r="965">
      <c r="A965" s="90"/>
      <c r="B965" s="33"/>
    </row>
    <row r="966">
      <c r="A966" s="90"/>
      <c r="B966" s="33"/>
    </row>
    <row r="967">
      <c r="A967" s="90"/>
      <c r="B967" s="33"/>
    </row>
    <row r="968">
      <c r="A968" s="90"/>
      <c r="B968" s="33"/>
    </row>
    <row r="969">
      <c r="A969" s="90"/>
      <c r="B969" s="33"/>
    </row>
    <row r="970">
      <c r="A970" s="90"/>
      <c r="B970" s="33"/>
    </row>
    <row r="971">
      <c r="A971" s="90"/>
      <c r="B971" s="33"/>
    </row>
    <row r="972">
      <c r="A972" s="90"/>
      <c r="B972" s="33"/>
    </row>
    <row r="973">
      <c r="A973" s="90"/>
      <c r="B973" s="33"/>
    </row>
    <row r="974">
      <c r="A974" s="90"/>
      <c r="B974" s="33"/>
    </row>
    <row r="975">
      <c r="A975" s="90"/>
      <c r="B975" s="33"/>
    </row>
    <row r="976">
      <c r="A976" s="90"/>
      <c r="B976" s="33"/>
    </row>
    <row r="977">
      <c r="A977" s="90"/>
      <c r="B977" s="33"/>
    </row>
    <row r="978">
      <c r="A978" s="90"/>
      <c r="B978" s="33"/>
    </row>
    <row r="979">
      <c r="A979" s="90"/>
      <c r="B979" s="33"/>
    </row>
    <row r="980">
      <c r="A980" s="90"/>
      <c r="B980" s="33"/>
    </row>
    <row r="981">
      <c r="A981" s="90"/>
      <c r="B981" s="33"/>
    </row>
    <row r="982">
      <c r="A982" s="90"/>
      <c r="B982" s="33"/>
    </row>
    <row r="983">
      <c r="A983" s="90"/>
      <c r="B983" s="33"/>
    </row>
    <row r="984">
      <c r="A984" s="90"/>
      <c r="B984" s="33"/>
    </row>
    <row r="985">
      <c r="A985" s="90"/>
      <c r="B985" s="33"/>
    </row>
    <row r="986">
      <c r="A986" s="90"/>
      <c r="B986" s="33"/>
    </row>
    <row r="987">
      <c r="A987" s="90"/>
      <c r="B987" s="33"/>
    </row>
    <row r="988">
      <c r="A988" s="90"/>
      <c r="B988" s="33"/>
    </row>
    <row r="989">
      <c r="A989" s="90"/>
      <c r="B989" s="33"/>
    </row>
    <row r="990">
      <c r="A990" s="90"/>
      <c r="B990" s="33"/>
    </row>
    <row r="991">
      <c r="A991" s="90"/>
      <c r="B991" s="33"/>
    </row>
    <row r="992">
      <c r="A992" s="90"/>
      <c r="B992" s="33"/>
    </row>
    <row r="993">
      <c r="A993" s="90"/>
      <c r="B993" s="33"/>
    </row>
    <row r="994">
      <c r="A994" s="90"/>
      <c r="B994" s="33"/>
    </row>
    <row r="995">
      <c r="A995" s="90"/>
      <c r="B995" s="33"/>
    </row>
    <row r="996">
      <c r="A996" s="90"/>
      <c r="B996" s="33"/>
    </row>
    <row r="997">
      <c r="A997" s="90"/>
      <c r="B997" s="33"/>
    </row>
    <row r="998">
      <c r="A998" s="90"/>
    </row>
    <row r="999">
      <c r="A999" s="90"/>
    </row>
    <row r="1000">
      <c r="A1000" s="9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31.25"/>
    <col customWidth="1" min="3" max="3" width="8.88"/>
    <col customWidth="1" min="4" max="4" width="12.25"/>
    <col customWidth="1" min="5" max="5" width="50.63"/>
    <col customWidth="1" min="6" max="6" width="22.63"/>
    <col customWidth="1" min="7" max="7" width="28.63"/>
    <col customWidth="1" min="8" max="8" width="26.5"/>
    <col customWidth="1" min="9" max="9" width="14.38"/>
  </cols>
  <sheetData>
    <row r="1">
      <c r="A1" s="122" t="s">
        <v>400</v>
      </c>
      <c r="B1" s="122" t="s">
        <v>401</v>
      </c>
      <c r="C1" s="122" t="s">
        <v>402</v>
      </c>
      <c r="D1" s="124" t="s">
        <v>403</v>
      </c>
      <c r="E1" s="124" t="s">
        <v>404</v>
      </c>
      <c r="F1" s="124" t="s">
        <v>406</v>
      </c>
      <c r="G1" s="125" t="s">
        <v>19</v>
      </c>
      <c r="H1" s="124" t="s">
        <v>409</v>
      </c>
      <c r="I1" s="125" t="s">
        <v>410</v>
      </c>
      <c r="J1" s="127"/>
    </row>
    <row r="2">
      <c r="A2" s="129">
        <v>44461.0</v>
      </c>
      <c r="B2" s="132" t="s">
        <v>413</v>
      </c>
      <c r="C2" s="64" t="s">
        <v>414</v>
      </c>
      <c r="D2" s="129">
        <v>44461.0</v>
      </c>
      <c r="E2" s="64" t="s">
        <v>415</v>
      </c>
      <c r="F2" s="64" t="s">
        <v>344</v>
      </c>
      <c r="G2" s="64" t="s">
        <v>416</v>
      </c>
      <c r="H2" s="52" t="s">
        <v>417</v>
      </c>
      <c r="I2" s="64" t="s">
        <v>418</v>
      </c>
    </row>
    <row r="3">
      <c r="A3" s="137">
        <v>44477.0</v>
      </c>
      <c r="B3" s="64" t="s">
        <v>419</v>
      </c>
      <c r="C3" s="64" t="s">
        <v>420</v>
      </c>
      <c r="D3" s="137">
        <v>44477.0</v>
      </c>
      <c r="E3" s="64" t="s">
        <v>421</v>
      </c>
      <c r="F3" s="64" t="s">
        <v>27</v>
      </c>
      <c r="G3" s="64" t="s">
        <v>422</v>
      </c>
      <c r="H3" s="32"/>
      <c r="I3" s="64" t="s">
        <v>423</v>
      </c>
    </row>
    <row r="4">
      <c r="A4" s="137">
        <v>44859.0</v>
      </c>
      <c r="B4" s="64" t="s">
        <v>413</v>
      </c>
      <c r="C4" s="64" t="s">
        <v>414</v>
      </c>
      <c r="D4" s="140">
        <v>44859.0</v>
      </c>
      <c r="E4" s="64" t="s">
        <v>428</v>
      </c>
      <c r="F4" s="64" t="s">
        <v>344</v>
      </c>
      <c r="G4" s="32"/>
      <c r="H4" s="71" t="s">
        <v>199</v>
      </c>
      <c r="I4" s="64" t="s">
        <v>435</v>
      </c>
    </row>
    <row r="5">
      <c r="A5" s="129">
        <v>45063.0</v>
      </c>
      <c r="B5" s="64" t="s">
        <v>413</v>
      </c>
      <c r="C5" s="64" t="s">
        <v>420</v>
      </c>
      <c r="D5" s="129">
        <v>45063.0</v>
      </c>
      <c r="E5" s="64" t="s">
        <v>436</v>
      </c>
      <c r="F5" s="64" t="s">
        <v>437</v>
      </c>
      <c r="G5" s="32"/>
      <c r="H5" s="64" t="s">
        <v>438</v>
      </c>
      <c r="I5" s="64" t="s">
        <v>439</v>
      </c>
    </row>
    <row r="6">
      <c r="A6" s="129">
        <v>45063.0</v>
      </c>
      <c r="B6" s="64" t="s">
        <v>419</v>
      </c>
      <c r="C6" s="64" t="s">
        <v>441</v>
      </c>
      <c r="D6" s="129">
        <v>45063.0</v>
      </c>
      <c r="E6" s="64" t="s">
        <v>443</v>
      </c>
      <c r="F6" s="64" t="s">
        <v>344</v>
      </c>
      <c r="G6" s="64" t="s">
        <v>444</v>
      </c>
      <c r="H6" s="64" t="s">
        <v>438</v>
      </c>
      <c r="I6" s="64" t="s">
        <v>445</v>
      </c>
    </row>
    <row r="7">
      <c r="A7" s="129">
        <v>45063.0</v>
      </c>
      <c r="B7" s="64" t="s">
        <v>419</v>
      </c>
      <c r="C7" s="64" t="s">
        <v>446</v>
      </c>
      <c r="D7" s="129">
        <v>45063.0</v>
      </c>
      <c r="E7" s="64" t="s">
        <v>447</v>
      </c>
      <c r="F7" s="64" t="s">
        <v>448</v>
      </c>
      <c r="G7" s="32"/>
      <c r="H7" s="64" t="s">
        <v>438</v>
      </c>
      <c r="I7" s="64" t="s">
        <v>445</v>
      </c>
    </row>
    <row r="8">
      <c r="A8" s="129">
        <v>45063.0</v>
      </c>
      <c r="B8" s="64" t="s">
        <v>449</v>
      </c>
      <c r="C8" s="64" t="s">
        <v>420</v>
      </c>
      <c r="D8" s="129">
        <v>45063.0</v>
      </c>
      <c r="E8" s="32"/>
      <c r="F8" s="64" t="s">
        <v>344</v>
      </c>
      <c r="G8" s="32"/>
      <c r="H8" s="64" t="s">
        <v>438</v>
      </c>
      <c r="I8" s="64" t="s">
        <v>439</v>
      </c>
    </row>
    <row r="9">
      <c r="A9" s="137">
        <v>45084.0</v>
      </c>
      <c r="B9" s="64" t="s">
        <v>455</v>
      </c>
      <c r="C9" s="64" t="s">
        <v>446</v>
      </c>
      <c r="D9" s="137">
        <v>45084.0</v>
      </c>
      <c r="E9" s="64" t="s">
        <v>456</v>
      </c>
      <c r="F9" s="32"/>
      <c r="G9" s="32"/>
      <c r="H9" s="52" t="s">
        <v>458</v>
      </c>
      <c r="I9" s="64" t="s">
        <v>445</v>
      </c>
    </row>
    <row r="10">
      <c r="A10" s="137">
        <v>45097.0</v>
      </c>
      <c r="B10" s="64" t="s">
        <v>459</v>
      </c>
      <c r="C10" s="64" t="s">
        <v>414</v>
      </c>
      <c r="D10" s="129">
        <v>45097.0</v>
      </c>
      <c r="E10" s="64" t="s">
        <v>460</v>
      </c>
      <c r="F10" s="64" t="s">
        <v>344</v>
      </c>
      <c r="G10" s="32"/>
      <c r="H10" s="32"/>
      <c r="I10" s="64" t="s">
        <v>445</v>
      </c>
    </row>
    <row r="11">
      <c r="A11" s="137">
        <v>45105.0</v>
      </c>
      <c r="B11" s="64" t="s">
        <v>455</v>
      </c>
      <c r="C11" s="64" t="s">
        <v>420</v>
      </c>
      <c r="D11" s="129">
        <v>45105.0</v>
      </c>
      <c r="E11" s="64" t="s">
        <v>360</v>
      </c>
      <c r="F11" s="64" t="s">
        <v>344</v>
      </c>
      <c r="G11" s="32"/>
      <c r="H11" s="52" t="s">
        <v>463</v>
      </c>
      <c r="I11" s="64" t="s">
        <v>445</v>
      </c>
    </row>
    <row r="12">
      <c r="A12" s="137">
        <v>45376.0</v>
      </c>
      <c r="B12" s="64" t="s">
        <v>455</v>
      </c>
      <c r="C12" s="64" t="s">
        <v>446</v>
      </c>
      <c r="D12" s="129">
        <v>45376.0</v>
      </c>
      <c r="E12" s="64" t="s">
        <v>214</v>
      </c>
      <c r="F12" s="64" t="s">
        <v>464</v>
      </c>
      <c r="G12" s="64" t="s">
        <v>465</v>
      </c>
      <c r="H12" s="32"/>
      <c r="I12" s="64" t="s">
        <v>445</v>
      </c>
    </row>
    <row r="13">
      <c r="A13" s="137">
        <v>45376.0</v>
      </c>
      <c r="B13" s="64" t="s">
        <v>455</v>
      </c>
      <c r="C13" s="64" t="s">
        <v>420</v>
      </c>
      <c r="D13" s="137">
        <v>45376.0</v>
      </c>
      <c r="E13" s="64" t="s">
        <v>466</v>
      </c>
      <c r="F13" s="64" t="s">
        <v>344</v>
      </c>
      <c r="G13" s="32"/>
      <c r="H13" s="52" t="s">
        <v>467</v>
      </c>
      <c r="I13" s="64" t="s">
        <v>445</v>
      </c>
    </row>
    <row r="14">
      <c r="A14" s="137">
        <v>45376.0</v>
      </c>
      <c r="B14" s="64" t="s">
        <v>419</v>
      </c>
      <c r="C14" s="64" t="s">
        <v>414</v>
      </c>
      <c r="D14" s="137">
        <v>45376.0</v>
      </c>
      <c r="E14" s="64" t="s">
        <v>468</v>
      </c>
      <c r="F14" s="64" t="s">
        <v>344</v>
      </c>
      <c r="G14" s="32"/>
      <c r="H14" s="32"/>
      <c r="I14" s="64" t="s">
        <v>445</v>
      </c>
    </row>
    <row r="15">
      <c r="A15" s="137">
        <v>45376.0</v>
      </c>
      <c r="B15" s="64" t="s">
        <v>419</v>
      </c>
      <c r="C15" s="64" t="s">
        <v>441</v>
      </c>
      <c r="D15" s="137">
        <v>45376.0</v>
      </c>
      <c r="E15" s="64" t="s">
        <v>469</v>
      </c>
      <c r="F15" s="64" t="s">
        <v>470</v>
      </c>
      <c r="G15" s="32"/>
      <c r="H15" s="32"/>
      <c r="I15" s="64" t="s">
        <v>445</v>
      </c>
    </row>
    <row r="16">
      <c r="A16" s="137">
        <v>45376.0</v>
      </c>
      <c r="B16" s="64" t="s">
        <v>419</v>
      </c>
      <c r="C16" s="64" t="s">
        <v>446</v>
      </c>
      <c r="D16" s="137">
        <v>45376.0</v>
      </c>
      <c r="E16" s="64" t="s">
        <v>471</v>
      </c>
      <c r="F16" s="64" t="s">
        <v>472</v>
      </c>
      <c r="G16" s="32"/>
      <c r="H16" s="32"/>
      <c r="I16" s="64" t="s">
        <v>445</v>
      </c>
    </row>
    <row r="17">
      <c r="A17" s="137">
        <v>45376.0</v>
      </c>
      <c r="B17" s="64" t="s">
        <v>419</v>
      </c>
      <c r="C17" s="64" t="s">
        <v>414</v>
      </c>
      <c r="D17" s="137">
        <v>45376.0</v>
      </c>
      <c r="E17" s="64" t="s">
        <v>473</v>
      </c>
      <c r="F17" s="64" t="s">
        <v>344</v>
      </c>
      <c r="G17" s="32"/>
      <c r="H17" s="32"/>
      <c r="I17" s="64" t="s">
        <v>445</v>
      </c>
    </row>
    <row r="18">
      <c r="A18" s="137">
        <v>45376.0</v>
      </c>
      <c r="B18" s="64" t="s">
        <v>419</v>
      </c>
      <c r="C18" s="64" t="s">
        <v>420</v>
      </c>
      <c r="D18" s="137">
        <v>45376.0</v>
      </c>
      <c r="E18" s="64" t="s">
        <v>474</v>
      </c>
      <c r="F18" s="64" t="s">
        <v>344</v>
      </c>
      <c r="G18" s="32"/>
      <c r="H18" s="32"/>
      <c r="I18" s="64" t="s">
        <v>445</v>
      </c>
    </row>
    <row r="19">
      <c r="A19" s="137">
        <v>45436.0</v>
      </c>
      <c r="B19" s="64" t="s">
        <v>455</v>
      </c>
      <c r="C19" s="64" t="s">
        <v>420</v>
      </c>
      <c r="D19" s="129">
        <v>45436.0</v>
      </c>
      <c r="E19" s="64" t="s">
        <v>475</v>
      </c>
      <c r="F19" s="64" t="s">
        <v>344</v>
      </c>
      <c r="G19" s="32"/>
      <c r="H19" s="71" t="s">
        <v>476</v>
      </c>
      <c r="I19" s="64" t="s">
        <v>445</v>
      </c>
    </row>
    <row r="20">
      <c r="A20" s="137">
        <v>45471.0</v>
      </c>
      <c r="B20" s="64" t="s">
        <v>419</v>
      </c>
      <c r="C20" s="64" t="s">
        <v>420</v>
      </c>
      <c r="D20" s="137">
        <v>45471.0</v>
      </c>
      <c r="E20" s="104" t="s">
        <v>398</v>
      </c>
      <c r="F20" s="64" t="s">
        <v>344</v>
      </c>
      <c r="G20" s="32"/>
      <c r="H20" s="32"/>
      <c r="I20" s="146" t="s">
        <v>445</v>
      </c>
    </row>
    <row r="21">
      <c r="A21" s="137">
        <v>45603.0</v>
      </c>
      <c r="B21" s="64" t="s">
        <v>455</v>
      </c>
      <c r="C21" s="64" t="s">
        <v>420</v>
      </c>
      <c r="D21" s="129">
        <v>45603.0</v>
      </c>
      <c r="E21" s="64" t="s">
        <v>477</v>
      </c>
      <c r="F21" s="64" t="s">
        <v>344</v>
      </c>
      <c r="G21" s="32"/>
      <c r="H21" s="32"/>
      <c r="I21" s="146" t="s">
        <v>445</v>
      </c>
    </row>
    <row r="22">
      <c r="A22" s="137">
        <v>45737.0</v>
      </c>
      <c r="B22" s="64" t="s">
        <v>455</v>
      </c>
      <c r="C22" s="64" t="s">
        <v>420</v>
      </c>
      <c r="D22" s="129">
        <v>45737.0</v>
      </c>
      <c r="E22" s="64" t="s">
        <v>478</v>
      </c>
      <c r="F22" s="64" t="s">
        <v>344</v>
      </c>
      <c r="G22" s="71" t="s">
        <v>479</v>
      </c>
      <c r="H22" s="32"/>
      <c r="I22" s="64" t="s">
        <v>445</v>
      </c>
    </row>
    <row r="23">
      <c r="A23" s="137">
        <v>45737.0</v>
      </c>
      <c r="B23" s="64" t="s">
        <v>455</v>
      </c>
      <c r="C23" s="64" t="s">
        <v>414</v>
      </c>
      <c r="D23" s="137">
        <v>45737.0</v>
      </c>
      <c r="E23" s="64" t="s">
        <v>480</v>
      </c>
      <c r="F23" s="64" t="s">
        <v>344</v>
      </c>
      <c r="G23" s="52" t="s">
        <v>481</v>
      </c>
      <c r="H23" s="32"/>
      <c r="I23" s="64" t="s">
        <v>445</v>
      </c>
    </row>
    <row r="24">
      <c r="A24" s="137">
        <v>45737.0</v>
      </c>
      <c r="B24" s="64" t="s">
        <v>455</v>
      </c>
      <c r="C24" s="64" t="s">
        <v>420</v>
      </c>
      <c r="D24" s="137">
        <v>45737.0</v>
      </c>
      <c r="E24" s="64" t="s">
        <v>482</v>
      </c>
      <c r="F24" s="64" t="s">
        <v>344</v>
      </c>
      <c r="G24" s="52" t="s">
        <v>483</v>
      </c>
      <c r="H24" s="32"/>
      <c r="I24" s="64" t="s">
        <v>445</v>
      </c>
    </row>
    <row r="25">
      <c r="A25" s="137">
        <v>45737.0</v>
      </c>
      <c r="B25" s="64" t="s">
        <v>455</v>
      </c>
      <c r="C25" s="64" t="s">
        <v>446</v>
      </c>
      <c r="D25" s="137">
        <v>45737.0</v>
      </c>
      <c r="E25" s="64" t="s">
        <v>484</v>
      </c>
      <c r="F25" s="32"/>
      <c r="G25" s="32"/>
      <c r="H25" s="32"/>
      <c r="I25" s="64" t="s">
        <v>445</v>
      </c>
    </row>
    <row r="26">
      <c r="A26" s="137">
        <v>45737.0</v>
      </c>
      <c r="B26" s="64" t="s">
        <v>455</v>
      </c>
      <c r="C26" s="64" t="s">
        <v>446</v>
      </c>
      <c r="D26" s="137">
        <v>45737.0</v>
      </c>
      <c r="E26" s="64" t="s">
        <v>485</v>
      </c>
      <c r="F26" s="32"/>
      <c r="G26" s="32"/>
      <c r="H26" s="32"/>
      <c r="I26" s="64" t="s">
        <v>445</v>
      </c>
    </row>
    <row r="27">
      <c r="A27" s="147">
        <v>45761.0</v>
      </c>
      <c r="B27" s="64" t="s">
        <v>419</v>
      </c>
      <c r="C27" s="64" t="s">
        <v>446</v>
      </c>
      <c r="D27" s="147">
        <v>45761.0</v>
      </c>
      <c r="E27" s="64" t="s">
        <v>486</v>
      </c>
      <c r="F27" s="32"/>
      <c r="G27" s="32"/>
      <c r="H27" s="32"/>
      <c r="I27" s="64" t="s">
        <v>445</v>
      </c>
    </row>
    <row r="28">
      <c r="A28" s="147">
        <v>45761.0</v>
      </c>
      <c r="B28" s="64" t="s">
        <v>419</v>
      </c>
      <c r="C28" s="64" t="s">
        <v>420</v>
      </c>
      <c r="D28" s="147">
        <v>45761.0</v>
      </c>
      <c r="E28" s="64" t="s">
        <v>487</v>
      </c>
      <c r="F28" s="64" t="s">
        <v>344</v>
      </c>
      <c r="G28" s="32"/>
      <c r="H28" s="32"/>
      <c r="I28" s="64" t="s">
        <v>445</v>
      </c>
    </row>
    <row r="29">
      <c r="A29" s="147">
        <v>45762.0</v>
      </c>
      <c r="B29" s="64" t="s">
        <v>455</v>
      </c>
      <c r="C29" s="64" t="s">
        <v>414</v>
      </c>
      <c r="D29" s="147">
        <v>45762.0</v>
      </c>
      <c r="E29" s="64" t="s">
        <v>488</v>
      </c>
      <c r="F29" s="32"/>
      <c r="G29" s="64"/>
      <c r="H29" s="71" t="s">
        <v>489</v>
      </c>
      <c r="I29" s="146" t="s">
        <v>445</v>
      </c>
    </row>
    <row r="30">
      <c r="A30" s="147">
        <v>45769.0</v>
      </c>
      <c r="B30" s="64" t="s">
        <v>455</v>
      </c>
      <c r="C30" s="64" t="s">
        <v>414</v>
      </c>
      <c r="D30" s="147">
        <v>45769.0</v>
      </c>
      <c r="E30" s="64" t="s">
        <v>490</v>
      </c>
      <c r="F30" s="64" t="s">
        <v>344</v>
      </c>
      <c r="G30" s="32"/>
      <c r="H30" s="32"/>
      <c r="I30" s="146" t="s">
        <v>445</v>
      </c>
    </row>
    <row r="31">
      <c r="A31" s="147">
        <v>45769.0</v>
      </c>
      <c r="B31" s="64" t="s">
        <v>419</v>
      </c>
      <c r="C31" s="64" t="s">
        <v>420</v>
      </c>
      <c r="D31" s="147">
        <v>45769.0</v>
      </c>
      <c r="E31" s="64" t="s">
        <v>491</v>
      </c>
      <c r="F31" s="64" t="s">
        <v>344</v>
      </c>
      <c r="G31" s="32"/>
      <c r="H31" s="32"/>
      <c r="I31" s="146" t="s">
        <v>445</v>
      </c>
    </row>
    <row r="32">
      <c r="A32" s="147">
        <v>45775.0</v>
      </c>
      <c r="B32" s="64" t="s">
        <v>419</v>
      </c>
      <c r="C32" s="64" t="s">
        <v>420</v>
      </c>
      <c r="D32" s="147">
        <v>45775.0</v>
      </c>
      <c r="E32" s="64" t="s">
        <v>492</v>
      </c>
      <c r="F32" s="64" t="s">
        <v>344</v>
      </c>
      <c r="G32" s="71" t="s">
        <v>279</v>
      </c>
      <c r="H32" s="32"/>
      <c r="I32" s="146" t="s">
        <v>445</v>
      </c>
    </row>
    <row r="33">
      <c r="A33" s="147">
        <v>45775.0</v>
      </c>
      <c r="B33" s="64" t="s">
        <v>419</v>
      </c>
      <c r="C33" s="64" t="s">
        <v>446</v>
      </c>
      <c r="D33" s="147">
        <v>45775.0</v>
      </c>
      <c r="E33" s="64" t="s">
        <v>493</v>
      </c>
      <c r="F33" s="64" t="s">
        <v>494</v>
      </c>
      <c r="G33" s="32"/>
      <c r="H33" s="32"/>
      <c r="I33" s="146" t="s">
        <v>445</v>
      </c>
    </row>
    <row r="34">
      <c r="A34" s="137">
        <v>45799.0</v>
      </c>
      <c r="B34" s="64" t="s">
        <v>455</v>
      </c>
      <c r="C34" s="64" t="s">
        <v>420</v>
      </c>
      <c r="D34" s="129">
        <v>45799.0</v>
      </c>
      <c r="E34" s="64" t="s">
        <v>495</v>
      </c>
      <c r="F34" s="32"/>
      <c r="G34" s="32"/>
      <c r="H34" s="52" t="s">
        <v>496</v>
      </c>
      <c r="I34" s="146" t="s">
        <v>445</v>
      </c>
    </row>
    <row r="35">
      <c r="A35" s="147">
        <v>45891.0</v>
      </c>
      <c r="B35" s="64" t="s">
        <v>455</v>
      </c>
      <c r="C35" s="64" t="s">
        <v>420</v>
      </c>
      <c r="D35" s="147">
        <v>45891.0</v>
      </c>
      <c r="E35" s="64" t="s">
        <v>497</v>
      </c>
      <c r="F35" s="32"/>
      <c r="G35" s="32"/>
      <c r="H35" s="32"/>
      <c r="I35" s="146" t="s">
        <v>445</v>
      </c>
    </row>
    <row r="36">
      <c r="A36" s="147">
        <v>46075.0</v>
      </c>
      <c r="B36" s="64" t="s">
        <v>455</v>
      </c>
      <c r="C36" s="64" t="s">
        <v>446</v>
      </c>
      <c r="D36" s="147">
        <v>46075.0</v>
      </c>
      <c r="E36" s="64" t="s">
        <v>498</v>
      </c>
      <c r="F36" s="32"/>
      <c r="G36" s="32"/>
      <c r="H36" s="32"/>
      <c r="I36" s="146" t="s">
        <v>445</v>
      </c>
    </row>
    <row r="37">
      <c r="A37" s="147">
        <v>46099.0</v>
      </c>
      <c r="B37" s="64" t="s">
        <v>455</v>
      </c>
      <c r="C37" s="64" t="s">
        <v>420</v>
      </c>
      <c r="D37" s="147">
        <v>46099.0</v>
      </c>
      <c r="E37" s="64" t="s">
        <v>499</v>
      </c>
      <c r="F37" s="32"/>
      <c r="G37" s="32"/>
      <c r="H37" s="71" t="s">
        <v>500</v>
      </c>
      <c r="I37" s="146" t="s">
        <v>445</v>
      </c>
    </row>
    <row r="38">
      <c r="A38" s="147">
        <v>46169.0</v>
      </c>
      <c r="B38" s="64" t="s">
        <v>455</v>
      </c>
      <c r="C38" s="64" t="s">
        <v>420</v>
      </c>
      <c r="D38" s="147">
        <v>46169.0</v>
      </c>
      <c r="E38" s="64" t="s">
        <v>501</v>
      </c>
      <c r="F38" s="32"/>
      <c r="G38" s="32"/>
      <c r="H38" s="32"/>
      <c r="I38" s="146" t="s">
        <v>445</v>
      </c>
    </row>
    <row r="39">
      <c r="A39" s="137"/>
      <c r="B39" s="32"/>
      <c r="C39" s="32"/>
      <c r="D39" s="32"/>
      <c r="E39" s="32"/>
      <c r="F39" s="32"/>
      <c r="G39" s="32"/>
      <c r="H39" s="32"/>
      <c r="I39" s="32"/>
    </row>
    <row r="40">
      <c r="A40" s="137"/>
      <c r="B40" s="32"/>
      <c r="C40" s="32"/>
      <c r="D40" s="32"/>
      <c r="E40" s="32"/>
      <c r="F40" s="32"/>
      <c r="G40" s="32"/>
      <c r="H40" s="32"/>
      <c r="I40" s="32"/>
    </row>
    <row r="41">
      <c r="A41" s="137"/>
      <c r="B41" s="32"/>
      <c r="C41" s="32"/>
      <c r="D41" s="32"/>
      <c r="E41" s="32"/>
      <c r="F41" s="32"/>
      <c r="G41" s="32"/>
      <c r="H41" s="32"/>
      <c r="I41" s="32"/>
    </row>
    <row r="42">
      <c r="A42" s="137"/>
      <c r="B42" s="32"/>
      <c r="C42" s="32"/>
      <c r="D42" s="32"/>
      <c r="E42" s="32"/>
      <c r="F42" s="32"/>
      <c r="G42" s="32"/>
      <c r="H42" s="32"/>
      <c r="I42" s="32"/>
    </row>
    <row r="43">
      <c r="A43" s="137"/>
      <c r="B43" s="32"/>
      <c r="C43" s="32"/>
      <c r="D43" s="32"/>
      <c r="E43" s="32"/>
      <c r="F43" s="32"/>
      <c r="G43" s="32"/>
      <c r="H43" s="32"/>
      <c r="I43" s="32"/>
    </row>
    <row r="44">
      <c r="A44" s="137"/>
      <c r="B44" s="32"/>
      <c r="C44" s="32"/>
      <c r="D44" s="32"/>
      <c r="E44" s="32"/>
      <c r="F44" s="32"/>
      <c r="G44" s="32"/>
      <c r="H44" s="32"/>
      <c r="I44" s="32"/>
    </row>
    <row r="45">
      <c r="A45" s="137"/>
      <c r="B45" s="32"/>
      <c r="C45" s="32"/>
      <c r="D45" s="32"/>
      <c r="E45" s="32"/>
      <c r="F45" s="32"/>
      <c r="G45" s="32"/>
      <c r="H45" s="32"/>
      <c r="I45" s="32"/>
    </row>
    <row r="46">
      <c r="A46" s="137"/>
      <c r="B46" s="32"/>
      <c r="C46" s="32"/>
      <c r="D46" s="32"/>
      <c r="E46" s="32"/>
      <c r="F46" s="32"/>
      <c r="G46" s="32"/>
      <c r="H46" s="32"/>
      <c r="I46" s="32"/>
    </row>
    <row r="47">
      <c r="A47" s="137"/>
      <c r="B47" s="32"/>
      <c r="C47" s="32"/>
      <c r="D47" s="32"/>
      <c r="E47" s="32"/>
      <c r="F47" s="32"/>
      <c r="G47" s="32"/>
      <c r="H47" s="32"/>
      <c r="I47" s="32"/>
    </row>
    <row r="48">
      <c r="A48" s="137"/>
      <c r="B48" s="32"/>
      <c r="C48" s="32"/>
      <c r="D48" s="32"/>
      <c r="E48" s="32"/>
      <c r="F48" s="32"/>
      <c r="G48" s="32"/>
      <c r="H48" s="32"/>
      <c r="I48" s="32"/>
    </row>
    <row r="49">
      <c r="A49" s="137"/>
      <c r="B49" s="32"/>
      <c r="C49" s="32"/>
      <c r="D49" s="32"/>
      <c r="E49" s="32"/>
      <c r="F49" s="32"/>
      <c r="G49" s="32"/>
      <c r="H49" s="32"/>
      <c r="I49" s="32"/>
    </row>
    <row r="50">
      <c r="A50" s="137"/>
      <c r="B50" s="32"/>
      <c r="C50" s="32"/>
      <c r="D50" s="32"/>
      <c r="E50" s="32"/>
      <c r="F50" s="32"/>
      <c r="G50" s="32"/>
      <c r="H50" s="32"/>
      <c r="I50" s="32"/>
    </row>
    <row r="51">
      <c r="A51" s="137"/>
      <c r="B51" s="32"/>
      <c r="C51" s="32"/>
      <c r="D51" s="32"/>
      <c r="E51" s="32"/>
      <c r="F51" s="32"/>
      <c r="G51" s="32"/>
      <c r="H51" s="32"/>
      <c r="I51" s="32"/>
    </row>
    <row r="52">
      <c r="A52" s="137"/>
      <c r="B52" s="32"/>
      <c r="C52" s="32"/>
      <c r="D52" s="32"/>
      <c r="E52" s="32"/>
      <c r="F52" s="32"/>
      <c r="G52" s="32"/>
      <c r="H52" s="32"/>
      <c r="I52" s="32"/>
    </row>
    <row r="53">
      <c r="A53" s="137"/>
      <c r="B53" s="32"/>
      <c r="C53" s="32"/>
      <c r="D53" s="32"/>
      <c r="E53" s="32"/>
      <c r="F53" s="32"/>
      <c r="G53" s="32"/>
      <c r="H53" s="32"/>
      <c r="I53" s="32"/>
    </row>
    <row r="54">
      <c r="A54" s="137"/>
      <c r="B54" s="32"/>
      <c r="C54" s="32"/>
      <c r="D54" s="32"/>
      <c r="E54" s="32"/>
      <c r="F54" s="32"/>
      <c r="G54" s="32"/>
      <c r="H54" s="32"/>
      <c r="I54" s="32"/>
    </row>
    <row r="55">
      <c r="A55" s="137"/>
      <c r="B55" s="32"/>
      <c r="C55" s="32"/>
      <c r="D55" s="32"/>
      <c r="E55" s="32"/>
      <c r="F55" s="32"/>
      <c r="G55" s="32"/>
      <c r="H55" s="32"/>
      <c r="I55" s="32"/>
    </row>
    <row r="56">
      <c r="A56" s="137"/>
      <c r="B56" s="32"/>
      <c r="C56" s="32"/>
      <c r="D56" s="32"/>
      <c r="E56" s="32"/>
      <c r="F56" s="32"/>
      <c r="G56" s="32"/>
      <c r="H56" s="32"/>
      <c r="I56" s="32"/>
    </row>
    <row r="57">
      <c r="A57" s="137"/>
      <c r="B57" s="32"/>
      <c r="C57" s="32"/>
      <c r="D57" s="32"/>
      <c r="E57" s="32"/>
      <c r="F57" s="32"/>
      <c r="G57" s="32"/>
      <c r="H57" s="32"/>
      <c r="I57" s="32"/>
    </row>
    <row r="58">
      <c r="A58" s="137"/>
      <c r="B58" s="32"/>
      <c r="C58" s="32"/>
      <c r="D58" s="32"/>
      <c r="E58" s="32"/>
      <c r="F58" s="32"/>
      <c r="G58" s="32"/>
      <c r="H58" s="32"/>
      <c r="I58" s="32"/>
    </row>
    <row r="59">
      <c r="A59" s="137"/>
      <c r="B59" s="32"/>
      <c r="C59" s="32"/>
      <c r="D59" s="32"/>
      <c r="E59" s="32"/>
      <c r="F59" s="32"/>
      <c r="G59" s="32"/>
      <c r="H59" s="32"/>
      <c r="I59" s="32"/>
    </row>
    <row r="60">
      <c r="A60" s="137"/>
      <c r="B60" s="32"/>
      <c r="C60" s="32"/>
      <c r="D60" s="32"/>
      <c r="E60" s="32"/>
      <c r="F60" s="32"/>
      <c r="G60" s="32"/>
      <c r="H60" s="32"/>
      <c r="I60" s="32"/>
    </row>
    <row r="61">
      <c r="A61" s="137"/>
      <c r="B61" s="32"/>
      <c r="C61" s="32"/>
      <c r="D61" s="32"/>
      <c r="E61" s="32"/>
      <c r="F61" s="32"/>
      <c r="G61" s="32"/>
      <c r="H61" s="32"/>
      <c r="I61" s="32"/>
    </row>
    <row r="62">
      <c r="A62" s="137"/>
      <c r="B62" s="32"/>
      <c r="C62" s="32"/>
      <c r="D62" s="32"/>
      <c r="E62" s="32"/>
      <c r="F62" s="32"/>
      <c r="G62" s="32"/>
      <c r="H62" s="32"/>
      <c r="I62" s="32"/>
    </row>
    <row r="63">
      <c r="A63" s="137"/>
      <c r="B63" s="32"/>
      <c r="C63" s="32"/>
      <c r="D63" s="32"/>
      <c r="E63" s="32"/>
      <c r="F63" s="32"/>
      <c r="G63" s="32"/>
      <c r="H63" s="32"/>
      <c r="I63" s="32"/>
    </row>
    <row r="64">
      <c r="A64" s="137"/>
      <c r="B64" s="32"/>
      <c r="C64" s="32"/>
      <c r="D64" s="32"/>
      <c r="E64" s="32"/>
      <c r="F64" s="32"/>
      <c r="G64" s="32"/>
      <c r="H64" s="32"/>
      <c r="I64" s="32"/>
    </row>
    <row r="65">
      <c r="A65" s="137"/>
      <c r="B65" s="32"/>
      <c r="C65" s="32"/>
      <c r="D65" s="32"/>
      <c r="E65" s="32"/>
      <c r="F65" s="32"/>
      <c r="G65" s="32"/>
      <c r="H65" s="32"/>
      <c r="I65" s="32"/>
    </row>
    <row r="66">
      <c r="A66" s="137"/>
      <c r="B66" s="32"/>
      <c r="C66" s="32"/>
      <c r="D66" s="32"/>
      <c r="E66" s="32"/>
      <c r="F66" s="32"/>
      <c r="G66" s="32"/>
      <c r="H66" s="32"/>
      <c r="I66" s="32"/>
    </row>
    <row r="67">
      <c r="A67" s="137"/>
      <c r="B67" s="32"/>
      <c r="C67" s="32"/>
      <c r="D67" s="32"/>
      <c r="E67" s="32"/>
      <c r="F67" s="32"/>
      <c r="G67" s="32"/>
      <c r="H67" s="32"/>
      <c r="I67" s="32"/>
    </row>
    <row r="68">
      <c r="A68" s="137"/>
      <c r="B68" s="32"/>
      <c r="C68" s="32"/>
      <c r="D68" s="32"/>
      <c r="E68" s="32"/>
      <c r="F68" s="32"/>
      <c r="G68" s="32"/>
      <c r="H68" s="32"/>
      <c r="I68" s="32"/>
    </row>
    <row r="69">
      <c r="A69" s="137"/>
      <c r="B69" s="32"/>
      <c r="C69" s="32"/>
      <c r="D69" s="32"/>
      <c r="E69" s="32"/>
      <c r="F69" s="32"/>
      <c r="G69" s="32"/>
      <c r="H69" s="32"/>
      <c r="I69" s="32"/>
    </row>
    <row r="70">
      <c r="A70" s="137"/>
      <c r="B70" s="32"/>
      <c r="C70" s="32"/>
      <c r="D70" s="32"/>
      <c r="E70" s="32"/>
      <c r="F70" s="32"/>
      <c r="G70" s="32"/>
      <c r="H70" s="32"/>
      <c r="I70" s="32"/>
    </row>
    <row r="71">
      <c r="A71" s="137"/>
      <c r="B71" s="32"/>
      <c r="C71" s="32"/>
      <c r="D71" s="32"/>
      <c r="E71" s="32"/>
      <c r="F71" s="32"/>
      <c r="G71" s="32"/>
      <c r="H71" s="32"/>
      <c r="I71" s="32"/>
    </row>
    <row r="72">
      <c r="A72" s="137"/>
      <c r="B72" s="32"/>
      <c r="C72" s="32"/>
      <c r="D72" s="32"/>
      <c r="E72" s="32"/>
      <c r="F72" s="32"/>
      <c r="G72" s="32"/>
      <c r="H72" s="32"/>
      <c r="I72" s="32"/>
    </row>
    <row r="73">
      <c r="A73" s="137"/>
      <c r="B73" s="32"/>
      <c r="C73" s="32"/>
      <c r="D73" s="32"/>
      <c r="E73" s="32"/>
      <c r="F73" s="32"/>
      <c r="G73" s="32"/>
      <c r="H73" s="32"/>
      <c r="I73" s="32"/>
    </row>
    <row r="74">
      <c r="A74" s="137"/>
      <c r="B74" s="32"/>
      <c r="C74" s="32"/>
      <c r="D74" s="32"/>
      <c r="E74" s="32"/>
      <c r="F74" s="32"/>
      <c r="G74" s="32"/>
      <c r="H74" s="32"/>
      <c r="I74" s="32"/>
    </row>
    <row r="75">
      <c r="A75" s="137"/>
      <c r="B75" s="32"/>
      <c r="C75" s="32"/>
      <c r="D75" s="32"/>
      <c r="E75" s="32"/>
      <c r="F75" s="32"/>
      <c r="G75" s="32"/>
      <c r="H75" s="32"/>
      <c r="I75" s="32"/>
    </row>
    <row r="76">
      <c r="A76" s="137"/>
      <c r="B76" s="32"/>
      <c r="C76" s="32"/>
      <c r="D76" s="32"/>
      <c r="E76" s="32"/>
      <c r="F76" s="32"/>
      <c r="G76" s="32"/>
      <c r="H76" s="32"/>
      <c r="I76" s="32"/>
    </row>
    <row r="77">
      <c r="A77" s="137"/>
      <c r="B77" s="32"/>
      <c r="C77" s="32"/>
      <c r="D77" s="32"/>
      <c r="E77" s="32"/>
      <c r="F77" s="32"/>
      <c r="G77" s="32"/>
      <c r="H77" s="32"/>
      <c r="I77" s="32"/>
    </row>
    <row r="78">
      <c r="A78" s="137"/>
      <c r="B78" s="32"/>
      <c r="C78" s="32"/>
      <c r="D78" s="32"/>
      <c r="E78" s="32"/>
      <c r="F78" s="32"/>
      <c r="G78" s="32"/>
      <c r="H78" s="32"/>
      <c r="I78" s="32"/>
    </row>
    <row r="79">
      <c r="A79" s="137"/>
      <c r="B79" s="32"/>
      <c r="C79" s="32"/>
      <c r="D79" s="32"/>
      <c r="E79" s="32"/>
      <c r="F79" s="32"/>
      <c r="G79" s="32"/>
      <c r="H79" s="32"/>
      <c r="I79" s="32"/>
    </row>
    <row r="80">
      <c r="A80" s="137"/>
      <c r="B80" s="32"/>
      <c r="C80" s="32"/>
      <c r="D80" s="32"/>
      <c r="E80" s="32"/>
      <c r="F80" s="32"/>
      <c r="G80" s="32"/>
      <c r="H80" s="32"/>
      <c r="I80" s="32"/>
    </row>
    <row r="81">
      <c r="A81" s="137"/>
      <c r="B81" s="32"/>
      <c r="C81" s="32"/>
      <c r="D81" s="32"/>
      <c r="E81" s="32"/>
      <c r="F81" s="32"/>
      <c r="G81" s="32"/>
      <c r="H81" s="32"/>
      <c r="I81" s="32"/>
    </row>
    <row r="82">
      <c r="A82" s="137"/>
      <c r="B82" s="32"/>
      <c r="C82" s="32"/>
      <c r="D82" s="32"/>
      <c r="E82" s="32"/>
      <c r="F82" s="32"/>
      <c r="G82" s="32"/>
      <c r="H82" s="32"/>
      <c r="I82" s="32"/>
    </row>
    <row r="83">
      <c r="A83" s="137"/>
      <c r="B83" s="32"/>
      <c r="C83" s="32"/>
      <c r="D83" s="32"/>
      <c r="E83" s="32"/>
      <c r="F83" s="32"/>
      <c r="G83" s="32"/>
      <c r="H83" s="32"/>
      <c r="I83" s="32"/>
    </row>
    <row r="84">
      <c r="A84" s="137"/>
      <c r="B84" s="32"/>
      <c r="C84" s="32"/>
      <c r="D84" s="32"/>
      <c r="E84" s="32"/>
      <c r="F84" s="32"/>
      <c r="G84" s="32"/>
      <c r="H84" s="32"/>
      <c r="I84" s="32"/>
    </row>
    <row r="85">
      <c r="A85" s="137"/>
      <c r="B85" s="32"/>
      <c r="C85" s="32"/>
      <c r="D85" s="32"/>
      <c r="E85" s="32"/>
      <c r="F85" s="32"/>
      <c r="G85" s="32"/>
      <c r="H85" s="32"/>
      <c r="I85" s="32"/>
    </row>
    <row r="86">
      <c r="A86" s="137"/>
      <c r="B86" s="32"/>
      <c r="C86" s="32"/>
      <c r="D86" s="32"/>
      <c r="E86" s="32"/>
      <c r="F86" s="32"/>
      <c r="G86" s="32"/>
      <c r="H86" s="32"/>
      <c r="I86" s="32"/>
    </row>
    <row r="87">
      <c r="A87" s="137"/>
      <c r="B87" s="32"/>
      <c r="C87" s="32"/>
      <c r="D87" s="32"/>
      <c r="E87" s="32"/>
      <c r="F87" s="32"/>
      <c r="G87" s="32"/>
      <c r="H87" s="32"/>
      <c r="I87" s="32"/>
    </row>
    <row r="88">
      <c r="A88" s="137"/>
      <c r="B88" s="32"/>
      <c r="C88" s="32"/>
      <c r="D88" s="32"/>
      <c r="E88" s="32"/>
      <c r="F88" s="32"/>
      <c r="G88" s="32"/>
      <c r="H88" s="32"/>
      <c r="I88" s="32"/>
    </row>
    <row r="89">
      <c r="A89" s="137"/>
      <c r="B89" s="32"/>
      <c r="C89" s="32"/>
      <c r="D89" s="32"/>
      <c r="E89" s="32"/>
      <c r="F89" s="32"/>
      <c r="G89" s="32"/>
      <c r="H89" s="32"/>
      <c r="I89" s="32"/>
    </row>
    <row r="90">
      <c r="A90" s="137"/>
      <c r="B90" s="32"/>
      <c r="C90" s="32"/>
      <c r="D90" s="32"/>
      <c r="E90" s="32"/>
      <c r="F90" s="32"/>
      <c r="G90" s="32"/>
      <c r="H90" s="32"/>
      <c r="I90" s="32"/>
    </row>
    <row r="91">
      <c r="A91" s="137"/>
      <c r="B91" s="32"/>
      <c r="C91" s="32"/>
      <c r="D91" s="32"/>
      <c r="E91" s="32"/>
      <c r="F91" s="32"/>
      <c r="G91" s="32"/>
      <c r="H91" s="32"/>
      <c r="I91" s="32"/>
    </row>
    <row r="92">
      <c r="A92" s="137"/>
      <c r="B92" s="32"/>
      <c r="C92" s="32"/>
      <c r="D92" s="32"/>
      <c r="E92" s="32"/>
      <c r="F92" s="32"/>
      <c r="G92" s="32"/>
      <c r="H92" s="32"/>
      <c r="I92" s="32"/>
    </row>
    <row r="93">
      <c r="A93" s="137"/>
      <c r="B93" s="32"/>
      <c r="C93" s="32"/>
      <c r="D93" s="32"/>
      <c r="E93" s="32"/>
      <c r="F93" s="32"/>
      <c r="G93" s="32"/>
      <c r="H93" s="32"/>
      <c r="I93" s="32"/>
    </row>
    <row r="94">
      <c r="A94" s="137"/>
      <c r="B94" s="32"/>
      <c r="C94" s="32"/>
      <c r="D94" s="32"/>
      <c r="E94" s="32"/>
      <c r="F94" s="32"/>
      <c r="G94" s="32"/>
      <c r="H94" s="32"/>
      <c r="I94" s="32"/>
    </row>
    <row r="95">
      <c r="A95" s="137"/>
      <c r="B95" s="32"/>
      <c r="C95" s="32"/>
      <c r="D95" s="32"/>
      <c r="E95" s="32"/>
      <c r="F95" s="32"/>
      <c r="G95" s="32"/>
      <c r="H95" s="32"/>
      <c r="I95" s="32"/>
    </row>
    <row r="96">
      <c r="A96" s="137"/>
      <c r="B96" s="32"/>
      <c r="C96" s="32"/>
      <c r="D96" s="32"/>
      <c r="E96" s="32"/>
      <c r="F96" s="32"/>
      <c r="G96" s="32"/>
      <c r="H96" s="32"/>
      <c r="I96" s="32"/>
    </row>
    <row r="97">
      <c r="A97" s="137"/>
      <c r="B97" s="32"/>
      <c r="C97" s="32"/>
      <c r="D97" s="32"/>
      <c r="E97" s="32"/>
      <c r="F97" s="32"/>
      <c r="G97" s="32"/>
      <c r="H97" s="32"/>
      <c r="I97" s="32"/>
    </row>
    <row r="98">
      <c r="A98" s="137"/>
      <c r="B98" s="32"/>
      <c r="C98" s="32"/>
      <c r="D98" s="32"/>
      <c r="E98" s="32"/>
      <c r="F98" s="32"/>
      <c r="G98" s="32"/>
      <c r="H98" s="32"/>
      <c r="I98" s="32"/>
    </row>
    <row r="99">
      <c r="A99" s="137"/>
      <c r="B99" s="32"/>
      <c r="C99" s="32"/>
      <c r="D99" s="32"/>
      <c r="E99" s="32"/>
      <c r="F99" s="32"/>
      <c r="G99" s="32"/>
      <c r="H99" s="32"/>
      <c r="I99" s="32"/>
    </row>
    <row r="100">
      <c r="A100" s="137"/>
      <c r="B100" s="32"/>
      <c r="C100" s="32"/>
      <c r="D100" s="32"/>
      <c r="E100" s="32"/>
      <c r="F100" s="32"/>
      <c r="G100" s="32"/>
      <c r="H100" s="32"/>
      <c r="I100" s="32"/>
    </row>
    <row r="101">
      <c r="A101" s="137"/>
      <c r="B101" s="32"/>
      <c r="C101" s="32"/>
      <c r="D101" s="32"/>
      <c r="E101" s="32"/>
      <c r="F101" s="32"/>
      <c r="G101" s="32"/>
      <c r="H101" s="32"/>
      <c r="I101" s="32"/>
    </row>
    <row r="102">
      <c r="A102" s="137"/>
      <c r="B102" s="32"/>
      <c r="C102" s="32"/>
      <c r="D102" s="32"/>
      <c r="E102" s="32"/>
      <c r="F102" s="32"/>
      <c r="G102" s="32"/>
      <c r="H102" s="32"/>
      <c r="I102" s="32"/>
    </row>
    <row r="103">
      <c r="A103" s="137"/>
      <c r="B103" s="32"/>
      <c r="C103" s="32"/>
      <c r="D103" s="32"/>
      <c r="E103" s="32"/>
      <c r="F103" s="32"/>
      <c r="G103" s="32"/>
      <c r="H103" s="32"/>
      <c r="I103" s="32"/>
    </row>
    <row r="104">
      <c r="A104" s="137"/>
      <c r="B104" s="32"/>
      <c r="C104" s="32"/>
      <c r="D104" s="32"/>
      <c r="E104" s="32"/>
      <c r="F104" s="32"/>
      <c r="G104" s="32"/>
      <c r="H104" s="32"/>
      <c r="I104" s="32"/>
    </row>
    <row r="105">
      <c r="A105" s="137"/>
      <c r="B105" s="32"/>
      <c r="C105" s="32"/>
      <c r="D105" s="32"/>
      <c r="E105" s="32"/>
      <c r="F105" s="32"/>
      <c r="G105" s="32"/>
      <c r="H105" s="32"/>
      <c r="I105" s="32"/>
    </row>
    <row r="106">
      <c r="A106" s="137"/>
      <c r="B106" s="32"/>
      <c r="C106" s="32"/>
      <c r="D106" s="32"/>
      <c r="E106" s="32"/>
      <c r="F106" s="32"/>
      <c r="G106" s="32"/>
      <c r="H106" s="32"/>
      <c r="I106" s="32"/>
    </row>
    <row r="107">
      <c r="A107" s="137"/>
      <c r="B107" s="32"/>
      <c r="C107" s="32"/>
      <c r="D107" s="32"/>
      <c r="E107" s="32"/>
      <c r="F107" s="32"/>
      <c r="G107" s="32"/>
      <c r="H107" s="32"/>
      <c r="I107" s="32"/>
    </row>
    <row r="108">
      <c r="A108" s="137"/>
      <c r="B108" s="32"/>
      <c r="C108" s="32"/>
      <c r="D108" s="32"/>
      <c r="E108" s="32"/>
      <c r="F108" s="32"/>
      <c r="G108" s="32"/>
      <c r="H108" s="32"/>
      <c r="I108" s="32"/>
    </row>
    <row r="109">
      <c r="A109" s="137"/>
      <c r="B109" s="32"/>
      <c r="C109" s="32"/>
      <c r="D109" s="32"/>
      <c r="E109" s="32"/>
      <c r="F109" s="32"/>
      <c r="G109" s="32"/>
      <c r="H109" s="32"/>
      <c r="I109" s="32"/>
    </row>
    <row r="110">
      <c r="A110" s="137"/>
      <c r="B110" s="32"/>
      <c r="C110" s="32"/>
      <c r="D110" s="32"/>
      <c r="E110" s="32"/>
      <c r="F110" s="32"/>
      <c r="G110" s="32"/>
      <c r="H110" s="32"/>
      <c r="I110" s="32"/>
    </row>
    <row r="111">
      <c r="A111" s="137"/>
      <c r="B111" s="32"/>
      <c r="C111" s="32"/>
      <c r="D111" s="32"/>
      <c r="E111" s="32"/>
      <c r="F111" s="32"/>
      <c r="G111" s="32"/>
      <c r="H111" s="32"/>
      <c r="I111" s="32"/>
    </row>
    <row r="112">
      <c r="A112" s="137"/>
      <c r="B112" s="32"/>
      <c r="C112" s="32"/>
      <c r="D112" s="32"/>
      <c r="E112" s="32"/>
      <c r="F112" s="32"/>
      <c r="G112" s="32"/>
      <c r="H112" s="32"/>
      <c r="I112" s="32"/>
    </row>
    <row r="113">
      <c r="A113" s="137"/>
      <c r="B113" s="32"/>
      <c r="C113" s="32"/>
      <c r="D113" s="32"/>
      <c r="E113" s="32"/>
      <c r="F113" s="32"/>
      <c r="G113" s="32"/>
      <c r="H113" s="32"/>
      <c r="I113" s="32"/>
    </row>
    <row r="114">
      <c r="A114" s="137"/>
      <c r="B114" s="32"/>
      <c r="C114" s="32"/>
      <c r="D114" s="32"/>
      <c r="E114" s="32"/>
      <c r="F114" s="32"/>
      <c r="G114" s="32"/>
      <c r="H114" s="32"/>
      <c r="I114" s="32"/>
    </row>
    <row r="115">
      <c r="A115" s="137"/>
      <c r="B115" s="32"/>
      <c r="C115" s="32"/>
      <c r="D115" s="32"/>
      <c r="E115" s="32"/>
      <c r="F115" s="32"/>
      <c r="G115" s="32"/>
      <c r="H115" s="32"/>
      <c r="I115" s="32"/>
    </row>
    <row r="116">
      <c r="A116" s="137"/>
      <c r="B116" s="32"/>
      <c r="C116" s="32"/>
      <c r="D116" s="32"/>
      <c r="E116" s="32"/>
      <c r="F116" s="32"/>
      <c r="G116" s="32"/>
      <c r="H116" s="32"/>
      <c r="I116" s="32"/>
    </row>
    <row r="117">
      <c r="A117" s="137"/>
      <c r="B117" s="32"/>
      <c r="C117" s="32"/>
      <c r="D117" s="32"/>
      <c r="E117" s="32"/>
      <c r="F117" s="32"/>
      <c r="G117" s="32"/>
      <c r="H117" s="32"/>
      <c r="I117" s="32"/>
    </row>
    <row r="118">
      <c r="A118" s="137"/>
      <c r="B118" s="32"/>
      <c r="C118" s="32"/>
      <c r="D118" s="32"/>
      <c r="E118" s="32"/>
      <c r="F118" s="32"/>
      <c r="G118" s="32"/>
      <c r="H118" s="32"/>
      <c r="I118" s="32"/>
    </row>
    <row r="119">
      <c r="A119" s="137"/>
      <c r="B119" s="32"/>
      <c r="C119" s="32"/>
      <c r="D119" s="32"/>
      <c r="E119" s="32"/>
      <c r="F119" s="32"/>
      <c r="G119" s="32"/>
      <c r="H119" s="32"/>
      <c r="I119" s="32"/>
    </row>
    <row r="120">
      <c r="A120" s="137"/>
      <c r="B120" s="32"/>
      <c r="C120" s="32"/>
      <c r="D120" s="32"/>
      <c r="E120" s="32"/>
      <c r="F120" s="32"/>
      <c r="G120" s="32"/>
      <c r="H120" s="32"/>
      <c r="I120" s="32"/>
    </row>
    <row r="121">
      <c r="A121" s="137"/>
      <c r="B121" s="32"/>
      <c r="C121" s="32"/>
      <c r="D121" s="32"/>
      <c r="E121" s="32"/>
      <c r="F121" s="32"/>
      <c r="G121" s="32"/>
      <c r="H121" s="32"/>
      <c r="I121" s="32"/>
    </row>
    <row r="122">
      <c r="A122" s="137"/>
      <c r="B122" s="32"/>
      <c r="C122" s="32"/>
      <c r="D122" s="32"/>
      <c r="E122" s="32"/>
      <c r="F122" s="32"/>
      <c r="G122" s="32"/>
      <c r="H122" s="32"/>
      <c r="I122" s="32"/>
    </row>
    <row r="123">
      <c r="A123" s="137"/>
      <c r="B123" s="32"/>
      <c r="C123" s="32"/>
      <c r="D123" s="32"/>
      <c r="E123" s="32"/>
      <c r="F123" s="32"/>
      <c r="G123" s="32"/>
      <c r="H123" s="32"/>
      <c r="I123" s="32"/>
    </row>
    <row r="124">
      <c r="A124" s="137"/>
      <c r="B124" s="32"/>
      <c r="C124" s="32"/>
      <c r="D124" s="32"/>
      <c r="E124" s="32"/>
      <c r="F124" s="32"/>
      <c r="G124" s="32"/>
      <c r="H124" s="32"/>
      <c r="I124" s="32"/>
    </row>
    <row r="125">
      <c r="A125" s="137"/>
      <c r="B125" s="32"/>
      <c r="C125" s="32"/>
      <c r="D125" s="32"/>
      <c r="E125" s="32"/>
      <c r="F125" s="32"/>
      <c r="G125" s="32"/>
      <c r="H125" s="32"/>
      <c r="I125" s="32"/>
    </row>
    <row r="126">
      <c r="A126" s="137"/>
      <c r="B126" s="32"/>
      <c r="C126" s="32"/>
      <c r="D126" s="32"/>
      <c r="E126" s="32"/>
      <c r="F126" s="32"/>
      <c r="G126" s="32"/>
      <c r="H126" s="32"/>
      <c r="I126" s="32"/>
    </row>
    <row r="127">
      <c r="A127" s="137"/>
      <c r="B127" s="32"/>
      <c r="C127" s="32"/>
      <c r="D127" s="32"/>
      <c r="E127" s="32"/>
      <c r="F127" s="32"/>
      <c r="G127" s="32"/>
      <c r="H127" s="32"/>
      <c r="I127" s="32"/>
    </row>
    <row r="128">
      <c r="A128" s="137"/>
      <c r="B128" s="32"/>
      <c r="C128" s="32"/>
      <c r="D128" s="32"/>
      <c r="E128" s="32"/>
      <c r="F128" s="32"/>
      <c r="G128" s="32"/>
      <c r="H128" s="32"/>
      <c r="I128" s="32"/>
    </row>
    <row r="129">
      <c r="A129" s="137"/>
      <c r="B129" s="32"/>
      <c r="C129" s="32"/>
      <c r="D129" s="32"/>
      <c r="E129" s="32"/>
      <c r="F129" s="32"/>
      <c r="G129" s="32"/>
      <c r="H129" s="32"/>
      <c r="I129" s="32"/>
    </row>
    <row r="130">
      <c r="A130" s="137"/>
      <c r="B130" s="32"/>
      <c r="C130" s="32"/>
      <c r="D130" s="32"/>
      <c r="E130" s="32"/>
      <c r="F130" s="32"/>
      <c r="G130" s="32"/>
      <c r="H130" s="32"/>
      <c r="I130" s="32"/>
    </row>
    <row r="131">
      <c r="A131" s="137"/>
      <c r="B131" s="32"/>
      <c r="C131" s="32"/>
      <c r="D131" s="32"/>
      <c r="E131" s="32"/>
      <c r="F131" s="32"/>
      <c r="G131" s="32"/>
      <c r="H131" s="32"/>
      <c r="I131" s="32"/>
    </row>
    <row r="132">
      <c r="A132" s="137"/>
      <c r="B132" s="32"/>
      <c r="C132" s="32"/>
      <c r="D132" s="32"/>
      <c r="E132" s="32"/>
      <c r="F132" s="32"/>
      <c r="G132" s="32"/>
      <c r="H132" s="32"/>
      <c r="I132" s="32"/>
    </row>
    <row r="133">
      <c r="A133" s="137"/>
      <c r="B133" s="32"/>
      <c r="C133" s="32"/>
      <c r="D133" s="32"/>
      <c r="E133" s="32"/>
      <c r="F133" s="32"/>
      <c r="G133" s="32"/>
      <c r="H133" s="32"/>
      <c r="I133" s="32"/>
    </row>
    <row r="134">
      <c r="A134" s="137"/>
      <c r="B134" s="32"/>
      <c r="C134" s="32"/>
      <c r="D134" s="32"/>
      <c r="E134" s="32"/>
      <c r="F134" s="32"/>
      <c r="G134" s="32"/>
      <c r="H134" s="32"/>
      <c r="I134" s="32"/>
    </row>
    <row r="135">
      <c r="A135" s="137"/>
      <c r="B135" s="32"/>
      <c r="C135" s="32"/>
      <c r="D135" s="32"/>
      <c r="E135" s="32"/>
      <c r="F135" s="32"/>
      <c r="G135" s="32"/>
      <c r="H135" s="32"/>
      <c r="I135" s="32"/>
    </row>
    <row r="136">
      <c r="A136" s="137"/>
      <c r="B136" s="32"/>
      <c r="C136" s="32"/>
      <c r="D136" s="32"/>
      <c r="E136" s="32"/>
      <c r="F136" s="32"/>
      <c r="G136" s="32"/>
      <c r="H136" s="32"/>
      <c r="I136" s="32"/>
    </row>
    <row r="137">
      <c r="A137" s="137"/>
      <c r="B137" s="32"/>
      <c r="C137" s="32"/>
      <c r="D137" s="32"/>
      <c r="E137" s="32"/>
      <c r="F137" s="32"/>
      <c r="G137" s="32"/>
      <c r="H137" s="32"/>
      <c r="I137" s="32"/>
    </row>
    <row r="138">
      <c r="A138" s="137"/>
      <c r="B138" s="32"/>
      <c r="C138" s="32"/>
      <c r="D138" s="32"/>
      <c r="E138" s="32"/>
      <c r="F138" s="32"/>
      <c r="G138" s="32"/>
      <c r="H138" s="32"/>
      <c r="I138" s="32"/>
    </row>
    <row r="139">
      <c r="A139" s="137"/>
      <c r="B139" s="32"/>
      <c r="C139" s="32"/>
      <c r="D139" s="32"/>
      <c r="E139" s="32"/>
      <c r="F139" s="32"/>
      <c r="G139" s="32"/>
      <c r="H139" s="32"/>
      <c r="I139" s="32"/>
    </row>
    <row r="140">
      <c r="A140" s="137"/>
      <c r="B140" s="32"/>
      <c r="C140" s="32"/>
      <c r="D140" s="32"/>
      <c r="E140" s="32"/>
      <c r="F140" s="32"/>
      <c r="G140" s="32"/>
      <c r="H140" s="32"/>
      <c r="I140" s="32"/>
    </row>
    <row r="141">
      <c r="A141" s="137"/>
      <c r="B141" s="32"/>
      <c r="C141" s="32"/>
      <c r="D141" s="32"/>
      <c r="E141" s="32"/>
      <c r="F141" s="32"/>
      <c r="G141" s="32"/>
      <c r="H141" s="32"/>
      <c r="I141" s="32"/>
    </row>
    <row r="142">
      <c r="A142" s="137"/>
      <c r="B142" s="32"/>
      <c r="C142" s="32"/>
      <c r="D142" s="32"/>
      <c r="E142" s="32"/>
      <c r="F142" s="32"/>
      <c r="G142" s="32"/>
      <c r="H142" s="32"/>
      <c r="I142" s="32"/>
    </row>
    <row r="143">
      <c r="A143" s="137"/>
      <c r="B143" s="32"/>
      <c r="C143" s="32"/>
      <c r="D143" s="32"/>
      <c r="E143" s="32"/>
      <c r="F143" s="32"/>
      <c r="G143" s="32"/>
      <c r="H143" s="32"/>
      <c r="I143" s="32"/>
    </row>
    <row r="144">
      <c r="A144" s="137"/>
      <c r="B144" s="32"/>
      <c r="C144" s="32"/>
      <c r="D144" s="32"/>
      <c r="E144" s="32"/>
      <c r="F144" s="32"/>
      <c r="G144" s="32"/>
      <c r="H144" s="32"/>
      <c r="I144" s="32"/>
    </row>
    <row r="145">
      <c r="A145" s="137"/>
      <c r="B145" s="32"/>
      <c r="C145" s="32"/>
      <c r="D145" s="32"/>
      <c r="E145" s="32"/>
      <c r="F145" s="32"/>
      <c r="G145" s="32"/>
      <c r="H145" s="32"/>
      <c r="I145" s="32"/>
    </row>
    <row r="146">
      <c r="A146" s="137"/>
      <c r="B146" s="32"/>
      <c r="C146" s="32"/>
      <c r="D146" s="32"/>
      <c r="E146" s="32"/>
      <c r="F146" s="32"/>
      <c r="G146" s="32"/>
      <c r="H146" s="32"/>
      <c r="I146" s="32"/>
    </row>
    <row r="147">
      <c r="A147" s="137"/>
      <c r="B147" s="32"/>
      <c r="C147" s="32"/>
      <c r="D147" s="32"/>
      <c r="E147" s="32"/>
      <c r="F147" s="32"/>
      <c r="G147" s="32"/>
      <c r="H147" s="32"/>
      <c r="I147" s="32"/>
    </row>
    <row r="148">
      <c r="A148" s="137"/>
      <c r="B148" s="32"/>
      <c r="C148" s="32"/>
      <c r="D148" s="32"/>
      <c r="E148" s="32"/>
      <c r="F148" s="32"/>
      <c r="G148" s="32"/>
      <c r="H148" s="32"/>
      <c r="I148" s="32"/>
    </row>
    <row r="149">
      <c r="A149" s="137"/>
      <c r="B149" s="32"/>
      <c r="C149" s="32"/>
      <c r="D149" s="32"/>
      <c r="E149" s="32"/>
      <c r="F149" s="32"/>
      <c r="G149" s="32"/>
      <c r="H149" s="32"/>
      <c r="I149" s="32"/>
    </row>
    <row r="150">
      <c r="A150" s="137"/>
      <c r="B150" s="32"/>
      <c r="C150" s="32"/>
      <c r="D150" s="32"/>
      <c r="E150" s="32"/>
      <c r="F150" s="32"/>
      <c r="G150" s="32"/>
      <c r="H150" s="32"/>
      <c r="I150" s="32"/>
    </row>
    <row r="151">
      <c r="A151" s="137"/>
      <c r="B151" s="32"/>
      <c r="C151" s="32"/>
      <c r="D151" s="32"/>
      <c r="E151" s="32"/>
      <c r="F151" s="32"/>
      <c r="G151" s="32"/>
      <c r="H151" s="32"/>
      <c r="I151" s="32"/>
    </row>
    <row r="152">
      <c r="A152" s="137"/>
      <c r="B152" s="32"/>
      <c r="C152" s="32"/>
      <c r="D152" s="32"/>
      <c r="E152" s="32"/>
      <c r="F152" s="32"/>
      <c r="G152" s="32"/>
      <c r="H152" s="32"/>
      <c r="I152" s="32"/>
    </row>
    <row r="153">
      <c r="A153" s="137"/>
      <c r="B153" s="32"/>
      <c r="C153" s="32"/>
      <c r="D153" s="32"/>
      <c r="E153" s="32"/>
      <c r="F153" s="32"/>
      <c r="G153" s="32"/>
      <c r="H153" s="32"/>
      <c r="I153" s="32"/>
    </row>
    <row r="154">
      <c r="A154" s="137"/>
      <c r="B154" s="32"/>
      <c r="C154" s="32"/>
      <c r="D154" s="32"/>
      <c r="E154" s="32"/>
      <c r="F154" s="32"/>
      <c r="G154" s="32"/>
      <c r="H154" s="32"/>
      <c r="I154" s="32"/>
    </row>
    <row r="155">
      <c r="A155" s="137"/>
      <c r="B155" s="32"/>
      <c r="C155" s="32"/>
      <c r="D155" s="32"/>
      <c r="E155" s="32"/>
      <c r="F155" s="32"/>
      <c r="G155" s="32"/>
      <c r="H155" s="32"/>
      <c r="I155" s="32"/>
    </row>
    <row r="156">
      <c r="A156" s="137"/>
      <c r="B156" s="32"/>
      <c r="C156" s="32"/>
      <c r="D156" s="32"/>
      <c r="E156" s="32"/>
      <c r="F156" s="32"/>
      <c r="G156" s="32"/>
      <c r="H156" s="32"/>
      <c r="I156" s="32"/>
    </row>
    <row r="157">
      <c r="A157" s="137"/>
      <c r="B157" s="32"/>
      <c r="C157" s="32"/>
      <c r="D157" s="32"/>
      <c r="E157" s="32"/>
      <c r="F157" s="32"/>
      <c r="G157" s="32"/>
      <c r="H157" s="32"/>
      <c r="I157" s="32"/>
    </row>
    <row r="158">
      <c r="A158" s="137"/>
      <c r="B158" s="32"/>
      <c r="C158" s="32"/>
      <c r="D158" s="32"/>
      <c r="E158" s="32"/>
      <c r="F158" s="32"/>
      <c r="G158" s="32"/>
      <c r="H158" s="32"/>
      <c r="I158" s="32"/>
    </row>
    <row r="159">
      <c r="A159" s="137"/>
      <c r="B159" s="32"/>
      <c r="C159" s="32"/>
      <c r="D159" s="32"/>
      <c r="E159" s="32"/>
      <c r="F159" s="32"/>
      <c r="G159" s="32"/>
      <c r="H159" s="32"/>
      <c r="I159" s="32"/>
    </row>
    <row r="160">
      <c r="A160" s="137"/>
      <c r="B160" s="32"/>
      <c r="C160" s="32"/>
      <c r="D160" s="32"/>
      <c r="E160" s="32"/>
      <c r="F160" s="32"/>
      <c r="G160" s="32"/>
      <c r="H160" s="32"/>
      <c r="I160" s="32"/>
    </row>
    <row r="161">
      <c r="A161" s="137"/>
      <c r="B161" s="32"/>
      <c r="C161" s="32"/>
      <c r="D161" s="32"/>
      <c r="E161" s="32"/>
      <c r="F161" s="32"/>
      <c r="G161" s="32"/>
      <c r="H161" s="32"/>
      <c r="I161" s="32"/>
    </row>
    <row r="162">
      <c r="A162" s="137"/>
      <c r="B162" s="32"/>
      <c r="C162" s="32"/>
      <c r="D162" s="32"/>
      <c r="E162" s="32"/>
      <c r="F162" s="32"/>
      <c r="G162" s="32"/>
      <c r="H162" s="32"/>
      <c r="I162" s="32"/>
    </row>
    <row r="163">
      <c r="A163" s="137"/>
      <c r="B163" s="32"/>
      <c r="C163" s="32"/>
      <c r="D163" s="32"/>
      <c r="E163" s="32"/>
      <c r="F163" s="32"/>
      <c r="G163" s="32"/>
      <c r="H163" s="32"/>
      <c r="I163" s="32"/>
    </row>
    <row r="164">
      <c r="A164" s="137"/>
      <c r="B164" s="32"/>
      <c r="C164" s="32"/>
      <c r="D164" s="32"/>
      <c r="E164" s="32"/>
      <c r="F164" s="32"/>
      <c r="G164" s="32"/>
      <c r="H164" s="32"/>
      <c r="I164" s="32"/>
    </row>
    <row r="165">
      <c r="A165" s="137"/>
      <c r="B165" s="32"/>
      <c r="C165" s="32"/>
      <c r="D165" s="32"/>
      <c r="E165" s="32"/>
      <c r="F165" s="32"/>
      <c r="G165" s="32"/>
      <c r="H165" s="32"/>
      <c r="I165" s="32"/>
    </row>
    <row r="166">
      <c r="A166" s="137"/>
      <c r="B166" s="32"/>
      <c r="C166" s="32"/>
      <c r="D166" s="32"/>
      <c r="E166" s="32"/>
      <c r="F166" s="32"/>
      <c r="G166" s="32"/>
      <c r="H166" s="32"/>
      <c r="I166" s="32"/>
    </row>
    <row r="167">
      <c r="A167" s="137"/>
      <c r="B167" s="32"/>
      <c r="C167" s="32"/>
      <c r="D167" s="32"/>
      <c r="E167" s="32"/>
      <c r="F167" s="32"/>
      <c r="G167" s="32"/>
      <c r="H167" s="32"/>
      <c r="I167" s="32"/>
    </row>
    <row r="168">
      <c r="A168" s="137"/>
      <c r="B168" s="32"/>
      <c r="C168" s="32"/>
      <c r="D168" s="32"/>
      <c r="E168" s="32"/>
      <c r="F168" s="32"/>
      <c r="G168" s="32"/>
      <c r="H168" s="32"/>
      <c r="I168" s="32"/>
    </row>
    <row r="169">
      <c r="A169" s="137"/>
      <c r="B169" s="32"/>
      <c r="C169" s="32"/>
      <c r="D169" s="32"/>
      <c r="E169" s="32"/>
      <c r="F169" s="32"/>
      <c r="G169" s="32"/>
      <c r="H169" s="32"/>
      <c r="I169" s="32"/>
    </row>
    <row r="170">
      <c r="A170" s="137"/>
      <c r="B170" s="32"/>
      <c r="C170" s="32"/>
      <c r="D170" s="32"/>
      <c r="E170" s="32"/>
      <c r="F170" s="32"/>
      <c r="G170" s="32"/>
      <c r="H170" s="32"/>
      <c r="I170" s="32"/>
    </row>
    <row r="171">
      <c r="A171" s="137"/>
      <c r="B171" s="32"/>
      <c r="C171" s="32"/>
      <c r="D171" s="32"/>
      <c r="E171" s="32"/>
      <c r="F171" s="32"/>
      <c r="G171" s="32"/>
      <c r="H171" s="32"/>
      <c r="I171" s="32"/>
    </row>
    <row r="172">
      <c r="A172" s="137"/>
      <c r="B172" s="32"/>
      <c r="C172" s="32"/>
      <c r="D172" s="32"/>
      <c r="E172" s="32"/>
      <c r="F172" s="32"/>
      <c r="G172" s="32"/>
      <c r="H172" s="32"/>
      <c r="I172" s="32"/>
    </row>
    <row r="173">
      <c r="A173" s="137"/>
      <c r="B173" s="32"/>
      <c r="C173" s="32"/>
      <c r="D173" s="32"/>
      <c r="E173" s="32"/>
      <c r="F173" s="32"/>
      <c r="G173" s="32"/>
      <c r="H173" s="32"/>
      <c r="I173" s="32"/>
    </row>
    <row r="174">
      <c r="A174" s="137"/>
      <c r="B174" s="32"/>
      <c r="C174" s="32"/>
      <c r="D174" s="32"/>
      <c r="E174" s="32"/>
      <c r="F174" s="32"/>
      <c r="G174" s="32"/>
      <c r="H174" s="32"/>
      <c r="I174" s="32"/>
    </row>
    <row r="175">
      <c r="A175" s="137"/>
      <c r="B175" s="32"/>
      <c r="C175" s="32"/>
      <c r="D175" s="32"/>
      <c r="E175" s="32"/>
      <c r="F175" s="32"/>
      <c r="G175" s="32"/>
      <c r="H175" s="32"/>
      <c r="I175" s="32"/>
    </row>
    <row r="176">
      <c r="A176" s="137"/>
      <c r="B176" s="32"/>
      <c r="C176" s="32"/>
      <c r="D176" s="32"/>
      <c r="E176" s="32"/>
      <c r="F176" s="32"/>
      <c r="G176" s="32"/>
      <c r="H176" s="32"/>
      <c r="I176" s="32"/>
    </row>
    <row r="177">
      <c r="A177" s="137"/>
      <c r="B177" s="32"/>
      <c r="C177" s="32"/>
      <c r="D177" s="32"/>
      <c r="E177" s="32"/>
      <c r="F177" s="32"/>
      <c r="G177" s="32"/>
      <c r="H177" s="32"/>
      <c r="I177" s="32"/>
    </row>
    <row r="178">
      <c r="A178" s="137"/>
      <c r="B178" s="32"/>
      <c r="C178" s="32"/>
      <c r="D178" s="32"/>
      <c r="E178" s="32"/>
      <c r="F178" s="32"/>
      <c r="G178" s="32"/>
      <c r="H178" s="32"/>
      <c r="I178" s="32"/>
    </row>
    <row r="179">
      <c r="A179" s="137"/>
      <c r="B179" s="32"/>
      <c r="C179" s="32"/>
      <c r="D179" s="32"/>
      <c r="E179" s="32"/>
      <c r="F179" s="32"/>
      <c r="G179" s="32"/>
      <c r="H179" s="32"/>
      <c r="I179" s="32"/>
    </row>
    <row r="180">
      <c r="A180" s="137"/>
      <c r="B180" s="32"/>
      <c r="C180" s="32"/>
      <c r="D180" s="32"/>
      <c r="E180" s="32"/>
      <c r="F180" s="32"/>
      <c r="G180" s="32"/>
      <c r="H180" s="32"/>
      <c r="I180" s="32"/>
    </row>
    <row r="181">
      <c r="A181" s="137"/>
      <c r="B181" s="32"/>
      <c r="C181" s="32"/>
      <c r="D181" s="32"/>
      <c r="E181" s="32"/>
      <c r="F181" s="32"/>
      <c r="G181" s="32"/>
      <c r="H181" s="32"/>
      <c r="I181" s="32"/>
    </row>
    <row r="182">
      <c r="A182" s="137"/>
      <c r="B182" s="32"/>
      <c r="C182" s="32"/>
      <c r="D182" s="32"/>
      <c r="E182" s="32"/>
      <c r="F182" s="32"/>
      <c r="G182" s="32"/>
      <c r="H182" s="32"/>
      <c r="I182" s="32"/>
    </row>
    <row r="183">
      <c r="A183" s="137"/>
      <c r="B183" s="32"/>
      <c r="C183" s="32"/>
      <c r="D183" s="32"/>
      <c r="E183" s="32"/>
      <c r="F183" s="32"/>
      <c r="G183" s="32"/>
      <c r="H183" s="32"/>
      <c r="I183" s="32"/>
    </row>
    <row r="184">
      <c r="A184" s="137"/>
      <c r="B184" s="32"/>
      <c r="C184" s="32"/>
      <c r="D184" s="32"/>
      <c r="E184" s="32"/>
      <c r="F184" s="32"/>
      <c r="G184" s="32"/>
      <c r="H184" s="32"/>
      <c r="I184" s="32"/>
    </row>
    <row r="185">
      <c r="A185" s="137"/>
      <c r="B185" s="32"/>
      <c r="C185" s="32"/>
      <c r="D185" s="32"/>
      <c r="E185" s="32"/>
      <c r="F185" s="32"/>
      <c r="G185" s="32"/>
      <c r="H185" s="32"/>
      <c r="I185" s="32"/>
    </row>
    <row r="186">
      <c r="A186" s="137"/>
      <c r="B186" s="32"/>
      <c r="C186" s="32"/>
      <c r="D186" s="32"/>
      <c r="E186" s="32"/>
      <c r="F186" s="32"/>
      <c r="G186" s="32"/>
      <c r="H186" s="32"/>
      <c r="I186" s="32"/>
    </row>
    <row r="187">
      <c r="A187" s="137"/>
      <c r="B187" s="32"/>
      <c r="C187" s="32"/>
      <c r="D187" s="32"/>
      <c r="E187" s="32"/>
      <c r="F187" s="32"/>
      <c r="G187" s="32"/>
      <c r="H187" s="32"/>
      <c r="I187" s="32"/>
    </row>
    <row r="188">
      <c r="A188" s="137"/>
      <c r="B188" s="32"/>
      <c r="C188" s="32"/>
      <c r="D188" s="32"/>
      <c r="E188" s="32"/>
      <c r="F188" s="32"/>
      <c r="G188" s="32"/>
      <c r="H188" s="32"/>
      <c r="I188" s="32"/>
    </row>
    <row r="189">
      <c r="A189" s="137"/>
      <c r="B189" s="32"/>
      <c r="C189" s="32"/>
      <c r="D189" s="32"/>
      <c r="E189" s="32"/>
      <c r="F189" s="32"/>
      <c r="G189" s="32"/>
      <c r="H189" s="32"/>
      <c r="I189" s="32"/>
    </row>
    <row r="190">
      <c r="A190" s="137"/>
      <c r="B190" s="32"/>
      <c r="C190" s="32"/>
      <c r="D190" s="32"/>
      <c r="E190" s="32"/>
      <c r="F190" s="32"/>
      <c r="G190" s="32"/>
      <c r="H190" s="32"/>
      <c r="I190" s="32"/>
    </row>
    <row r="191">
      <c r="A191" s="137"/>
      <c r="B191" s="32"/>
      <c r="C191" s="32"/>
      <c r="D191" s="32"/>
      <c r="E191" s="32"/>
      <c r="F191" s="32"/>
      <c r="G191" s="32"/>
      <c r="H191" s="32"/>
      <c r="I191" s="32"/>
    </row>
    <row r="192">
      <c r="A192" s="137"/>
      <c r="B192" s="32"/>
      <c r="C192" s="32"/>
      <c r="D192" s="32"/>
      <c r="E192" s="32"/>
      <c r="F192" s="32"/>
      <c r="G192" s="32"/>
      <c r="H192" s="32"/>
      <c r="I192" s="32"/>
    </row>
    <row r="193">
      <c r="A193" s="137"/>
      <c r="B193" s="32"/>
      <c r="C193" s="32"/>
      <c r="D193" s="32"/>
      <c r="E193" s="32"/>
      <c r="F193" s="32"/>
      <c r="G193" s="32"/>
      <c r="H193" s="32"/>
      <c r="I193" s="32"/>
    </row>
    <row r="194">
      <c r="A194" s="137"/>
      <c r="B194" s="32"/>
      <c r="C194" s="32"/>
      <c r="D194" s="32"/>
      <c r="E194" s="32"/>
      <c r="F194" s="32"/>
      <c r="G194" s="32"/>
      <c r="H194" s="32"/>
      <c r="I194" s="32"/>
    </row>
    <row r="195">
      <c r="A195" s="137"/>
      <c r="B195" s="32"/>
      <c r="C195" s="32"/>
      <c r="D195" s="32"/>
      <c r="E195" s="32"/>
      <c r="F195" s="32"/>
      <c r="G195" s="32"/>
      <c r="H195" s="32"/>
      <c r="I195" s="32"/>
    </row>
    <row r="196">
      <c r="A196" s="137"/>
      <c r="B196" s="32"/>
      <c r="C196" s="32"/>
      <c r="D196" s="32"/>
      <c r="E196" s="32"/>
      <c r="F196" s="32"/>
      <c r="G196" s="32"/>
      <c r="H196" s="32"/>
      <c r="I196" s="32"/>
    </row>
    <row r="197">
      <c r="A197" s="137"/>
      <c r="B197" s="32"/>
      <c r="C197" s="32"/>
      <c r="D197" s="32"/>
      <c r="E197" s="32"/>
      <c r="F197" s="32"/>
      <c r="G197" s="32"/>
      <c r="H197" s="32"/>
      <c r="I197" s="32"/>
    </row>
    <row r="198">
      <c r="A198" s="137"/>
      <c r="B198" s="32"/>
      <c r="C198" s="32"/>
      <c r="D198" s="32"/>
      <c r="E198" s="32"/>
      <c r="F198" s="32"/>
      <c r="G198" s="32"/>
      <c r="H198" s="32"/>
      <c r="I198" s="32"/>
    </row>
    <row r="199">
      <c r="A199" s="137"/>
      <c r="B199" s="32"/>
      <c r="C199" s="32"/>
      <c r="D199" s="32"/>
      <c r="E199" s="32"/>
      <c r="F199" s="32"/>
      <c r="G199" s="32"/>
      <c r="H199" s="32"/>
      <c r="I199" s="32"/>
    </row>
    <row r="200">
      <c r="A200" s="137"/>
      <c r="B200" s="32"/>
      <c r="C200" s="32"/>
      <c r="D200" s="32"/>
      <c r="E200" s="32"/>
      <c r="F200" s="32"/>
      <c r="G200" s="32"/>
      <c r="H200" s="32"/>
      <c r="I200" s="32"/>
    </row>
    <row r="201">
      <c r="A201" s="137"/>
      <c r="B201" s="32"/>
      <c r="C201" s="32"/>
      <c r="D201" s="32"/>
      <c r="E201" s="32"/>
      <c r="F201" s="32"/>
      <c r="G201" s="32"/>
      <c r="H201" s="32"/>
      <c r="I201" s="32"/>
    </row>
    <row r="202">
      <c r="A202" s="137"/>
      <c r="B202" s="32"/>
      <c r="C202" s="32"/>
      <c r="D202" s="32"/>
      <c r="E202" s="32"/>
      <c r="F202" s="32"/>
      <c r="G202" s="32"/>
      <c r="H202" s="32"/>
      <c r="I202" s="32"/>
    </row>
    <row r="203">
      <c r="A203" s="137"/>
      <c r="B203" s="32"/>
      <c r="C203" s="32"/>
      <c r="D203" s="32"/>
      <c r="E203" s="32"/>
      <c r="F203" s="32"/>
      <c r="G203" s="32"/>
      <c r="H203" s="32"/>
      <c r="I203" s="32"/>
    </row>
    <row r="204">
      <c r="A204" s="137"/>
      <c r="B204" s="32"/>
      <c r="C204" s="32"/>
      <c r="D204" s="32"/>
      <c r="E204" s="32"/>
      <c r="F204" s="32"/>
      <c r="G204" s="32"/>
      <c r="H204" s="32"/>
      <c r="I204" s="32"/>
    </row>
    <row r="205">
      <c r="A205" s="137"/>
      <c r="B205" s="32"/>
      <c r="C205" s="32"/>
      <c r="D205" s="32"/>
      <c r="E205" s="32"/>
      <c r="F205" s="32"/>
      <c r="G205" s="32"/>
      <c r="H205" s="32"/>
      <c r="I205" s="32"/>
    </row>
    <row r="206">
      <c r="A206" s="137"/>
      <c r="B206" s="32"/>
      <c r="C206" s="32"/>
      <c r="D206" s="32"/>
      <c r="E206" s="32"/>
      <c r="F206" s="32"/>
      <c r="G206" s="32"/>
      <c r="H206" s="32"/>
      <c r="I206" s="32"/>
    </row>
    <row r="207">
      <c r="A207" s="137"/>
      <c r="B207" s="32"/>
      <c r="C207" s="32"/>
      <c r="D207" s="32"/>
      <c r="E207" s="32"/>
      <c r="F207" s="32"/>
      <c r="G207" s="32"/>
      <c r="H207" s="32"/>
      <c r="I207" s="32"/>
    </row>
    <row r="208">
      <c r="A208" s="137"/>
      <c r="B208" s="32"/>
      <c r="C208" s="32"/>
      <c r="D208" s="32"/>
      <c r="E208" s="32"/>
      <c r="F208" s="32"/>
      <c r="G208" s="32"/>
      <c r="H208" s="32"/>
      <c r="I208" s="32"/>
    </row>
    <row r="209">
      <c r="A209" s="137"/>
      <c r="B209" s="32"/>
      <c r="C209" s="32"/>
      <c r="D209" s="32"/>
      <c r="E209" s="32"/>
      <c r="F209" s="32"/>
      <c r="G209" s="32"/>
      <c r="H209" s="32"/>
      <c r="I209" s="32"/>
    </row>
    <row r="210">
      <c r="A210" s="137"/>
      <c r="B210" s="32"/>
      <c r="C210" s="32"/>
      <c r="D210" s="32"/>
      <c r="E210" s="32"/>
      <c r="F210" s="32"/>
      <c r="G210" s="32"/>
      <c r="H210" s="32"/>
      <c r="I210" s="32"/>
    </row>
    <row r="211">
      <c r="A211" s="137"/>
      <c r="B211" s="32"/>
      <c r="C211" s="32"/>
      <c r="D211" s="32"/>
      <c r="E211" s="32"/>
      <c r="F211" s="32"/>
      <c r="G211" s="32"/>
      <c r="H211" s="32"/>
      <c r="I211" s="32"/>
    </row>
    <row r="212">
      <c r="A212" s="137"/>
      <c r="B212" s="32"/>
      <c r="C212" s="32"/>
      <c r="D212" s="32"/>
      <c r="E212" s="32"/>
      <c r="F212" s="32"/>
      <c r="G212" s="32"/>
      <c r="H212" s="32"/>
      <c r="I212" s="32"/>
    </row>
    <row r="213">
      <c r="A213" s="137"/>
      <c r="B213" s="32"/>
      <c r="C213" s="32"/>
      <c r="D213" s="32"/>
      <c r="E213" s="32"/>
      <c r="F213" s="32"/>
      <c r="G213" s="32"/>
      <c r="H213" s="32"/>
      <c r="I213" s="32"/>
    </row>
    <row r="214">
      <c r="A214" s="137"/>
      <c r="B214" s="32"/>
      <c r="C214" s="32"/>
      <c r="D214" s="32"/>
      <c r="E214" s="32"/>
      <c r="F214" s="32"/>
      <c r="G214" s="32"/>
      <c r="H214" s="32"/>
      <c r="I214" s="32"/>
    </row>
    <row r="215">
      <c r="A215" s="137"/>
      <c r="B215" s="32"/>
      <c r="C215" s="32"/>
      <c r="D215" s="32"/>
      <c r="E215" s="32"/>
      <c r="F215" s="32"/>
      <c r="G215" s="32"/>
      <c r="H215" s="32"/>
      <c r="I215" s="32"/>
    </row>
    <row r="216">
      <c r="A216" s="137"/>
      <c r="B216" s="32"/>
      <c r="C216" s="32"/>
      <c r="D216" s="32"/>
      <c r="E216" s="32"/>
      <c r="F216" s="32"/>
      <c r="G216" s="32"/>
      <c r="H216" s="32"/>
      <c r="I216" s="32"/>
    </row>
    <row r="217">
      <c r="A217" s="137"/>
      <c r="B217" s="32"/>
      <c r="C217" s="32"/>
      <c r="D217" s="32"/>
      <c r="E217" s="32"/>
      <c r="F217" s="32"/>
      <c r="G217" s="32"/>
      <c r="H217" s="32"/>
      <c r="I217" s="32"/>
    </row>
    <row r="218">
      <c r="A218" s="137"/>
      <c r="B218" s="32"/>
      <c r="C218" s="32"/>
      <c r="D218" s="32"/>
      <c r="E218" s="32"/>
      <c r="F218" s="32"/>
      <c r="G218" s="32"/>
      <c r="H218" s="32"/>
      <c r="I218" s="32"/>
    </row>
    <row r="219">
      <c r="A219" s="137"/>
      <c r="B219" s="32"/>
      <c r="C219" s="32"/>
      <c r="D219" s="32"/>
      <c r="E219" s="32"/>
      <c r="F219" s="32"/>
      <c r="G219" s="32"/>
      <c r="H219" s="32"/>
      <c r="I219" s="32"/>
    </row>
    <row r="220">
      <c r="A220" s="137"/>
      <c r="B220" s="32"/>
      <c r="C220" s="32"/>
      <c r="D220" s="32"/>
      <c r="E220" s="32"/>
      <c r="F220" s="32"/>
      <c r="G220" s="32"/>
      <c r="H220" s="32"/>
      <c r="I220" s="32"/>
    </row>
    <row r="221">
      <c r="A221" s="137"/>
      <c r="B221" s="32"/>
      <c r="C221" s="32"/>
      <c r="D221" s="32"/>
      <c r="E221" s="32"/>
      <c r="F221" s="32"/>
      <c r="G221" s="32"/>
      <c r="H221" s="32"/>
      <c r="I221" s="32"/>
    </row>
    <row r="222">
      <c r="A222" s="137"/>
      <c r="B222" s="32"/>
      <c r="C222" s="32"/>
      <c r="D222" s="32"/>
      <c r="E222" s="32"/>
      <c r="F222" s="32"/>
      <c r="G222" s="32"/>
      <c r="H222" s="32"/>
      <c r="I222" s="32"/>
    </row>
    <row r="223">
      <c r="A223" s="137"/>
      <c r="B223" s="32"/>
      <c r="C223" s="32"/>
      <c r="D223" s="32"/>
      <c r="E223" s="32"/>
      <c r="F223" s="32"/>
      <c r="G223" s="32"/>
      <c r="H223" s="32"/>
      <c r="I223" s="32"/>
    </row>
    <row r="224">
      <c r="A224" s="137"/>
      <c r="B224" s="32"/>
      <c r="C224" s="32"/>
      <c r="D224" s="32"/>
      <c r="E224" s="32"/>
      <c r="F224" s="32"/>
      <c r="G224" s="32"/>
      <c r="H224" s="32"/>
      <c r="I224" s="32"/>
    </row>
    <row r="225">
      <c r="A225" s="137"/>
      <c r="B225" s="32"/>
      <c r="C225" s="32"/>
      <c r="D225" s="32"/>
      <c r="E225" s="32"/>
      <c r="F225" s="32"/>
      <c r="G225" s="32"/>
      <c r="H225" s="32"/>
      <c r="I225" s="32"/>
    </row>
    <row r="226">
      <c r="A226" s="137"/>
      <c r="B226" s="32"/>
      <c r="C226" s="32"/>
      <c r="D226" s="32"/>
      <c r="E226" s="32"/>
      <c r="F226" s="32"/>
      <c r="G226" s="32"/>
      <c r="H226" s="32"/>
      <c r="I226" s="32"/>
    </row>
    <row r="227">
      <c r="A227" s="137"/>
      <c r="B227" s="32"/>
      <c r="C227" s="32"/>
      <c r="D227" s="32"/>
      <c r="E227" s="32"/>
      <c r="F227" s="32"/>
      <c r="G227" s="32"/>
      <c r="H227" s="32"/>
      <c r="I227" s="32"/>
    </row>
    <row r="228">
      <c r="A228" s="137"/>
      <c r="B228" s="32"/>
      <c r="C228" s="32"/>
      <c r="D228" s="32"/>
      <c r="E228" s="32"/>
      <c r="F228" s="32"/>
      <c r="G228" s="32"/>
      <c r="H228" s="32"/>
      <c r="I228" s="32"/>
    </row>
    <row r="229">
      <c r="A229" s="137"/>
      <c r="B229" s="32"/>
      <c r="C229" s="32"/>
      <c r="D229" s="32"/>
      <c r="E229" s="32"/>
      <c r="F229" s="32"/>
      <c r="G229" s="32"/>
      <c r="H229" s="32"/>
      <c r="I229" s="32"/>
    </row>
    <row r="230">
      <c r="A230" s="137"/>
      <c r="B230" s="32"/>
      <c r="C230" s="32"/>
      <c r="D230" s="32"/>
      <c r="E230" s="32"/>
      <c r="F230" s="32"/>
      <c r="G230" s="32"/>
      <c r="H230" s="32"/>
      <c r="I230" s="32"/>
    </row>
    <row r="231">
      <c r="A231" s="137"/>
      <c r="B231" s="32"/>
      <c r="C231" s="32"/>
      <c r="D231" s="32"/>
      <c r="E231" s="32"/>
      <c r="F231" s="32"/>
      <c r="G231" s="32"/>
      <c r="H231" s="32"/>
      <c r="I231" s="32"/>
    </row>
    <row r="232">
      <c r="A232" s="137"/>
      <c r="B232" s="32"/>
      <c r="C232" s="32"/>
      <c r="D232" s="32"/>
      <c r="E232" s="32"/>
      <c r="F232" s="32"/>
      <c r="G232" s="32"/>
      <c r="H232" s="32"/>
      <c r="I232" s="32"/>
    </row>
    <row r="233">
      <c r="A233" s="137"/>
      <c r="B233" s="32"/>
      <c r="C233" s="32"/>
      <c r="D233" s="32"/>
      <c r="E233" s="32"/>
      <c r="F233" s="32"/>
      <c r="G233" s="32"/>
      <c r="H233" s="32"/>
      <c r="I233" s="32"/>
    </row>
    <row r="234">
      <c r="A234" s="137"/>
      <c r="B234" s="32"/>
      <c r="C234" s="32"/>
      <c r="D234" s="32"/>
      <c r="E234" s="32"/>
      <c r="F234" s="32"/>
      <c r="G234" s="32"/>
      <c r="H234" s="32"/>
      <c r="I234" s="32"/>
    </row>
    <row r="235">
      <c r="A235" s="137"/>
      <c r="B235" s="32"/>
      <c r="C235" s="32"/>
      <c r="D235" s="32"/>
      <c r="E235" s="32"/>
      <c r="F235" s="32"/>
      <c r="G235" s="32"/>
      <c r="H235" s="32"/>
      <c r="I235" s="32"/>
    </row>
    <row r="236">
      <c r="A236" s="137"/>
      <c r="B236" s="32"/>
      <c r="C236" s="32"/>
      <c r="D236" s="32"/>
      <c r="E236" s="32"/>
      <c r="F236" s="32"/>
      <c r="G236" s="32"/>
      <c r="H236" s="32"/>
      <c r="I236" s="32"/>
    </row>
    <row r="237">
      <c r="A237" s="137"/>
      <c r="B237" s="32"/>
      <c r="C237" s="32"/>
      <c r="D237" s="32"/>
      <c r="E237" s="32"/>
      <c r="F237" s="32"/>
      <c r="G237" s="32"/>
      <c r="H237" s="32"/>
      <c r="I237" s="32"/>
    </row>
    <row r="238">
      <c r="A238" s="137"/>
      <c r="B238" s="32"/>
      <c r="C238" s="32"/>
      <c r="D238" s="32"/>
      <c r="E238" s="32"/>
      <c r="F238" s="32"/>
      <c r="G238" s="32"/>
      <c r="H238" s="32"/>
      <c r="I238" s="32"/>
    </row>
    <row r="239">
      <c r="A239" s="137"/>
      <c r="B239" s="32"/>
      <c r="C239" s="32"/>
      <c r="D239" s="32"/>
      <c r="E239" s="32"/>
      <c r="F239" s="32"/>
      <c r="G239" s="32"/>
      <c r="H239" s="32"/>
      <c r="I239" s="32"/>
    </row>
    <row r="240">
      <c r="A240" s="137"/>
      <c r="B240" s="32"/>
      <c r="C240" s="32"/>
      <c r="D240" s="32"/>
      <c r="E240" s="32"/>
      <c r="F240" s="32"/>
      <c r="G240" s="32"/>
      <c r="H240" s="32"/>
      <c r="I240" s="32"/>
    </row>
    <row r="241">
      <c r="A241" s="137"/>
      <c r="B241" s="32"/>
      <c r="C241" s="32"/>
      <c r="D241" s="32"/>
      <c r="E241" s="32"/>
      <c r="F241" s="32"/>
      <c r="G241" s="32"/>
      <c r="H241" s="32"/>
      <c r="I241" s="32"/>
    </row>
    <row r="242">
      <c r="A242" s="137"/>
      <c r="B242" s="32"/>
      <c r="C242" s="32"/>
      <c r="D242" s="32"/>
      <c r="E242" s="32"/>
      <c r="F242" s="32"/>
      <c r="G242" s="32"/>
      <c r="H242" s="32"/>
      <c r="I242" s="32"/>
    </row>
    <row r="243">
      <c r="A243" s="137"/>
      <c r="B243" s="32"/>
      <c r="C243" s="32"/>
      <c r="D243" s="32"/>
      <c r="E243" s="32"/>
      <c r="F243" s="32"/>
      <c r="G243" s="32"/>
      <c r="H243" s="32"/>
      <c r="I243" s="32"/>
    </row>
    <row r="244">
      <c r="A244" s="137"/>
      <c r="B244" s="32"/>
      <c r="C244" s="32"/>
      <c r="D244" s="32"/>
      <c r="E244" s="32"/>
      <c r="F244" s="32"/>
      <c r="G244" s="32"/>
      <c r="H244" s="32"/>
      <c r="I244" s="32"/>
    </row>
    <row r="245">
      <c r="A245" s="137"/>
      <c r="B245" s="32"/>
      <c r="C245" s="32"/>
      <c r="D245" s="32"/>
      <c r="E245" s="32"/>
      <c r="F245" s="32"/>
      <c r="G245" s="32"/>
      <c r="H245" s="32"/>
      <c r="I245" s="32"/>
    </row>
    <row r="246">
      <c r="A246" s="137"/>
      <c r="B246" s="32"/>
      <c r="C246" s="32"/>
      <c r="D246" s="32"/>
      <c r="E246" s="32"/>
      <c r="F246" s="32"/>
      <c r="G246" s="32"/>
      <c r="H246" s="32"/>
      <c r="I246" s="32"/>
    </row>
    <row r="247">
      <c r="A247" s="137"/>
      <c r="B247" s="32"/>
      <c r="C247" s="32"/>
      <c r="D247" s="32"/>
      <c r="E247" s="32"/>
      <c r="F247" s="32"/>
      <c r="G247" s="32"/>
      <c r="H247" s="32"/>
      <c r="I247" s="32"/>
    </row>
    <row r="248">
      <c r="A248" s="137"/>
      <c r="B248" s="32"/>
      <c r="C248" s="32"/>
      <c r="D248" s="32"/>
      <c r="E248" s="32"/>
      <c r="F248" s="32"/>
      <c r="G248" s="32"/>
      <c r="H248" s="32"/>
      <c r="I248" s="32"/>
    </row>
    <row r="249">
      <c r="A249" s="137"/>
      <c r="B249" s="32"/>
      <c r="C249" s="32"/>
      <c r="D249" s="32"/>
      <c r="E249" s="32"/>
      <c r="F249" s="32"/>
      <c r="G249" s="32"/>
      <c r="H249" s="32"/>
      <c r="I249" s="32"/>
    </row>
    <row r="250">
      <c r="A250" s="137"/>
      <c r="B250" s="32"/>
      <c r="C250" s="32"/>
      <c r="D250" s="32"/>
      <c r="E250" s="32"/>
      <c r="F250" s="32"/>
      <c r="G250" s="32"/>
      <c r="H250" s="32"/>
      <c r="I250" s="32"/>
    </row>
    <row r="251">
      <c r="A251" s="137"/>
      <c r="B251" s="32"/>
      <c r="C251" s="32"/>
      <c r="D251" s="32"/>
      <c r="E251" s="32"/>
      <c r="F251" s="32"/>
      <c r="G251" s="32"/>
      <c r="H251" s="32"/>
      <c r="I251" s="32"/>
    </row>
    <row r="252">
      <c r="A252" s="137"/>
      <c r="B252" s="32"/>
      <c r="C252" s="32"/>
      <c r="D252" s="32"/>
      <c r="E252" s="32"/>
      <c r="F252" s="32"/>
      <c r="G252" s="32"/>
      <c r="H252" s="32"/>
      <c r="I252" s="32"/>
    </row>
    <row r="253">
      <c r="A253" s="137"/>
      <c r="B253" s="32"/>
      <c r="C253" s="32"/>
      <c r="D253" s="32"/>
      <c r="E253" s="32"/>
      <c r="F253" s="32"/>
      <c r="G253" s="32"/>
      <c r="H253" s="32"/>
      <c r="I253" s="32"/>
    </row>
    <row r="254">
      <c r="A254" s="137"/>
      <c r="B254" s="32"/>
      <c r="C254" s="32"/>
      <c r="D254" s="32"/>
      <c r="E254" s="32"/>
      <c r="F254" s="32"/>
      <c r="G254" s="32"/>
      <c r="H254" s="32"/>
      <c r="I254" s="32"/>
    </row>
    <row r="255">
      <c r="A255" s="137"/>
      <c r="B255" s="32"/>
      <c r="C255" s="32"/>
      <c r="D255" s="32"/>
      <c r="E255" s="32"/>
      <c r="F255" s="32"/>
      <c r="G255" s="32"/>
      <c r="H255" s="32"/>
      <c r="I255" s="32"/>
    </row>
    <row r="256">
      <c r="A256" s="137"/>
      <c r="B256" s="32"/>
      <c r="C256" s="32"/>
      <c r="D256" s="32"/>
      <c r="E256" s="32"/>
      <c r="F256" s="32"/>
      <c r="G256" s="32"/>
      <c r="H256" s="32"/>
      <c r="I256" s="32"/>
    </row>
    <row r="257">
      <c r="A257" s="137"/>
      <c r="B257" s="32"/>
      <c r="C257" s="32"/>
      <c r="D257" s="32"/>
      <c r="E257" s="32"/>
      <c r="F257" s="32"/>
      <c r="G257" s="32"/>
      <c r="H257" s="32"/>
      <c r="I257" s="32"/>
    </row>
    <row r="258">
      <c r="A258" s="137"/>
      <c r="B258" s="32"/>
      <c r="C258" s="32"/>
      <c r="D258" s="32"/>
      <c r="E258" s="32"/>
      <c r="F258" s="32"/>
      <c r="G258" s="32"/>
      <c r="H258" s="32"/>
      <c r="I258" s="32"/>
    </row>
    <row r="259">
      <c r="A259" s="137"/>
      <c r="B259" s="32"/>
      <c r="C259" s="32"/>
      <c r="D259" s="32"/>
      <c r="E259" s="32"/>
      <c r="F259" s="32"/>
      <c r="G259" s="32"/>
      <c r="H259" s="32"/>
      <c r="I259" s="32"/>
    </row>
    <row r="260">
      <c r="A260" s="137"/>
      <c r="B260" s="32"/>
      <c r="C260" s="32"/>
      <c r="D260" s="32"/>
      <c r="E260" s="32"/>
      <c r="F260" s="32"/>
      <c r="G260" s="32"/>
      <c r="H260" s="32"/>
      <c r="I260" s="32"/>
    </row>
    <row r="261">
      <c r="A261" s="137"/>
      <c r="B261" s="32"/>
      <c r="C261" s="32"/>
      <c r="D261" s="32"/>
      <c r="E261" s="32"/>
      <c r="F261" s="32"/>
      <c r="G261" s="32"/>
      <c r="H261" s="32"/>
      <c r="I261" s="32"/>
    </row>
    <row r="262">
      <c r="A262" s="137"/>
      <c r="B262" s="32"/>
      <c r="C262" s="32"/>
      <c r="D262" s="32"/>
      <c r="E262" s="32"/>
      <c r="F262" s="32"/>
      <c r="G262" s="32"/>
      <c r="H262" s="32"/>
      <c r="I262" s="32"/>
    </row>
    <row r="263">
      <c r="A263" s="137"/>
      <c r="B263" s="32"/>
      <c r="C263" s="32"/>
      <c r="D263" s="32"/>
      <c r="E263" s="32"/>
      <c r="F263" s="32"/>
      <c r="G263" s="32"/>
      <c r="H263" s="32"/>
      <c r="I263" s="32"/>
    </row>
    <row r="264">
      <c r="A264" s="137"/>
      <c r="B264" s="32"/>
      <c r="C264" s="32"/>
      <c r="D264" s="32"/>
      <c r="E264" s="32"/>
      <c r="F264" s="32"/>
      <c r="G264" s="32"/>
      <c r="H264" s="32"/>
      <c r="I264" s="32"/>
    </row>
    <row r="265">
      <c r="A265" s="137"/>
      <c r="B265" s="32"/>
      <c r="C265" s="32"/>
      <c r="D265" s="32"/>
      <c r="E265" s="32"/>
      <c r="F265" s="32"/>
      <c r="G265" s="32"/>
      <c r="H265" s="32"/>
      <c r="I265" s="32"/>
    </row>
    <row r="266">
      <c r="A266" s="137"/>
      <c r="B266" s="32"/>
      <c r="C266" s="32"/>
      <c r="D266" s="32"/>
      <c r="E266" s="32"/>
      <c r="F266" s="32"/>
      <c r="G266" s="32"/>
      <c r="H266" s="32"/>
      <c r="I266" s="32"/>
    </row>
    <row r="267">
      <c r="A267" s="137"/>
      <c r="B267" s="32"/>
      <c r="C267" s="32"/>
      <c r="D267" s="32"/>
      <c r="E267" s="32"/>
      <c r="F267" s="32"/>
      <c r="G267" s="32"/>
      <c r="H267" s="32"/>
      <c r="I267" s="32"/>
    </row>
    <row r="268">
      <c r="A268" s="137"/>
      <c r="B268" s="32"/>
      <c r="C268" s="32"/>
      <c r="D268" s="32"/>
      <c r="E268" s="32"/>
      <c r="F268" s="32"/>
      <c r="G268" s="32"/>
      <c r="H268" s="32"/>
      <c r="I268" s="32"/>
    </row>
    <row r="269">
      <c r="A269" s="137"/>
      <c r="B269" s="32"/>
      <c r="C269" s="32"/>
      <c r="D269" s="32"/>
      <c r="E269" s="32"/>
      <c r="F269" s="32"/>
      <c r="G269" s="32"/>
      <c r="H269" s="32"/>
      <c r="I269" s="32"/>
    </row>
    <row r="270">
      <c r="A270" s="137"/>
      <c r="B270" s="32"/>
      <c r="C270" s="32"/>
      <c r="D270" s="32"/>
      <c r="E270" s="32"/>
      <c r="F270" s="32"/>
      <c r="G270" s="32"/>
      <c r="H270" s="32"/>
      <c r="I270" s="32"/>
    </row>
    <row r="271">
      <c r="A271" s="137"/>
      <c r="B271" s="32"/>
      <c r="C271" s="32"/>
      <c r="D271" s="32"/>
      <c r="E271" s="32"/>
      <c r="F271" s="32"/>
      <c r="G271" s="32"/>
      <c r="H271" s="32"/>
      <c r="I271" s="32"/>
    </row>
    <row r="272">
      <c r="A272" s="137"/>
      <c r="B272" s="32"/>
      <c r="C272" s="32"/>
      <c r="D272" s="32"/>
      <c r="E272" s="32"/>
      <c r="F272" s="32"/>
      <c r="G272" s="32"/>
      <c r="H272" s="32"/>
      <c r="I272" s="32"/>
    </row>
    <row r="273">
      <c r="A273" s="137"/>
      <c r="B273" s="32"/>
      <c r="C273" s="32"/>
      <c r="D273" s="32"/>
      <c r="E273" s="32"/>
      <c r="F273" s="32"/>
      <c r="G273" s="32"/>
      <c r="H273" s="32"/>
      <c r="I273" s="32"/>
    </row>
    <row r="274">
      <c r="A274" s="137"/>
      <c r="B274" s="32"/>
      <c r="C274" s="32"/>
      <c r="D274" s="32"/>
      <c r="E274" s="32"/>
      <c r="F274" s="32"/>
      <c r="G274" s="32"/>
      <c r="H274" s="32"/>
      <c r="I274" s="32"/>
    </row>
    <row r="275">
      <c r="A275" s="137"/>
      <c r="B275" s="32"/>
      <c r="C275" s="32"/>
      <c r="D275" s="32"/>
      <c r="E275" s="32"/>
      <c r="F275" s="32"/>
      <c r="G275" s="32"/>
      <c r="H275" s="32"/>
      <c r="I275" s="32"/>
    </row>
    <row r="276">
      <c r="A276" s="137"/>
      <c r="B276" s="32"/>
      <c r="C276" s="32"/>
      <c r="D276" s="32"/>
      <c r="E276" s="32"/>
      <c r="F276" s="32"/>
      <c r="G276" s="32"/>
      <c r="H276" s="32"/>
      <c r="I276" s="32"/>
    </row>
    <row r="277">
      <c r="A277" s="137"/>
      <c r="B277" s="32"/>
      <c r="C277" s="32"/>
      <c r="D277" s="32"/>
      <c r="E277" s="32"/>
      <c r="F277" s="32"/>
      <c r="G277" s="32"/>
      <c r="H277" s="32"/>
      <c r="I277" s="32"/>
    </row>
    <row r="278">
      <c r="A278" s="137"/>
      <c r="B278" s="32"/>
      <c r="C278" s="32"/>
      <c r="D278" s="32"/>
      <c r="E278" s="32"/>
      <c r="F278" s="32"/>
      <c r="G278" s="32"/>
      <c r="H278" s="32"/>
      <c r="I278" s="32"/>
    </row>
    <row r="279">
      <c r="A279" s="137"/>
      <c r="B279" s="32"/>
      <c r="C279" s="32"/>
      <c r="D279" s="32"/>
      <c r="E279" s="32"/>
      <c r="F279" s="32"/>
      <c r="G279" s="32"/>
      <c r="H279" s="32"/>
      <c r="I279" s="32"/>
    </row>
    <row r="280">
      <c r="A280" s="137"/>
      <c r="B280" s="32"/>
      <c r="C280" s="32"/>
      <c r="D280" s="32"/>
      <c r="E280" s="32"/>
      <c r="F280" s="32"/>
      <c r="G280" s="32"/>
      <c r="H280" s="32"/>
      <c r="I280" s="32"/>
    </row>
    <row r="281">
      <c r="A281" s="137"/>
      <c r="B281" s="32"/>
      <c r="C281" s="32"/>
      <c r="D281" s="32"/>
      <c r="E281" s="32"/>
      <c r="F281" s="32"/>
      <c r="G281" s="32"/>
      <c r="H281" s="32"/>
      <c r="I281" s="32"/>
    </row>
    <row r="282">
      <c r="A282" s="137"/>
      <c r="B282" s="32"/>
      <c r="C282" s="32"/>
      <c r="D282" s="32"/>
      <c r="E282" s="32"/>
      <c r="F282" s="32"/>
      <c r="G282" s="32"/>
      <c r="H282" s="32"/>
      <c r="I282" s="32"/>
    </row>
    <row r="283">
      <c r="A283" s="137"/>
      <c r="B283" s="32"/>
      <c r="C283" s="32"/>
      <c r="D283" s="32"/>
      <c r="E283" s="32"/>
      <c r="F283" s="32"/>
      <c r="G283" s="32"/>
      <c r="H283" s="32"/>
      <c r="I283" s="32"/>
    </row>
    <row r="284">
      <c r="A284" s="137"/>
      <c r="B284" s="32"/>
      <c r="C284" s="32"/>
      <c r="D284" s="32"/>
      <c r="E284" s="32"/>
      <c r="F284" s="32"/>
      <c r="G284" s="32"/>
      <c r="H284" s="32"/>
      <c r="I284" s="32"/>
    </row>
    <row r="285">
      <c r="A285" s="137"/>
      <c r="B285" s="32"/>
      <c r="C285" s="32"/>
      <c r="D285" s="32"/>
      <c r="E285" s="32"/>
      <c r="F285" s="32"/>
      <c r="G285" s="32"/>
      <c r="H285" s="32"/>
      <c r="I285" s="32"/>
    </row>
    <row r="286">
      <c r="A286" s="137"/>
      <c r="B286" s="32"/>
      <c r="C286" s="32"/>
      <c r="D286" s="32"/>
      <c r="E286" s="32"/>
      <c r="F286" s="32"/>
      <c r="G286" s="32"/>
      <c r="H286" s="32"/>
      <c r="I286" s="32"/>
    </row>
    <row r="287">
      <c r="A287" s="137"/>
      <c r="B287" s="32"/>
      <c r="C287" s="32"/>
      <c r="D287" s="32"/>
      <c r="E287" s="32"/>
      <c r="F287" s="32"/>
      <c r="G287" s="32"/>
      <c r="H287" s="32"/>
      <c r="I287" s="32"/>
    </row>
    <row r="288">
      <c r="A288" s="137"/>
      <c r="B288" s="32"/>
      <c r="C288" s="32"/>
      <c r="D288" s="32"/>
      <c r="E288" s="32"/>
      <c r="F288" s="32"/>
      <c r="G288" s="32"/>
      <c r="H288" s="32"/>
      <c r="I288" s="32"/>
    </row>
    <row r="289">
      <c r="A289" s="137"/>
      <c r="B289" s="32"/>
      <c r="C289" s="32"/>
      <c r="D289" s="32"/>
      <c r="E289" s="32"/>
      <c r="F289" s="32"/>
      <c r="G289" s="32"/>
      <c r="H289" s="32"/>
      <c r="I289" s="32"/>
    </row>
    <row r="290">
      <c r="A290" s="137"/>
      <c r="B290" s="32"/>
      <c r="C290" s="32"/>
      <c r="D290" s="32"/>
      <c r="E290" s="32"/>
      <c r="F290" s="32"/>
      <c r="G290" s="32"/>
      <c r="H290" s="32"/>
      <c r="I290" s="32"/>
    </row>
    <row r="291">
      <c r="A291" s="137"/>
      <c r="B291" s="32"/>
      <c r="C291" s="32"/>
      <c r="D291" s="32"/>
      <c r="E291" s="32"/>
      <c r="F291" s="32"/>
      <c r="G291" s="32"/>
      <c r="H291" s="32"/>
      <c r="I291" s="32"/>
    </row>
    <row r="292">
      <c r="A292" s="137"/>
      <c r="B292" s="32"/>
      <c r="C292" s="32"/>
      <c r="D292" s="32"/>
      <c r="E292" s="32"/>
      <c r="F292" s="32"/>
      <c r="G292" s="32"/>
      <c r="H292" s="32"/>
      <c r="I292" s="32"/>
    </row>
    <row r="293">
      <c r="A293" s="137"/>
      <c r="B293" s="32"/>
      <c r="C293" s="32"/>
      <c r="D293" s="32"/>
      <c r="E293" s="32"/>
      <c r="F293" s="32"/>
      <c r="G293" s="32"/>
      <c r="H293" s="32"/>
      <c r="I293" s="32"/>
    </row>
    <row r="294">
      <c r="A294" s="137"/>
      <c r="B294" s="32"/>
      <c r="C294" s="32"/>
      <c r="D294" s="32"/>
      <c r="E294" s="32"/>
      <c r="F294" s="32"/>
      <c r="G294" s="32"/>
      <c r="H294" s="32"/>
      <c r="I294" s="32"/>
    </row>
    <row r="295">
      <c r="A295" s="137"/>
      <c r="B295" s="32"/>
      <c r="C295" s="32"/>
      <c r="D295" s="32"/>
      <c r="E295" s="32"/>
      <c r="F295" s="32"/>
      <c r="G295" s="32"/>
      <c r="H295" s="32"/>
      <c r="I295" s="32"/>
    </row>
    <row r="296">
      <c r="A296" s="137"/>
      <c r="B296" s="32"/>
      <c r="C296" s="32"/>
      <c r="D296" s="32"/>
      <c r="E296" s="32"/>
      <c r="F296" s="32"/>
      <c r="G296" s="32"/>
      <c r="H296" s="32"/>
      <c r="I296" s="32"/>
    </row>
    <row r="297">
      <c r="A297" s="137"/>
      <c r="B297" s="32"/>
      <c r="C297" s="32"/>
      <c r="D297" s="32"/>
      <c r="E297" s="32"/>
      <c r="F297" s="32"/>
      <c r="G297" s="32"/>
      <c r="H297" s="32"/>
      <c r="I297" s="32"/>
    </row>
    <row r="298">
      <c r="A298" s="137"/>
      <c r="B298" s="32"/>
      <c r="C298" s="32"/>
      <c r="D298" s="32"/>
      <c r="E298" s="32"/>
      <c r="F298" s="32"/>
      <c r="G298" s="32"/>
      <c r="H298" s="32"/>
      <c r="I298" s="32"/>
    </row>
    <row r="299">
      <c r="A299" s="137"/>
      <c r="B299" s="32"/>
      <c r="C299" s="32"/>
      <c r="D299" s="32"/>
      <c r="E299" s="32"/>
      <c r="F299" s="32"/>
      <c r="G299" s="32"/>
      <c r="H299" s="32"/>
      <c r="I299" s="32"/>
    </row>
    <row r="300">
      <c r="A300" s="137"/>
      <c r="B300" s="32"/>
      <c r="C300" s="32"/>
      <c r="D300" s="32"/>
      <c r="E300" s="32"/>
      <c r="F300" s="32"/>
      <c r="G300" s="32"/>
      <c r="H300" s="32"/>
      <c r="I300" s="32"/>
    </row>
    <row r="301">
      <c r="A301" s="137"/>
      <c r="B301" s="32"/>
      <c r="C301" s="32"/>
      <c r="D301" s="32"/>
      <c r="E301" s="32"/>
      <c r="F301" s="32"/>
      <c r="G301" s="32"/>
      <c r="H301" s="32"/>
      <c r="I301" s="32"/>
    </row>
    <row r="302">
      <c r="A302" s="137"/>
      <c r="B302" s="32"/>
      <c r="C302" s="32"/>
      <c r="D302" s="32"/>
      <c r="E302" s="32"/>
      <c r="F302" s="32"/>
      <c r="G302" s="32"/>
      <c r="H302" s="32"/>
      <c r="I302" s="32"/>
    </row>
    <row r="303">
      <c r="A303" s="137"/>
      <c r="B303" s="32"/>
      <c r="C303" s="32"/>
      <c r="D303" s="32"/>
      <c r="E303" s="32"/>
      <c r="F303" s="32"/>
      <c r="G303" s="32"/>
      <c r="H303" s="32"/>
      <c r="I303" s="32"/>
    </row>
    <row r="304">
      <c r="A304" s="137"/>
      <c r="B304" s="32"/>
      <c r="C304" s="32"/>
      <c r="D304" s="32"/>
      <c r="E304" s="32"/>
      <c r="F304" s="32"/>
      <c r="G304" s="32"/>
      <c r="H304" s="32"/>
      <c r="I304" s="32"/>
    </row>
    <row r="305">
      <c r="A305" s="137"/>
      <c r="B305" s="32"/>
      <c r="C305" s="32"/>
      <c r="D305" s="32"/>
      <c r="E305" s="32"/>
      <c r="F305" s="32"/>
      <c r="G305" s="32"/>
      <c r="H305" s="32"/>
      <c r="I305" s="32"/>
    </row>
    <row r="306">
      <c r="A306" s="137"/>
      <c r="B306" s="32"/>
      <c r="C306" s="32"/>
      <c r="D306" s="32"/>
      <c r="E306" s="32"/>
      <c r="F306" s="32"/>
      <c r="G306" s="32"/>
      <c r="H306" s="32"/>
      <c r="I306" s="32"/>
    </row>
    <row r="307">
      <c r="A307" s="137"/>
      <c r="B307" s="32"/>
      <c r="C307" s="32"/>
      <c r="D307" s="32"/>
      <c r="E307" s="32"/>
      <c r="F307" s="32"/>
      <c r="G307" s="32"/>
      <c r="H307" s="32"/>
      <c r="I307" s="32"/>
    </row>
    <row r="308">
      <c r="A308" s="137"/>
      <c r="B308" s="32"/>
      <c r="C308" s="32"/>
      <c r="D308" s="32"/>
      <c r="E308" s="32"/>
      <c r="F308" s="32"/>
      <c r="G308" s="32"/>
      <c r="H308" s="32"/>
      <c r="I308" s="32"/>
    </row>
    <row r="309">
      <c r="A309" s="137"/>
      <c r="B309" s="32"/>
      <c r="C309" s="32"/>
      <c r="D309" s="32"/>
      <c r="E309" s="32"/>
      <c r="F309" s="32"/>
      <c r="G309" s="32"/>
      <c r="H309" s="32"/>
      <c r="I309" s="32"/>
    </row>
    <row r="310">
      <c r="A310" s="137"/>
      <c r="B310" s="32"/>
      <c r="C310" s="32"/>
      <c r="D310" s="32"/>
      <c r="E310" s="32"/>
      <c r="F310" s="32"/>
      <c r="G310" s="32"/>
      <c r="H310" s="32"/>
      <c r="I310" s="32"/>
    </row>
    <row r="311">
      <c r="A311" s="137"/>
      <c r="B311" s="32"/>
      <c r="C311" s="32"/>
      <c r="D311" s="32"/>
      <c r="E311" s="32"/>
      <c r="F311" s="32"/>
      <c r="G311" s="32"/>
      <c r="H311" s="32"/>
      <c r="I311" s="32"/>
    </row>
    <row r="312">
      <c r="A312" s="137"/>
      <c r="B312" s="32"/>
      <c r="C312" s="32"/>
      <c r="D312" s="32"/>
      <c r="E312" s="32"/>
      <c r="F312" s="32"/>
      <c r="G312" s="32"/>
      <c r="H312" s="32"/>
      <c r="I312" s="32"/>
    </row>
    <row r="313">
      <c r="A313" s="137"/>
      <c r="B313" s="32"/>
      <c r="C313" s="32"/>
      <c r="D313" s="32"/>
      <c r="E313" s="32"/>
      <c r="F313" s="32"/>
      <c r="G313" s="32"/>
      <c r="H313" s="32"/>
      <c r="I313" s="32"/>
    </row>
    <row r="314">
      <c r="A314" s="137"/>
      <c r="B314" s="32"/>
      <c r="C314" s="32"/>
      <c r="D314" s="32"/>
      <c r="E314" s="32"/>
      <c r="F314" s="32"/>
      <c r="G314" s="32"/>
      <c r="H314" s="32"/>
      <c r="I314" s="32"/>
    </row>
    <row r="315">
      <c r="A315" s="137"/>
      <c r="B315" s="32"/>
      <c r="C315" s="32"/>
      <c r="D315" s="32"/>
      <c r="E315" s="32"/>
      <c r="F315" s="32"/>
      <c r="G315" s="32"/>
      <c r="H315" s="32"/>
      <c r="I315" s="32"/>
    </row>
    <row r="316">
      <c r="A316" s="137"/>
      <c r="B316" s="32"/>
      <c r="C316" s="32"/>
      <c r="D316" s="32"/>
      <c r="E316" s="32"/>
      <c r="F316" s="32"/>
      <c r="G316" s="32"/>
      <c r="H316" s="32"/>
      <c r="I316" s="32"/>
    </row>
    <row r="317">
      <c r="A317" s="137"/>
      <c r="B317" s="32"/>
      <c r="C317" s="32"/>
      <c r="D317" s="32"/>
      <c r="E317" s="32"/>
      <c r="F317" s="32"/>
      <c r="G317" s="32"/>
      <c r="H317" s="32"/>
      <c r="I317" s="32"/>
    </row>
    <row r="318">
      <c r="A318" s="137"/>
      <c r="B318" s="32"/>
      <c r="C318" s="32"/>
      <c r="D318" s="32"/>
      <c r="E318" s="32"/>
      <c r="F318" s="32"/>
      <c r="G318" s="32"/>
      <c r="H318" s="32"/>
      <c r="I318" s="32"/>
    </row>
    <row r="319">
      <c r="A319" s="137"/>
      <c r="B319" s="32"/>
      <c r="C319" s="32"/>
      <c r="D319" s="32"/>
      <c r="E319" s="32"/>
      <c r="F319" s="32"/>
      <c r="G319" s="32"/>
      <c r="H319" s="32"/>
      <c r="I319" s="32"/>
    </row>
    <row r="320">
      <c r="A320" s="137"/>
      <c r="B320" s="32"/>
      <c r="C320" s="32"/>
      <c r="D320" s="32"/>
      <c r="E320" s="32"/>
      <c r="F320" s="32"/>
      <c r="G320" s="32"/>
      <c r="H320" s="32"/>
      <c r="I320" s="32"/>
    </row>
    <row r="321">
      <c r="A321" s="137"/>
      <c r="B321" s="32"/>
      <c r="C321" s="32"/>
      <c r="D321" s="32"/>
      <c r="E321" s="32"/>
      <c r="F321" s="32"/>
      <c r="G321" s="32"/>
      <c r="H321" s="32"/>
      <c r="I321" s="32"/>
    </row>
    <row r="322">
      <c r="A322" s="137"/>
      <c r="B322" s="32"/>
      <c r="C322" s="32"/>
      <c r="D322" s="32"/>
      <c r="E322" s="32"/>
      <c r="F322" s="32"/>
      <c r="G322" s="32"/>
      <c r="H322" s="32"/>
      <c r="I322" s="32"/>
    </row>
    <row r="323">
      <c r="A323" s="137"/>
      <c r="B323" s="32"/>
      <c r="C323" s="32"/>
      <c r="D323" s="32"/>
      <c r="E323" s="32"/>
      <c r="F323" s="32"/>
      <c r="G323" s="32"/>
      <c r="H323" s="32"/>
      <c r="I323" s="32"/>
    </row>
    <row r="324">
      <c r="A324" s="137"/>
      <c r="B324" s="32"/>
      <c r="C324" s="32"/>
      <c r="D324" s="32"/>
      <c r="E324" s="32"/>
      <c r="F324" s="32"/>
      <c r="G324" s="32"/>
      <c r="H324" s="32"/>
      <c r="I324" s="32"/>
    </row>
    <row r="325">
      <c r="A325" s="137"/>
      <c r="B325" s="32"/>
      <c r="C325" s="32"/>
      <c r="D325" s="32"/>
      <c r="E325" s="32"/>
      <c r="F325" s="32"/>
      <c r="G325" s="32"/>
      <c r="H325" s="32"/>
      <c r="I325" s="32"/>
    </row>
    <row r="326">
      <c r="A326" s="137"/>
      <c r="B326" s="32"/>
      <c r="C326" s="32"/>
      <c r="D326" s="32"/>
      <c r="E326" s="32"/>
      <c r="F326" s="32"/>
      <c r="G326" s="32"/>
      <c r="H326" s="32"/>
      <c r="I326" s="32"/>
    </row>
    <row r="327">
      <c r="A327" s="137"/>
      <c r="B327" s="32"/>
      <c r="C327" s="32"/>
      <c r="D327" s="32"/>
      <c r="E327" s="32"/>
      <c r="F327" s="32"/>
      <c r="G327" s="32"/>
      <c r="H327" s="32"/>
      <c r="I327" s="32"/>
    </row>
    <row r="328">
      <c r="A328" s="137"/>
      <c r="B328" s="32"/>
      <c r="C328" s="32"/>
      <c r="D328" s="32"/>
      <c r="E328" s="32"/>
      <c r="F328" s="32"/>
      <c r="G328" s="32"/>
      <c r="H328" s="32"/>
      <c r="I328" s="32"/>
    </row>
    <row r="329">
      <c r="A329" s="137"/>
      <c r="B329" s="32"/>
      <c r="C329" s="32"/>
      <c r="D329" s="32"/>
      <c r="E329" s="32"/>
      <c r="F329" s="32"/>
      <c r="G329" s="32"/>
      <c r="H329" s="32"/>
      <c r="I329" s="32"/>
    </row>
    <row r="330">
      <c r="A330" s="137"/>
      <c r="B330" s="32"/>
      <c r="C330" s="32"/>
      <c r="D330" s="32"/>
      <c r="E330" s="32"/>
      <c r="F330" s="32"/>
      <c r="G330" s="32"/>
      <c r="H330" s="32"/>
      <c r="I330" s="32"/>
    </row>
    <row r="331">
      <c r="A331" s="137"/>
      <c r="B331" s="32"/>
      <c r="C331" s="32"/>
      <c r="D331" s="32"/>
      <c r="E331" s="32"/>
      <c r="F331" s="32"/>
      <c r="G331" s="32"/>
      <c r="H331" s="32"/>
      <c r="I331" s="32"/>
    </row>
    <row r="332">
      <c r="A332" s="137"/>
      <c r="B332" s="32"/>
      <c r="C332" s="32"/>
      <c r="D332" s="32"/>
      <c r="E332" s="32"/>
      <c r="F332" s="32"/>
      <c r="G332" s="32"/>
      <c r="H332" s="32"/>
      <c r="I332" s="32"/>
    </row>
    <row r="333">
      <c r="A333" s="137"/>
      <c r="B333" s="32"/>
      <c r="C333" s="32"/>
      <c r="D333" s="32"/>
      <c r="E333" s="32"/>
      <c r="F333" s="32"/>
      <c r="G333" s="32"/>
      <c r="H333" s="32"/>
      <c r="I333" s="32"/>
    </row>
    <row r="334">
      <c r="A334" s="137"/>
      <c r="B334" s="32"/>
      <c r="C334" s="32"/>
      <c r="D334" s="32"/>
      <c r="E334" s="32"/>
      <c r="F334" s="32"/>
      <c r="G334" s="32"/>
      <c r="H334" s="32"/>
      <c r="I334" s="32"/>
    </row>
    <row r="335">
      <c r="A335" s="137"/>
      <c r="B335" s="32"/>
      <c r="C335" s="32"/>
      <c r="D335" s="32"/>
      <c r="E335" s="32"/>
      <c r="F335" s="32"/>
      <c r="G335" s="32"/>
      <c r="H335" s="32"/>
      <c r="I335" s="32"/>
    </row>
    <row r="336">
      <c r="A336" s="137"/>
      <c r="B336" s="32"/>
      <c r="C336" s="32"/>
      <c r="D336" s="32"/>
      <c r="E336" s="32"/>
      <c r="F336" s="32"/>
      <c r="G336" s="32"/>
      <c r="H336" s="32"/>
      <c r="I336" s="32"/>
    </row>
    <row r="337">
      <c r="A337" s="137"/>
      <c r="B337" s="32"/>
      <c r="C337" s="32"/>
      <c r="D337" s="32"/>
      <c r="E337" s="32"/>
      <c r="F337" s="32"/>
      <c r="G337" s="32"/>
      <c r="H337" s="32"/>
      <c r="I337" s="32"/>
    </row>
    <row r="338">
      <c r="A338" s="137"/>
      <c r="B338" s="32"/>
      <c r="C338" s="32"/>
      <c r="D338" s="32"/>
      <c r="E338" s="32"/>
      <c r="F338" s="32"/>
      <c r="G338" s="32"/>
      <c r="H338" s="32"/>
      <c r="I338" s="32"/>
    </row>
    <row r="339">
      <c r="A339" s="137"/>
      <c r="B339" s="32"/>
      <c r="C339" s="32"/>
      <c r="D339" s="32"/>
      <c r="E339" s="32"/>
      <c r="F339" s="32"/>
      <c r="G339" s="32"/>
      <c r="H339" s="32"/>
      <c r="I339" s="32"/>
    </row>
    <row r="340">
      <c r="A340" s="137"/>
      <c r="B340" s="32"/>
      <c r="C340" s="32"/>
      <c r="D340" s="32"/>
      <c r="E340" s="32"/>
      <c r="F340" s="32"/>
      <c r="G340" s="32"/>
      <c r="H340" s="32"/>
      <c r="I340" s="32"/>
    </row>
    <row r="341">
      <c r="A341" s="137"/>
      <c r="B341" s="32"/>
      <c r="C341" s="32"/>
      <c r="D341" s="32"/>
      <c r="E341" s="32"/>
      <c r="F341" s="32"/>
      <c r="G341" s="32"/>
      <c r="H341" s="32"/>
      <c r="I341" s="32"/>
    </row>
    <row r="342">
      <c r="A342" s="137"/>
      <c r="B342" s="32"/>
      <c r="C342" s="32"/>
      <c r="D342" s="32"/>
      <c r="E342" s="32"/>
      <c r="F342" s="32"/>
      <c r="G342" s="32"/>
      <c r="H342" s="32"/>
      <c r="I342" s="32"/>
    </row>
    <row r="343">
      <c r="A343" s="137"/>
      <c r="B343" s="32"/>
      <c r="C343" s="32"/>
      <c r="D343" s="32"/>
      <c r="E343" s="32"/>
      <c r="F343" s="32"/>
      <c r="G343" s="32"/>
      <c r="H343" s="32"/>
      <c r="I343" s="32"/>
    </row>
    <row r="344">
      <c r="A344" s="137"/>
      <c r="B344" s="32"/>
      <c r="C344" s="32"/>
      <c r="D344" s="32"/>
      <c r="E344" s="32"/>
      <c r="F344" s="32"/>
      <c r="G344" s="32"/>
      <c r="H344" s="32"/>
      <c r="I344" s="32"/>
    </row>
    <row r="345">
      <c r="A345" s="137"/>
      <c r="B345" s="32"/>
      <c r="C345" s="32"/>
      <c r="D345" s="32"/>
      <c r="E345" s="32"/>
      <c r="F345" s="32"/>
      <c r="G345" s="32"/>
      <c r="H345" s="32"/>
      <c r="I345" s="32"/>
    </row>
    <row r="346">
      <c r="A346" s="137"/>
      <c r="B346" s="32"/>
      <c r="C346" s="32"/>
      <c r="D346" s="32"/>
      <c r="E346" s="32"/>
      <c r="F346" s="32"/>
      <c r="G346" s="32"/>
      <c r="H346" s="32"/>
      <c r="I346" s="32"/>
    </row>
    <row r="347">
      <c r="A347" s="137"/>
      <c r="B347" s="32"/>
      <c r="C347" s="32"/>
      <c r="D347" s="32"/>
      <c r="E347" s="32"/>
      <c r="F347" s="32"/>
      <c r="G347" s="32"/>
      <c r="H347" s="32"/>
      <c r="I347" s="32"/>
    </row>
    <row r="348">
      <c r="A348" s="137"/>
      <c r="B348" s="32"/>
      <c r="C348" s="32"/>
      <c r="D348" s="32"/>
      <c r="E348" s="32"/>
      <c r="F348" s="32"/>
      <c r="G348" s="32"/>
      <c r="H348" s="32"/>
      <c r="I348" s="32"/>
    </row>
    <row r="349">
      <c r="A349" s="137"/>
      <c r="B349" s="32"/>
      <c r="C349" s="32"/>
      <c r="D349" s="32"/>
      <c r="E349" s="32"/>
      <c r="F349" s="32"/>
      <c r="G349" s="32"/>
      <c r="H349" s="32"/>
      <c r="I349" s="32"/>
    </row>
    <row r="350">
      <c r="A350" s="137"/>
      <c r="B350" s="32"/>
      <c r="C350" s="32"/>
      <c r="D350" s="32"/>
      <c r="E350" s="32"/>
      <c r="F350" s="32"/>
      <c r="G350" s="32"/>
      <c r="H350" s="32"/>
      <c r="I350" s="32"/>
    </row>
    <row r="351">
      <c r="A351" s="137"/>
      <c r="B351" s="32"/>
      <c r="C351" s="32"/>
      <c r="D351" s="32"/>
      <c r="E351" s="32"/>
      <c r="F351" s="32"/>
      <c r="G351" s="32"/>
      <c r="H351" s="32"/>
      <c r="I351" s="32"/>
    </row>
    <row r="352">
      <c r="A352" s="137"/>
      <c r="B352" s="32"/>
      <c r="C352" s="32"/>
      <c r="D352" s="32"/>
      <c r="E352" s="32"/>
      <c r="F352" s="32"/>
      <c r="G352" s="32"/>
      <c r="H352" s="32"/>
      <c r="I352" s="32"/>
    </row>
    <row r="353">
      <c r="A353" s="137"/>
      <c r="B353" s="32"/>
      <c r="C353" s="32"/>
      <c r="D353" s="32"/>
      <c r="E353" s="32"/>
      <c r="F353" s="32"/>
      <c r="G353" s="32"/>
      <c r="H353" s="32"/>
      <c r="I353" s="32"/>
    </row>
    <row r="354">
      <c r="A354" s="137"/>
      <c r="B354" s="32"/>
      <c r="C354" s="32"/>
      <c r="D354" s="32"/>
      <c r="E354" s="32"/>
      <c r="F354" s="32"/>
      <c r="G354" s="32"/>
      <c r="H354" s="32"/>
      <c r="I354" s="32"/>
    </row>
    <row r="355">
      <c r="A355" s="137"/>
      <c r="B355" s="32"/>
      <c r="C355" s="32"/>
      <c r="D355" s="32"/>
      <c r="E355" s="32"/>
      <c r="F355" s="32"/>
      <c r="G355" s="32"/>
      <c r="H355" s="32"/>
      <c r="I355" s="32"/>
    </row>
    <row r="356">
      <c r="A356" s="137"/>
      <c r="B356" s="32"/>
      <c r="C356" s="32"/>
      <c r="D356" s="32"/>
      <c r="E356" s="32"/>
      <c r="F356" s="32"/>
      <c r="G356" s="32"/>
      <c r="H356" s="32"/>
      <c r="I356" s="32"/>
    </row>
    <row r="357">
      <c r="A357" s="137"/>
      <c r="B357" s="32"/>
      <c r="C357" s="32"/>
      <c r="D357" s="32"/>
      <c r="E357" s="32"/>
      <c r="F357" s="32"/>
      <c r="G357" s="32"/>
      <c r="H357" s="32"/>
      <c r="I357" s="32"/>
    </row>
    <row r="358">
      <c r="A358" s="137"/>
      <c r="B358" s="32"/>
      <c r="C358" s="32"/>
      <c r="D358" s="32"/>
      <c r="E358" s="32"/>
      <c r="F358" s="32"/>
      <c r="G358" s="32"/>
      <c r="H358" s="32"/>
      <c r="I358" s="32"/>
    </row>
    <row r="359">
      <c r="A359" s="137"/>
      <c r="B359" s="32"/>
      <c r="C359" s="32"/>
      <c r="D359" s="32"/>
      <c r="E359" s="32"/>
      <c r="F359" s="32"/>
      <c r="G359" s="32"/>
      <c r="H359" s="32"/>
      <c r="I359" s="32"/>
    </row>
    <row r="360">
      <c r="A360" s="137"/>
      <c r="B360" s="32"/>
      <c r="C360" s="32"/>
      <c r="D360" s="32"/>
      <c r="E360" s="32"/>
      <c r="F360" s="32"/>
      <c r="G360" s="32"/>
      <c r="H360" s="32"/>
      <c r="I360" s="32"/>
    </row>
    <row r="361">
      <c r="A361" s="137"/>
      <c r="B361" s="32"/>
      <c r="C361" s="32"/>
      <c r="D361" s="32"/>
      <c r="E361" s="32"/>
      <c r="F361" s="32"/>
      <c r="G361" s="32"/>
      <c r="H361" s="32"/>
      <c r="I361" s="32"/>
    </row>
    <row r="362">
      <c r="A362" s="137"/>
      <c r="B362" s="32"/>
      <c r="C362" s="32"/>
      <c r="D362" s="32"/>
      <c r="E362" s="32"/>
      <c r="F362" s="32"/>
      <c r="G362" s="32"/>
      <c r="H362" s="32"/>
      <c r="I362" s="32"/>
    </row>
    <row r="363">
      <c r="A363" s="137"/>
      <c r="B363" s="32"/>
      <c r="C363" s="32"/>
      <c r="D363" s="32"/>
      <c r="E363" s="32"/>
      <c r="F363" s="32"/>
      <c r="G363" s="32"/>
      <c r="H363" s="32"/>
      <c r="I363" s="32"/>
    </row>
    <row r="364">
      <c r="A364" s="137"/>
      <c r="B364" s="32"/>
      <c r="C364" s="32"/>
      <c r="D364" s="32"/>
      <c r="E364" s="32"/>
      <c r="F364" s="32"/>
      <c r="G364" s="32"/>
      <c r="H364" s="32"/>
      <c r="I364" s="32"/>
    </row>
    <row r="365">
      <c r="A365" s="137"/>
      <c r="B365" s="32"/>
      <c r="C365" s="32"/>
      <c r="D365" s="32"/>
      <c r="E365" s="32"/>
      <c r="F365" s="32"/>
      <c r="G365" s="32"/>
      <c r="H365" s="32"/>
      <c r="I365" s="32"/>
    </row>
    <row r="366">
      <c r="A366" s="137"/>
      <c r="B366" s="32"/>
      <c r="C366" s="32"/>
      <c r="D366" s="32"/>
      <c r="E366" s="32"/>
      <c r="F366" s="32"/>
      <c r="G366" s="32"/>
      <c r="H366" s="32"/>
      <c r="I366" s="32"/>
    </row>
    <row r="367">
      <c r="A367" s="137"/>
      <c r="B367" s="32"/>
      <c r="C367" s="32"/>
      <c r="D367" s="32"/>
      <c r="E367" s="32"/>
      <c r="F367" s="32"/>
      <c r="G367" s="32"/>
      <c r="H367" s="32"/>
      <c r="I367" s="32"/>
    </row>
    <row r="368">
      <c r="A368" s="137"/>
      <c r="B368" s="32"/>
      <c r="C368" s="32"/>
      <c r="D368" s="32"/>
      <c r="E368" s="32"/>
      <c r="F368" s="32"/>
      <c r="G368" s="32"/>
      <c r="H368" s="32"/>
      <c r="I368" s="32"/>
    </row>
    <row r="369">
      <c r="A369" s="137"/>
      <c r="B369" s="32"/>
      <c r="C369" s="32"/>
      <c r="D369" s="32"/>
      <c r="E369" s="32"/>
      <c r="F369" s="32"/>
      <c r="G369" s="32"/>
      <c r="H369" s="32"/>
      <c r="I369" s="32"/>
    </row>
    <row r="370">
      <c r="A370" s="137"/>
      <c r="B370" s="32"/>
      <c r="C370" s="32"/>
      <c r="D370" s="32"/>
      <c r="E370" s="32"/>
      <c r="F370" s="32"/>
      <c r="G370" s="32"/>
      <c r="H370" s="32"/>
      <c r="I370" s="32"/>
    </row>
    <row r="371">
      <c r="A371" s="137"/>
      <c r="B371" s="32"/>
      <c r="C371" s="32"/>
      <c r="D371" s="32"/>
      <c r="E371" s="32"/>
      <c r="F371" s="32"/>
      <c r="G371" s="32"/>
      <c r="H371" s="32"/>
      <c r="I371" s="32"/>
    </row>
    <row r="372">
      <c r="A372" s="137"/>
      <c r="B372" s="32"/>
      <c r="C372" s="32"/>
      <c r="D372" s="32"/>
      <c r="E372" s="32"/>
      <c r="F372" s="32"/>
      <c r="G372" s="32"/>
      <c r="H372" s="32"/>
      <c r="I372" s="32"/>
    </row>
    <row r="373">
      <c r="A373" s="137"/>
      <c r="B373" s="32"/>
      <c r="C373" s="32"/>
      <c r="D373" s="32"/>
      <c r="E373" s="32"/>
      <c r="F373" s="32"/>
      <c r="G373" s="32"/>
      <c r="H373" s="32"/>
      <c r="I373" s="32"/>
    </row>
    <row r="374">
      <c r="A374" s="137"/>
      <c r="B374" s="32"/>
      <c r="C374" s="32"/>
      <c r="D374" s="32"/>
      <c r="E374" s="32"/>
      <c r="F374" s="32"/>
      <c r="G374" s="32"/>
      <c r="H374" s="32"/>
      <c r="I374" s="32"/>
    </row>
    <row r="375">
      <c r="A375" s="137"/>
      <c r="B375" s="32"/>
      <c r="C375" s="32"/>
      <c r="D375" s="32"/>
      <c r="E375" s="32"/>
      <c r="F375" s="32"/>
      <c r="G375" s="32"/>
      <c r="H375" s="32"/>
      <c r="I375" s="32"/>
    </row>
    <row r="376">
      <c r="A376" s="137"/>
      <c r="B376" s="32"/>
      <c r="C376" s="32"/>
      <c r="D376" s="32"/>
      <c r="E376" s="32"/>
      <c r="F376" s="32"/>
      <c r="G376" s="32"/>
      <c r="H376" s="32"/>
      <c r="I376" s="32"/>
    </row>
    <row r="377">
      <c r="A377" s="137"/>
      <c r="B377" s="32"/>
      <c r="C377" s="32"/>
      <c r="D377" s="32"/>
      <c r="E377" s="32"/>
      <c r="F377" s="32"/>
      <c r="G377" s="32"/>
      <c r="H377" s="32"/>
      <c r="I377" s="32"/>
    </row>
    <row r="378">
      <c r="A378" s="137"/>
      <c r="B378" s="32"/>
      <c r="C378" s="32"/>
      <c r="D378" s="32"/>
      <c r="E378" s="32"/>
      <c r="F378" s="32"/>
      <c r="G378" s="32"/>
      <c r="H378" s="32"/>
      <c r="I378" s="32"/>
    </row>
    <row r="379">
      <c r="A379" s="137"/>
      <c r="B379" s="32"/>
      <c r="C379" s="32"/>
      <c r="D379" s="32"/>
      <c r="E379" s="32"/>
      <c r="F379" s="32"/>
      <c r="G379" s="32"/>
      <c r="H379" s="32"/>
      <c r="I379" s="32"/>
    </row>
    <row r="380">
      <c r="A380" s="137"/>
      <c r="B380" s="32"/>
      <c r="C380" s="32"/>
      <c r="D380" s="32"/>
      <c r="E380" s="32"/>
      <c r="F380" s="32"/>
      <c r="G380" s="32"/>
      <c r="H380" s="32"/>
      <c r="I380" s="32"/>
    </row>
    <row r="381">
      <c r="A381" s="137"/>
      <c r="B381" s="32"/>
      <c r="C381" s="32"/>
      <c r="D381" s="32"/>
      <c r="E381" s="32"/>
      <c r="F381" s="32"/>
      <c r="G381" s="32"/>
      <c r="H381" s="32"/>
      <c r="I381" s="32"/>
    </row>
    <row r="382">
      <c r="A382" s="137"/>
      <c r="B382" s="32"/>
      <c r="C382" s="32"/>
      <c r="D382" s="32"/>
      <c r="E382" s="32"/>
      <c r="F382" s="32"/>
      <c r="G382" s="32"/>
      <c r="H382" s="32"/>
      <c r="I382" s="32"/>
    </row>
    <row r="383">
      <c r="A383" s="137"/>
      <c r="B383" s="32"/>
      <c r="C383" s="32"/>
      <c r="D383" s="32"/>
      <c r="E383" s="32"/>
      <c r="F383" s="32"/>
      <c r="G383" s="32"/>
      <c r="H383" s="32"/>
      <c r="I383" s="32"/>
    </row>
    <row r="384">
      <c r="A384" s="137"/>
      <c r="B384" s="32"/>
      <c r="C384" s="32"/>
      <c r="D384" s="32"/>
      <c r="E384" s="32"/>
      <c r="F384" s="32"/>
      <c r="G384" s="32"/>
      <c r="H384" s="32"/>
      <c r="I384" s="32"/>
    </row>
    <row r="385">
      <c r="A385" s="137"/>
      <c r="B385" s="32"/>
      <c r="C385" s="32"/>
      <c r="D385" s="32"/>
      <c r="E385" s="32"/>
      <c r="F385" s="32"/>
      <c r="G385" s="32"/>
      <c r="H385" s="32"/>
      <c r="I385" s="32"/>
    </row>
    <row r="386">
      <c r="A386" s="137"/>
      <c r="B386" s="32"/>
      <c r="C386" s="32"/>
      <c r="D386" s="32"/>
      <c r="E386" s="32"/>
      <c r="F386" s="32"/>
      <c r="G386" s="32"/>
      <c r="H386" s="32"/>
      <c r="I386" s="32"/>
    </row>
    <row r="387">
      <c r="A387" s="137"/>
      <c r="B387" s="32"/>
      <c r="C387" s="32"/>
      <c r="D387" s="32"/>
      <c r="E387" s="32"/>
      <c r="F387" s="32"/>
      <c r="G387" s="32"/>
      <c r="H387" s="32"/>
      <c r="I387" s="32"/>
    </row>
    <row r="388">
      <c r="A388" s="137"/>
      <c r="B388" s="32"/>
      <c r="C388" s="32"/>
      <c r="D388" s="32"/>
      <c r="E388" s="32"/>
      <c r="F388" s="32"/>
      <c r="G388" s="32"/>
      <c r="H388" s="32"/>
      <c r="I388" s="32"/>
    </row>
    <row r="389">
      <c r="A389" s="137"/>
      <c r="B389" s="32"/>
      <c r="C389" s="32"/>
      <c r="D389" s="32"/>
      <c r="E389" s="32"/>
      <c r="F389" s="32"/>
      <c r="G389" s="32"/>
      <c r="H389" s="32"/>
      <c r="I389" s="32"/>
    </row>
    <row r="390">
      <c r="A390" s="137"/>
      <c r="B390" s="32"/>
      <c r="C390" s="32"/>
      <c r="D390" s="32"/>
      <c r="E390" s="32"/>
      <c r="F390" s="32"/>
      <c r="G390" s="32"/>
      <c r="H390" s="32"/>
      <c r="I390" s="32"/>
    </row>
    <row r="391">
      <c r="A391" s="137"/>
      <c r="B391" s="32"/>
      <c r="C391" s="32"/>
      <c r="D391" s="32"/>
      <c r="E391" s="32"/>
      <c r="F391" s="32"/>
      <c r="G391" s="32"/>
      <c r="H391" s="32"/>
      <c r="I391" s="32"/>
    </row>
    <row r="392">
      <c r="A392" s="137"/>
      <c r="B392" s="32"/>
      <c r="C392" s="32"/>
      <c r="D392" s="32"/>
      <c r="E392" s="32"/>
      <c r="F392" s="32"/>
      <c r="G392" s="32"/>
      <c r="H392" s="32"/>
      <c r="I392" s="32"/>
    </row>
    <row r="393">
      <c r="A393" s="137"/>
      <c r="B393" s="32"/>
      <c r="C393" s="32"/>
      <c r="D393" s="32"/>
      <c r="E393" s="32"/>
      <c r="F393" s="32"/>
      <c r="G393" s="32"/>
      <c r="H393" s="32"/>
      <c r="I393" s="32"/>
    </row>
    <row r="394">
      <c r="A394" s="137"/>
      <c r="B394" s="32"/>
      <c r="C394" s="32"/>
      <c r="D394" s="32"/>
      <c r="E394" s="32"/>
      <c r="F394" s="32"/>
      <c r="G394" s="32"/>
      <c r="H394" s="32"/>
      <c r="I394" s="32"/>
    </row>
    <row r="395">
      <c r="A395" s="137"/>
      <c r="B395" s="32"/>
      <c r="C395" s="32"/>
      <c r="D395" s="32"/>
      <c r="E395" s="32"/>
      <c r="F395" s="32"/>
      <c r="G395" s="32"/>
      <c r="H395" s="32"/>
      <c r="I395" s="32"/>
    </row>
    <row r="396">
      <c r="A396" s="137"/>
      <c r="B396" s="32"/>
      <c r="C396" s="32"/>
      <c r="D396" s="32"/>
      <c r="E396" s="32"/>
      <c r="F396" s="32"/>
      <c r="G396" s="32"/>
      <c r="H396" s="32"/>
      <c r="I396" s="32"/>
    </row>
    <row r="397">
      <c r="A397" s="137"/>
      <c r="B397" s="32"/>
      <c r="C397" s="32"/>
      <c r="D397" s="32"/>
      <c r="E397" s="32"/>
      <c r="F397" s="32"/>
      <c r="G397" s="32"/>
      <c r="H397" s="32"/>
      <c r="I397" s="32"/>
    </row>
    <row r="398">
      <c r="A398" s="137"/>
      <c r="B398" s="32"/>
      <c r="C398" s="32"/>
      <c r="D398" s="32"/>
      <c r="E398" s="32"/>
      <c r="F398" s="32"/>
      <c r="G398" s="32"/>
      <c r="H398" s="32"/>
      <c r="I398" s="32"/>
    </row>
    <row r="399">
      <c r="A399" s="137"/>
      <c r="B399" s="32"/>
      <c r="C399" s="32"/>
      <c r="D399" s="32"/>
      <c r="E399" s="32"/>
      <c r="F399" s="32"/>
      <c r="G399" s="32"/>
      <c r="H399" s="32"/>
      <c r="I399" s="32"/>
    </row>
    <row r="400">
      <c r="A400" s="137"/>
      <c r="B400" s="32"/>
      <c r="C400" s="32"/>
      <c r="D400" s="32"/>
      <c r="E400" s="32"/>
      <c r="F400" s="32"/>
      <c r="G400" s="32"/>
      <c r="H400" s="32"/>
      <c r="I400" s="32"/>
    </row>
    <row r="401">
      <c r="A401" s="137"/>
      <c r="B401" s="32"/>
      <c r="C401" s="32"/>
      <c r="D401" s="32"/>
      <c r="E401" s="32"/>
      <c r="F401" s="32"/>
      <c r="G401" s="32"/>
      <c r="H401" s="32"/>
      <c r="I401" s="32"/>
    </row>
    <row r="402">
      <c r="A402" s="137"/>
      <c r="B402" s="32"/>
      <c r="C402" s="32"/>
      <c r="D402" s="32"/>
      <c r="E402" s="32"/>
      <c r="F402" s="32"/>
      <c r="G402" s="32"/>
      <c r="H402" s="32"/>
      <c r="I402" s="32"/>
    </row>
    <row r="403">
      <c r="A403" s="137"/>
      <c r="B403" s="32"/>
      <c r="C403" s="32"/>
      <c r="D403" s="32"/>
      <c r="E403" s="32"/>
      <c r="F403" s="32"/>
      <c r="G403" s="32"/>
      <c r="H403" s="32"/>
      <c r="I403" s="32"/>
    </row>
    <row r="404">
      <c r="A404" s="137"/>
      <c r="B404" s="32"/>
      <c r="C404" s="32"/>
      <c r="D404" s="32"/>
      <c r="E404" s="32"/>
      <c r="F404" s="32"/>
      <c r="G404" s="32"/>
      <c r="H404" s="32"/>
      <c r="I404" s="32"/>
    </row>
    <row r="405">
      <c r="A405" s="137"/>
      <c r="B405" s="32"/>
      <c r="C405" s="32"/>
      <c r="D405" s="32"/>
      <c r="E405" s="32"/>
      <c r="F405" s="32"/>
      <c r="G405" s="32"/>
      <c r="H405" s="32"/>
      <c r="I405" s="32"/>
    </row>
    <row r="406">
      <c r="A406" s="137"/>
      <c r="B406" s="32"/>
      <c r="C406" s="32"/>
      <c r="D406" s="32"/>
      <c r="E406" s="32"/>
      <c r="F406" s="32"/>
      <c r="G406" s="32"/>
      <c r="H406" s="32"/>
      <c r="I406" s="32"/>
    </row>
    <row r="407">
      <c r="A407" s="137"/>
      <c r="B407" s="32"/>
      <c r="C407" s="32"/>
      <c r="D407" s="32"/>
      <c r="E407" s="32"/>
      <c r="F407" s="32"/>
      <c r="G407" s="32"/>
      <c r="H407" s="32"/>
      <c r="I407" s="32"/>
    </row>
    <row r="408">
      <c r="A408" s="137"/>
      <c r="B408" s="32"/>
      <c r="C408" s="32"/>
      <c r="D408" s="32"/>
      <c r="E408" s="32"/>
      <c r="F408" s="32"/>
      <c r="G408" s="32"/>
      <c r="H408" s="32"/>
      <c r="I408" s="32"/>
    </row>
    <row r="409">
      <c r="A409" s="137"/>
      <c r="B409" s="32"/>
      <c r="C409" s="32"/>
      <c r="D409" s="32"/>
      <c r="E409" s="32"/>
      <c r="F409" s="32"/>
      <c r="G409" s="32"/>
      <c r="H409" s="32"/>
      <c r="I409" s="32"/>
    </row>
    <row r="410">
      <c r="A410" s="137"/>
      <c r="B410" s="32"/>
      <c r="C410" s="32"/>
      <c r="D410" s="32"/>
      <c r="E410" s="32"/>
      <c r="F410" s="32"/>
      <c r="G410" s="32"/>
      <c r="H410" s="32"/>
      <c r="I410" s="32"/>
    </row>
    <row r="411">
      <c r="A411" s="137"/>
      <c r="B411" s="32"/>
      <c r="C411" s="32"/>
      <c r="D411" s="32"/>
      <c r="E411" s="32"/>
      <c r="F411" s="32"/>
      <c r="G411" s="32"/>
      <c r="H411" s="32"/>
      <c r="I411" s="32"/>
    </row>
    <row r="412">
      <c r="A412" s="137"/>
      <c r="B412" s="32"/>
      <c r="C412" s="32"/>
      <c r="D412" s="32"/>
      <c r="E412" s="32"/>
      <c r="F412" s="32"/>
      <c r="G412" s="32"/>
      <c r="H412" s="32"/>
      <c r="I412" s="32"/>
    </row>
    <row r="413">
      <c r="A413" s="137"/>
      <c r="B413" s="32"/>
      <c r="C413" s="32"/>
      <c r="D413" s="32"/>
      <c r="E413" s="32"/>
      <c r="F413" s="32"/>
      <c r="G413" s="32"/>
      <c r="H413" s="32"/>
      <c r="I413" s="32"/>
    </row>
    <row r="414">
      <c r="A414" s="137"/>
      <c r="B414" s="32"/>
      <c r="C414" s="32"/>
      <c r="D414" s="32"/>
      <c r="E414" s="32"/>
      <c r="F414" s="32"/>
      <c r="G414" s="32"/>
      <c r="H414" s="32"/>
      <c r="I414" s="32"/>
    </row>
    <row r="415">
      <c r="A415" s="137"/>
      <c r="B415" s="32"/>
      <c r="C415" s="32"/>
      <c r="D415" s="32"/>
      <c r="E415" s="32"/>
      <c r="F415" s="32"/>
      <c r="G415" s="32"/>
      <c r="H415" s="32"/>
      <c r="I415" s="32"/>
    </row>
    <row r="416">
      <c r="A416" s="137"/>
      <c r="B416" s="32"/>
      <c r="C416" s="32"/>
      <c r="D416" s="32"/>
      <c r="E416" s="32"/>
      <c r="F416" s="32"/>
      <c r="G416" s="32"/>
      <c r="H416" s="32"/>
      <c r="I416" s="32"/>
    </row>
    <row r="417">
      <c r="A417" s="137"/>
      <c r="B417" s="32"/>
      <c r="C417" s="32"/>
      <c r="D417" s="32"/>
      <c r="E417" s="32"/>
      <c r="F417" s="32"/>
      <c r="G417" s="32"/>
      <c r="H417" s="32"/>
      <c r="I417" s="32"/>
    </row>
    <row r="418">
      <c r="A418" s="137"/>
      <c r="B418" s="32"/>
      <c r="C418" s="32"/>
      <c r="D418" s="32"/>
      <c r="E418" s="32"/>
      <c r="F418" s="32"/>
      <c r="G418" s="32"/>
      <c r="H418" s="32"/>
      <c r="I418" s="32"/>
    </row>
    <row r="419">
      <c r="A419" s="137"/>
      <c r="B419" s="32"/>
      <c r="C419" s="32"/>
      <c r="D419" s="32"/>
      <c r="E419" s="32"/>
      <c r="F419" s="32"/>
      <c r="G419" s="32"/>
      <c r="H419" s="32"/>
      <c r="I419" s="32"/>
    </row>
    <row r="420">
      <c r="A420" s="137"/>
      <c r="B420" s="32"/>
      <c r="C420" s="32"/>
      <c r="D420" s="32"/>
      <c r="E420" s="32"/>
      <c r="F420" s="32"/>
      <c r="G420" s="32"/>
      <c r="H420" s="32"/>
      <c r="I420" s="32"/>
    </row>
    <row r="421">
      <c r="A421" s="137"/>
      <c r="B421" s="32"/>
      <c r="C421" s="32"/>
      <c r="D421" s="32"/>
      <c r="E421" s="32"/>
      <c r="F421" s="32"/>
      <c r="G421" s="32"/>
      <c r="H421" s="32"/>
      <c r="I421" s="32"/>
    </row>
    <row r="422">
      <c r="A422" s="137"/>
      <c r="B422" s="32"/>
      <c r="C422" s="32"/>
      <c r="D422" s="32"/>
      <c r="E422" s="32"/>
      <c r="F422" s="32"/>
      <c r="G422" s="32"/>
      <c r="H422" s="32"/>
      <c r="I422" s="32"/>
    </row>
    <row r="423">
      <c r="A423" s="137"/>
      <c r="B423" s="32"/>
      <c r="C423" s="32"/>
      <c r="D423" s="32"/>
      <c r="E423" s="32"/>
      <c r="F423" s="32"/>
      <c r="G423" s="32"/>
      <c r="H423" s="32"/>
      <c r="I423" s="32"/>
    </row>
    <row r="424">
      <c r="A424" s="137"/>
      <c r="B424" s="32"/>
      <c r="C424" s="32"/>
      <c r="D424" s="32"/>
      <c r="E424" s="32"/>
      <c r="F424" s="32"/>
      <c r="G424" s="32"/>
      <c r="H424" s="32"/>
      <c r="I424" s="32"/>
    </row>
    <row r="425">
      <c r="A425" s="137"/>
      <c r="B425" s="32"/>
      <c r="C425" s="32"/>
      <c r="D425" s="32"/>
      <c r="E425" s="32"/>
      <c r="F425" s="32"/>
      <c r="G425" s="32"/>
      <c r="H425" s="32"/>
      <c r="I425" s="32"/>
    </row>
    <row r="426">
      <c r="A426" s="137"/>
      <c r="B426" s="32"/>
      <c r="C426" s="32"/>
      <c r="D426" s="32"/>
      <c r="E426" s="32"/>
      <c r="F426" s="32"/>
      <c r="G426" s="32"/>
      <c r="H426" s="32"/>
      <c r="I426" s="32"/>
    </row>
    <row r="427">
      <c r="A427" s="137"/>
      <c r="B427" s="32"/>
      <c r="C427" s="32"/>
      <c r="D427" s="32"/>
      <c r="E427" s="32"/>
      <c r="F427" s="32"/>
      <c r="G427" s="32"/>
      <c r="H427" s="32"/>
      <c r="I427" s="32"/>
    </row>
    <row r="428">
      <c r="A428" s="137"/>
      <c r="B428" s="32"/>
      <c r="C428" s="32"/>
      <c r="D428" s="32"/>
      <c r="E428" s="32"/>
      <c r="F428" s="32"/>
      <c r="G428" s="32"/>
      <c r="H428" s="32"/>
      <c r="I428" s="32"/>
    </row>
    <row r="429">
      <c r="A429" s="137"/>
      <c r="B429" s="32"/>
      <c r="C429" s="32"/>
      <c r="D429" s="32"/>
      <c r="E429" s="32"/>
      <c r="F429" s="32"/>
      <c r="G429" s="32"/>
      <c r="H429" s="32"/>
      <c r="I429" s="32"/>
    </row>
    <row r="430">
      <c r="A430" s="137"/>
      <c r="B430" s="32"/>
      <c r="C430" s="32"/>
      <c r="D430" s="32"/>
      <c r="E430" s="32"/>
      <c r="F430" s="32"/>
      <c r="G430" s="32"/>
      <c r="H430" s="32"/>
      <c r="I430" s="32"/>
    </row>
    <row r="431">
      <c r="A431" s="137"/>
      <c r="B431" s="32"/>
      <c r="C431" s="32"/>
      <c r="D431" s="32"/>
      <c r="E431" s="32"/>
      <c r="F431" s="32"/>
      <c r="G431" s="32"/>
      <c r="H431" s="32"/>
      <c r="I431" s="32"/>
    </row>
    <row r="432">
      <c r="A432" s="137"/>
      <c r="B432" s="32"/>
      <c r="C432" s="32"/>
      <c r="D432" s="32"/>
      <c r="E432" s="32"/>
      <c r="F432" s="32"/>
      <c r="G432" s="32"/>
      <c r="H432" s="32"/>
      <c r="I432" s="32"/>
    </row>
    <row r="433">
      <c r="A433" s="137"/>
      <c r="B433" s="32"/>
      <c r="C433" s="32"/>
      <c r="D433" s="32"/>
      <c r="E433" s="32"/>
      <c r="F433" s="32"/>
      <c r="G433" s="32"/>
      <c r="H433" s="32"/>
      <c r="I433" s="32"/>
    </row>
    <row r="434">
      <c r="A434" s="137"/>
      <c r="B434" s="32"/>
      <c r="C434" s="32"/>
      <c r="D434" s="32"/>
      <c r="E434" s="32"/>
      <c r="F434" s="32"/>
      <c r="G434" s="32"/>
      <c r="H434" s="32"/>
      <c r="I434" s="32"/>
    </row>
    <row r="435">
      <c r="A435" s="137"/>
      <c r="B435" s="32"/>
      <c r="C435" s="32"/>
      <c r="D435" s="32"/>
      <c r="E435" s="32"/>
      <c r="F435" s="32"/>
      <c r="G435" s="32"/>
      <c r="H435" s="32"/>
      <c r="I435" s="32"/>
    </row>
    <row r="436">
      <c r="A436" s="137"/>
      <c r="B436" s="32"/>
      <c r="C436" s="32"/>
      <c r="D436" s="32"/>
      <c r="E436" s="32"/>
      <c r="F436" s="32"/>
      <c r="G436" s="32"/>
      <c r="H436" s="32"/>
      <c r="I436" s="32"/>
    </row>
    <row r="437">
      <c r="A437" s="137"/>
      <c r="B437" s="32"/>
      <c r="C437" s="32"/>
      <c r="D437" s="32"/>
      <c r="E437" s="32"/>
      <c r="F437" s="32"/>
      <c r="G437" s="32"/>
      <c r="H437" s="32"/>
      <c r="I437" s="32"/>
    </row>
    <row r="438">
      <c r="A438" s="137"/>
      <c r="B438" s="32"/>
      <c r="C438" s="32"/>
      <c r="D438" s="32"/>
      <c r="E438" s="32"/>
      <c r="F438" s="32"/>
      <c r="G438" s="32"/>
      <c r="H438" s="32"/>
      <c r="I438" s="32"/>
    </row>
    <row r="439">
      <c r="A439" s="137"/>
      <c r="B439" s="32"/>
      <c r="C439" s="32"/>
      <c r="D439" s="32"/>
      <c r="E439" s="32"/>
      <c r="F439" s="32"/>
      <c r="G439" s="32"/>
      <c r="H439" s="32"/>
      <c r="I439" s="32"/>
    </row>
    <row r="440">
      <c r="A440" s="137"/>
      <c r="B440" s="32"/>
      <c r="C440" s="32"/>
      <c r="D440" s="32"/>
      <c r="E440" s="32"/>
      <c r="F440" s="32"/>
      <c r="G440" s="32"/>
      <c r="H440" s="32"/>
      <c r="I440" s="32"/>
    </row>
    <row r="441">
      <c r="A441" s="137"/>
      <c r="B441" s="32"/>
      <c r="C441" s="32"/>
      <c r="D441" s="32"/>
      <c r="E441" s="32"/>
      <c r="F441" s="32"/>
      <c r="G441" s="32"/>
      <c r="H441" s="32"/>
      <c r="I441" s="32"/>
    </row>
    <row r="442">
      <c r="A442" s="137"/>
      <c r="B442" s="32"/>
      <c r="C442" s="32"/>
      <c r="D442" s="32"/>
      <c r="E442" s="32"/>
      <c r="F442" s="32"/>
      <c r="G442" s="32"/>
      <c r="H442" s="32"/>
      <c r="I442" s="32"/>
    </row>
    <row r="443">
      <c r="A443" s="137"/>
      <c r="B443" s="32"/>
      <c r="C443" s="32"/>
      <c r="D443" s="32"/>
      <c r="E443" s="32"/>
      <c r="F443" s="32"/>
      <c r="G443" s="32"/>
      <c r="H443" s="32"/>
      <c r="I443" s="32"/>
    </row>
    <row r="444">
      <c r="A444" s="137"/>
      <c r="B444" s="32"/>
      <c r="C444" s="32"/>
      <c r="D444" s="32"/>
      <c r="E444" s="32"/>
      <c r="F444" s="32"/>
      <c r="G444" s="32"/>
      <c r="H444" s="32"/>
      <c r="I444" s="32"/>
    </row>
    <row r="445">
      <c r="A445" s="137"/>
      <c r="B445" s="32"/>
      <c r="C445" s="32"/>
      <c r="D445" s="32"/>
      <c r="E445" s="32"/>
      <c r="F445" s="32"/>
      <c r="G445" s="32"/>
      <c r="H445" s="32"/>
      <c r="I445" s="32"/>
    </row>
    <row r="446">
      <c r="A446" s="137"/>
      <c r="B446" s="32"/>
      <c r="C446" s="32"/>
      <c r="D446" s="32"/>
      <c r="E446" s="32"/>
      <c r="F446" s="32"/>
      <c r="G446" s="32"/>
      <c r="H446" s="32"/>
      <c r="I446" s="32"/>
    </row>
    <row r="447">
      <c r="A447" s="137"/>
      <c r="B447" s="32"/>
      <c r="C447" s="32"/>
      <c r="D447" s="32"/>
      <c r="E447" s="32"/>
      <c r="F447" s="32"/>
      <c r="G447" s="32"/>
      <c r="H447" s="32"/>
      <c r="I447" s="32"/>
    </row>
    <row r="448">
      <c r="A448" s="137"/>
      <c r="B448" s="32"/>
      <c r="C448" s="32"/>
      <c r="D448" s="32"/>
      <c r="E448" s="32"/>
      <c r="F448" s="32"/>
      <c r="G448" s="32"/>
      <c r="H448" s="32"/>
      <c r="I448" s="32"/>
    </row>
    <row r="449">
      <c r="A449" s="137"/>
      <c r="B449" s="32"/>
      <c r="C449" s="32"/>
      <c r="D449" s="32"/>
      <c r="E449" s="32"/>
      <c r="F449" s="32"/>
      <c r="G449" s="32"/>
      <c r="H449" s="32"/>
      <c r="I449" s="32"/>
    </row>
    <row r="450">
      <c r="A450" s="137"/>
      <c r="B450" s="32"/>
      <c r="C450" s="32"/>
      <c r="D450" s="32"/>
      <c r="E450" s="32"/>
      <c r="F450" s="32"/>
      <c r="G450" s="32"/>
      <c r="H450" s="32"/>
      <c r="I450" s="32"/>
    </row>
    <row r="451">
      <c r="A451" s="137"/>
      <c r="B451" s="32"/>
      <c r="C451" s="32"/>
      <c r="D451" s="32"/>
      <c r="E451" s="32"/>
      <c r="F451" s="32"/>
      <c r="G451" s="32"/>
      <c r="H451" s="32"/>
      <c r="I451" s="32"/>
    </row>
    <row r="452">
      <c r="A452" s="137"/>
      <c r="B452" s="32"/>
      <c r="C452" s="32"/>
      <c r="D452" s="32"/>
      <c r="E452" s="32"/>
      <c r="F452" s="32"/>
      <c r="G452" s="32"/>
      <c r="H452" s="32"/>
      <c r="I452" s="32"/>
    </row>
    <row r="453">
      <c r="A453" s="137"/>
      <c r="B453" s="32"/>
      <c r="C453" s="32"/>
      <c r="D453" s="32"/>
      <c r="E453" s="32"/>
      <c r="F453" s="32"/>
      <c r="G453" s="32"/>
      <c r="H453" s="32"/>
      <c r="I453" s="32"/>
    </row>
    <row r="454">
      <c r="A454" s="137"/>
      <c r="B454" s="32"/>
      <c r="C454" s="32"/>
      <c r="D454" s="32"/>
      <c r="E454" s="32"/>
      <c r="F454" s="32"/>
      <c r="G454" s="32"/>
      <c r="H454" s="32"/>
      <c r="I454" s="32"/>
    </row>
    <row r="455">
      <c r="A455" s="137"/>
      <c r="B455" s="32"/>
      <c r="C455" s="32"/>
      <c r="D455" s="32"/>
      <c r="E455" s="32"/>
      <c r="F455" s="32"/>
      <c r="G455" s="32"/>
      <c r="H455" s="32"/>
      <c r="I455" s="32"/>
    </row>
    <row r="456">
      <c r="A456" s="137"/>
      <c r="B456" s="32"/>
      <c r="C456" s="32"/>
      <c r="D456" s="32"/>
      <c r="E456" s="32"/>
      <c r="F456" s="32"/>
      <c r="G456" s="32"/>
      <c r="H456" s="32"/>
      <c r="I456" s="32"/>
    </row>
    <row r="457">
      <c r="A457" s="137"/>
      <c r="B457" s="32"/>
      <c r="C457" s="32"/>
      <c r="D457" s="32"/>
      <c r="E457" s="32"/>
      <c r="F457" s="32"/>
      <c r="G457" s="32"/>
      <c r="H457" s="32"/>
      <c r="I457" s="32"/>
    </row>
    <row r="458">
      <c r="A458" s="137"/>
      <c r="B458" s="32"/>
      <c r="C458" s="32"/>
      <c r="D458" s="32"/>
      <c r="E458" s="32"/>
      <c r="F458" s="32"/>
      <c r="G458" s="32"/>
      <c r="H458" s="32"/>
      <c r="I458" s="32"/>
    </row>
    <row r="459">
      <c r="A459" s="137"/>
      <c r="B459" s="32"/>
      <c r="C459" s="32"/>
      <c r="D459" s="32"/>
      <c r="E459" s="32"/>
      <c r="F459" s="32"/>
      <c r="G459" s="32"/>
      <c r="H459" s="32"/>
      <c r="I459" s="32"/>
    </row>
    <row r="460">
      <c r="A460" s="137"/>
      <c r="B460" s="32"/>
      <c r="C460" s="32"/>
      <c r="D460" s="32"/>
      <c r="E460" s="32"/>
      <c r="F460" s="32"/>
      <c r="G460" s="32"/>
      <c r="H460" s="32"/>
      <c r="I460" s="32"/>
    </row>
    <row r="461">
      <c r="A461" s="137"/>
      <c r="B461" s="32"/>
      <c r="C461" s="32"/>
      <c r="D461" s="32"/>
      <c r="E461" s="32"/>
      <c r="F461" s="32"/>
      <c r="G461" s="32"/>
      <c r="H461" s="32"/>
      <c r="I461" s="32"/>
    </row>
    <row r="462">
      <c r="A462" s="137"/>
      <c r="B462" s="32"/>
      <c r="C462" s="32"/>
      <c r="D462" s="32"/>
      <c r="E462" s="32"/>
      <c r="F462" s="32"/>
      <c r="G462" s="32"/>
      <c r="H462" s="32"/>
      <c r="I462" s="32"/>
    </row>
    <row r="463">
      <c r="A463" s="137"/>
      <c r="B463" s="32"/>
      <c r="C463" s="32"/>
      <c r="D463" s="32"/>
      <c r="E463" s="32"/>
      <c r="F463" s="32"/>
      <c r="G463" s="32"/>
      <c r="H463" s="32"/>
      <c r="I463" s="32"/>
    </row>
    <row r="464">
      <c r="A464" s="137"/>
      <c r="B464" s="32"/>
      <c r="C464" s="32"/>
      <c r="D464" s="32"/>
      <c r="E464" s="32"/>
      <c r="F464" s="32"/>
      <c r="G464" s="32"/>
      <c r="H464" s="32"/>
      <c r="I464" s="32"/>
    </row>
    <row r="465">
      <c r="A465" s="137"/>
      <c r="B465" s="32"/>
      <c r="C465" s="32"/>
      <c r="D465" s="32"/>
      <c r="E465" s="32"/>
      <c r="F465" s="32"/>
      <c r="G465" s="32"/>
      <c r="H465" s="32"/>
      <c r="I465" s="32"/>
    </row>
    <row r="466">
      <c r="A466" s="137"/>
      <c r="B466" s="32"/>
      <c r="C466" s="32"/>
      <c r="D466" s="32"/>
      <c r="E466" s="32"/>
      <c r="F466" s="32"/>
      <c r="G466" s="32"/>
      <c r="H466" s="32"/>
      <c r="I466" s="32"/>
    </row>
    <row r="467">
      <c r="A467" s="137"/>
      <c r="B467" s="32"/>
      <c r="C467" s="32"/>
      <c r="D467" s="32"/>
      <c r="E467" s="32"/>
      <c r="F467" s="32"/>
      <c r="G467" s="32"/>
      <c r="H467" s="32"/>
      <c r="I467" s="32"/>
    </row>
    <row r="468">
      <c r="A468" s="137"/>
      <c r="B468" s="32"/>
      <c r="C468" s="32"/>
      <c r="D468" s="32"/>
      <c r="E468" s="32"/>
      <c r="F468" s="32"/>
      <c r="G468" s="32"/>
      <c r="H468" s="32"/>
      <c r="I468" s="32"/>
    </row>
    <row r="469">
      <c r="A469" s="137"/>
      <c r="B469" s="32"/>
      <c r="C469" s="32"/>
      <c r="D469" s="32"/>
      <c r="E469" s="32"/>
      <c r="F469" s="32"/>
      <c r="G469" s="32"/>
      <c r="H469" s="32"/>
      <c r="I469" s="32"/>
    </row>
    <row r="470">
      <c r="A470" s="137"/>
      <c r="B470" s="32"/>
      <c r="C470" s="32"/>
      <c r="D470" s="32"/>
      <c r="E470" s="32"/>
      <c r="F470" s="32"/>
      <c r="G470" s="32"/>
      <c r="H470" s="32"/>
      <c r="I470" s="32"/>
    </row>
    <row r="471">
      <c r="A471" s="137"/>
      <c r="B471" s="32"/>
      <c r="C471" s="32"/>
      <c r="D471" s="32"/>
      <c r="E471" s="32"/>
      <c r="F471" s="32"/>
      <c r="G471" s="32"/>
      <c r="H471" s="32"/>
      <c r="I471" s="32"/>
    </row>
    <row r="472">
      <c r="A472" s="137"/>
      <c r="B472" s="32"/>
      <c r="C472" s="32"/>
      <c r="D472" s="32"/>
      <c r="E472" s="32"/>
      <c r="F472" s="32"/>
      <c r="G472" s="32"/>
      <c r="H472" s="32"/>
      <c r="I472" s="32"/>
    </row>
    <row r="473">
      <c r="A473" s="137"/>
      <c r="B473" s="32"/>
      <c r="C473" s="32"/>
      <c r="D473" s="32"/>
      <c r="E473" s="32"/>
      <c r="F473" s="32"/>
      <c r="G473" s="32"/>
      <c r="H473" s="32"/>
      <c r="I473" s="32"/>
    </row>
    <row r="474">
      <c r="A474" s="137"/>
      <c r="B474" s="32"/>
      <c r="C474" s="32"/>
      <c r="D474" s="32"/>
      <c r="E474" s="32"/>
      <c r="F474" s="32"/>
      <c r="G474" s="32"/>
      <c r="H474" s="32"/>
      <c r="I474" s="32"/>
    </row>
    <row r="475">
      <c r="A475" s="137"/>
      <c r="B475" s="32"/>
      <c r="C475" s="32"/>
      <c r="D475" s="32"/>
      <c r="E475" s="32"/>
      <c r="F475" s="32"/>
      <c r="G475" s="32"/>
      <c r="H475" s="32"/>
      <c r="I475" s="32"/>
    </row>
    <row r="476">
      <c r="A476" s="137"/>
      <c r="B476" s="32"/>
      <c r="C476" s="32"/>
      <c r="D476" s="32"/>
      <c r="E476" s="32"/>
      <c r="F476" s="32"/>
      <c r="G476" s="32"/>
      <c r="H476" s="32"/>
      <c r="I476" s="32"/>
    </row>
    <row r="477">
      <c r="A477" s="137"/>
      <c r="B477" s="32"/>
      <c r="C477" s="32"/>
      <c r="D477" s="32"/>
      <c r="E477" s="32"/>
      <c r="F477" s="32"/>
      <c r="G477" s="32"/>
      <c r="H477" s="32"/>
      <c r="I477" s="32"/>
    </row>
    <row r="478">
      <c r="A478" s="137"/>
      <c r="B478" s="32"/>
      <c r="C478" s="32"/>
      <c r="D478" s="32"/>
      <c r="E478" s="32"/>
      <c r="F478" s="32"/>
      <c r="G478" s="32"/>
      <c r="H478" s="32"/>
      <c r="I478" s="32"/>
    </row>
    <row r="479">
      <c r="A479" s="137"/>
      <c r="B479" s="32"/>
      <c r="C479" s="32"/>
      <c r="D479" s="32"/>
      <c r="E479" s="32"/>
      <c r="F479" s="32"/>
      <c r="G479" s="32"/>
      <c r="H479" s="32"/>
      <c r="I479" s="32"/>
    </row>
    <row r="480">
      <c r="A480" s="137"/>
      <c r="B480" s="32"/>
      <c r="C480" s="32"/>
      <c r="D480" s="32"/>
      <c r="E480" s="32"/>
      <c r="F480" s="32"/>
      <c r="G480" s="32"/>
      <c r="H480" s="32"/>
      <c r="I480" s="32"/>
    </row>
    <row r="481">
      <c r="A481" s="137"/>
      <c r="B481" s="32"/>
      <c r="C481" s="32"/>
      <c r="D481" s="32"/>
      <c r="E481" s="32"/>
      <c r="F481" s="32"/>
      <c r="G481" s="32"/>
      <c r="H481" s="32"/>
      <c r="I481" s="32"/>
    </row>
    <row r="482">
      <c r="A482" s="137"/>
      <c r="B482" s="32"/>
      <c r="C482" s="32"/>
      <c r="D482" s="32"/>
      <c r="E482" s="32"/>
      <c r="F482" s="32"/>
      <c r="G482" s="32"/>
      <c r="H482" s="32"/>
      <c r="I482" s="32"/>
    </row>
    <row r="483">
      <c r="A483" s="137"/>
      <c r="B483" s="32"/>
      <c r="C483" s="32"/>
      <c r="D483" s="32"/>
      <c r="E483" s="32"/>
      <c r="F483" s="32"/>
      <c r="G483" s="32"/>
      <c r="H483" s="32"/>
      <c r="I483" s="32"/>
    </row>
    <row r="484">
      <c r="A484" s="137"/>
      <c r="B484" s="32"/>
      <c r="C484" s="32"/>
      <c r="D484" s="32"/>
      <c r="E484" s="32"/>
      <c r="F484" s="32"/>
      <c r="G484" s="32"/>
      <c r="H484" s="32"/>
      <c r="I484" s="32"/>
    </row>
    <row r="485">
      <c r="A485" s="137"/>
      <c r="B485" s="32"/>
      <c r="C485" s="32"/>
      <c r="D485" s="32"/>
      <c r="E485" s="32"/>
      <c r="F485" s="32"/>
      <c r="G485" s="32"/>
      <c r="H485" s="32"/>
      <c r="I485" s="32"/>
    </row>
    <row r="486">
      <c r="A486" s="137"/>
      <c r="B486" s="32"/>
      <c r="C486" s="32"/>
      <c r="D486" s="32"/>
      <c r="E486" s="32"/>
      <c r="F486" s="32"/>
      <c r="G486" s="32"/>
      <c r="H486" s="32"/>
      <c r="I486" s="32"/>
    </row>
    <row r="487">
      <c r="A487" s="137"/>
      <c r="B487" s="32"/>
      <c r="C487" s="32"/>
      <c r="D487" s="32"/>
      <c r="E487" s="32"/>
      <c r="F487" s="32"/>
      <c r="G487" s="32"/>
      <c r="H487" s="32"/>
      <c r="I487" s="32"/>
    </row>
    <row r="488">
      <c r="A488" s="137"/>
      <c r="B488" s="32"/>
      <c r="C488" s="32"/>
      <c r="D488" s="32"/>
      <c r="E488" s="32"/>
      <c r="F488" s="32"/>
      <c r="G488" s="32"/>
      <c r="H488" s="32"/>
      <c r="I488" s="32"/>
    </row>
    <row r="489">
      <c r="A489" s="137"/>
      <c r="B489" s="32"/>
      <c r="C489" s="32"/>
      <c r="D489" s="32"/>
      <c r="E489" s="32"/>
      <c r="F489" s="32"/>
      <c r="G489" s="32"/>
      <c r="H489" s="32"/>
      <c r="I489" s="32"/>
    </row>
    <row r="490">
      <c r="A490" s="137"/>
      <c r="B490" s="32"/>
      <c r="C490" s="32"/>
      <c r="D490" s="32"/>
      <c r="E490" s="32"/>
      <c r="F490" s="32"/>
      <c r="G490" s="32"/>
      <c r="H490" s="32"/>
      <c r="I490" s="32"/>
    </row>
    <row r="491">
      <c r="A491" s="137"/>
      <c r="B491" s="32"/>
      <c r="C491" s="32"/>
      <c r="D491" s="32"/>
      <c r="E491" s="32"/>
      <c r="F491" s="32"/>
      <c r="G491" s="32"/>
      <c r="H491" s="32"/>
      <c r="I491" s="32"/>
    </row>
    <row r="492">
      <c r="A492" s="137"/>
      <c r="B492" s="32"/>
      <c r="C492" s="32"/>
      <c r="D492" s="32"/>
      <c r="E492" s="32"/>
      <c r="F492" s="32"/>
      <c r="G492" s="32"/>
      <c r="H492" s="32"/>
      <c r="I492" s="32"/>
    </row>
    <row r="493">
      <c r="A493" s="137"/>
      <c r="B493" s="32"/>
      <c r="C493" s="32"/>
      <c r="D493" s="32"/>
      <c r="E493" s="32"/>
      <c r="F493" s="32"/>
      <c r="G493" s="32"/>
      <c r="H493" s="32"/>
      <c r="I493" s="32"/>
    </row>
    <row r="494">
      <c r="A494" s="137"/>
      <c r="B494" s="32"/>
      <c r="C494" s="32"/>
      <c r="D494" s="32"/>
      <c r="E494" s="32"/>
      <c r="F494" s="32"/>
      <c r="G494" s="32"/>
      <c r="H494" s="32"/>
      <c r="I494" s="32"/>
    </row>
    <row r="495">
      <c r="A495" s="137"/>
      <c r="B495" s="32"/>
      <c r="C495" s="32"/>
      <c r="D495" s="32"/>
      <c r="E495" s="32"/>
      <c r="F495" s="32"/>
      <c r="G495" s="32"/>
      <c r="H495" s="32"/>
      <c r="I495" s="32"/>
    </row>
    <row r="496">
      <c r="A496" s="137"/>
      <c r="B496" s="32"/>
      <c r="C496" s="32"/>
      <c r="D496" s="32"/>
      <c r="E496" s="32"/>
      <c r="F496" s="32"/>
      <c r="G496" s="32"/>
      <c r="H496" s="32"/>
      <c r="I496" s="32"/>
    </row>
    <row r="497">
      <c r="A497" s="137"/>
      <c r="B497" s="32"/>
      <c r="C497" s="32"/>
      <c r="D497" s="32"/>
      <c r="E497" s="32"/>
      <c r="F497" s="32"/>
      <c r="G497" s="32"/>
      <c r="H497" s="32"/>
      <c r="I497" s="32"/>
    </row>
    <row r="498">
      <c r="A498" s="137"/>
      <c r="B498" s="32"/>
      <c r="C498" s="32"/>
      <c r="D498" s="32"/>
      <c r="E498" s="32"/>
      <c r="F498" s="32"/>
      <c r="G498" s="32"/>
      <c r="H498" s="32"/>
      <c r="I498" s="32"/>
    </row>
    <row r="499">
      <c r="A499" s="137"/>
      <c r="B499" s="32"/>
      <c r="C499" s="32"/>
      <c r="D499" s="32"/>
      <c r="E499" s="32"/>
      <c r="F499" s="32"/>
      <c r="G499" s="32"/>
      <c r="H499" s="32"/>
      <c r="I499" s="32"/>
    </row>
    <row r="500">
      <c r="A500" s="137"/>
      <c r="B500" s="32"/>
      <c r="C500" s="32"/>
      <c r="D500" s="32"/>
      <c r="E500" s="32"/>
      <c r="F500" s="32"/>
      <c r="G500" s="32"/>
      <c r="H500" s="32"/>
      <c r="I500" s="32"/>
    </row>
    <row r="501">
      <c r="A501" s="137"/>
      <c r="B501" s="32"/>
      <c r="C501" s="32"/>
      <c r="D501" s="32"/>
      <c r="E501" s="32"/>
      <c r="F501" s="32"/>
      <c r="G501" s="32"/>
      <c r="H501" s="32"/>
      <c r="I501" s="32"/>
    </row>
    <row r="502">
      <c r="A502" s="137"/>
      <c r="B502" s="32"/>
      <c r="C502" s="32"/>
      <c r="D502" s="32"/>
      <c r="E502" s="32"/>
      <c r="F502" s="32"/>
      <c r="G502" s="32"/>
      <c r="H502" s="32"/>
      <c r="I502" s="32"/>
    </row>
    <row r="503">
      <c r="A503" s="137"/>
      <c r="B503" s="32"/>
      <c r="C503" s="32"/>
      <c r="D503" s="32"/>
      <c r="E503" s="32"/>
      <c r="F503" s="32"/>
      <c r="G503" s="32"/>
      <c r="H503" s="32"/>
      <c r="I503" s="32"/>
    </row>
    <row r="504">
      <c r="A504" s="137"/>
      <c r="B504" s="32"/>
      <c r="C504" s="32"/>
      <c r="D504" s="32"/>
      <c r="E504" s="32"/>
      <c r="F504" s="32"/>
      <c r="G504" s="32"/>
      <c r="H504" s="32"/>
      <c r="I504" s="32"/>
    </row>
    <row r="505">
      <c r="A505" s="137"/>
      <c r="B505" s="32"/>
      <c r="C505" s="32"/>
      <c r="D505" s="32"/>
      <c r="E505" s="32"/>
      <c r="F505" s="32"/>
      <c r="G505" s="32"/>
      <c r="H505" s="32"/>
      <c r="I505" s="32"/>
    </row>
    <row r="506">
      <c r="A506" s="137"/>
      <c r="B506" s="32"/>
      <c r="C506" s="32"/>
      <c r="D506" s="32"/>
      <c r="E506" s="32"/>
      <c r="F506" s="32"/>
      <c r="G506" s="32"/>
      <c r="H506" s="32"/>
      <c r="I506" s="32"/>
    </row>
    <row r="507">
      <c r="A507" s="137"/>
      <c r="B507" s="32"/>
      <c r="C507" s="32"/>
      <c r="D507" s="32"/>
      <c r="E507" s="32"/>
      <c r="F507" s="32"/>
      <c r="G507" s="32"/>
      <c r="H507" s="32"/>
      <c r="I507" s="32"/>
    </row>
    <row r="508">
      <c r="A508" s="137"/>
      <c r="B508" s="32"/>
      <c r="C508" s="32"/>
      <c r="D508" s="32"/>
      <c r="E508" s="32"/>
      <c r="F508" s="32"/>
      <c r="G508" s="32"/>
      <c r="H508" s="32"/>
      <c r="I508" s="32"/>
    </row>
    <row r="509">
      <c r="A509" s="137"/>
      <c r="B509" s="32"/>
      <c r="C509" s="32"/>
      <c r="D509" s="32"/>
      <c r="E509" s="32"/>
      <c r="F509" s="32"/>
      <c r="G509" s="32"/>
      <c r="H509" s="32"/>
      <c r="I509" s="32"/>
    </row>
    <row r="510">
      <c r="A510" s="137"/>
      <c r="B510" s="32"/>
      <c r="C510" s="32"/>
      <c r="D510" s="32"/>
      <c r="E510" s="32"/>
      <c r="F510" s="32"/>
      <c r="G510" s="32"/>
      <c r="H510" s="32"/>
      <c r="I510" s="32"/>
    </row>
    <row r="511">
      <c r="A511" s="137"/>
      <c r="B511" s="32"/>
      <c r="C511" s="32"/>
      <c r="D511" s="32"/>
      <c r="E511" s="32"/>
      <c r="F511" s="32"/>
      <c r="G511" s="32"/>
      <c r="H511" s="32"/>
      <c r="I511" s="32"/>
    </row>
    <row r="512">
      <c r="A512" s="137"/>
      <c r="B512" s="32"/>
      <c r="C512" s="32"/>
      <c r="D512" s="32"/>
      <c r="E512" s="32"/>
      <c r="F512" s="32"/>
      <c r="G512" s="32"/>
      <c r="H512" s="32"/>
      <c r="I512" s="32"/>
    </row>
    <row r="513">
      <c r="A513" s="137"/>
      <c r="B513" s="32"/>
      <c r="C513" s="32"/>
      <c r="D513" s="32"/>
      <c r="E513" s="32"/>
      <c r="F513" s="32"/>
      <c r="G513" s="32"/>
      <c r="H513" s="32"/>
      <c r="I513" s="32"/>
    </row>
    <row r="514">
      <c r="A514" s="137"/>
      <c r="B514" s="32"/>
      <c r="C514" s="32"/>
      <c r="D514" s="32"/>
      <c r="E514" s="32"/>
      <c r="F514" s="32"/>
      <c r="G514" s="32"/>
      <c r="H514" s="32"/>
      <c r="I514" s="32"/>
    </row>
    <row r="515">
      <c r="A515" s="137"/>
      <c r="B515" s="32"/>
      <c r="C515" s="32"/>
      <c r="D515" s="32"/>
      <c r="E515" s="32"/>
      <c r="F515" s="32"/>
      <c r="G515" s="32"/>
      <c r="H515" s="32"/>
      <c r="I515" s="32"/>
    </row>
    <row r="516">
      <c r="A516" s="137"/>
      <c r="B516" s="32"/>
      <c r="C516" s="32"/>
      <c r="D516" s="32"/>
      <c r="E516" s="32"/>
      <c r="F516" s="32"/>
      <c r="G516" s="32"/>
      <c r="H516" s="32"/>
      <c r="I516" s="32"/>
    </row>
    <row r="517">
      <c r="A517" s="137"/>
      <c r="B517" s="32"/>
      <c r="C517" s="32"/>
      <c r="D517" s="32"/>
      <c r="E517" s="32"/>
      <c r="F517" s="32"/>
      <c r="G517" s="32"/>
      <c r="H517" s="32"/>
      <c r="I517" s="32"/>
    </row>
    <row r="518">
      <c r="A518" s="137"/>
      <c r="B518" s="32"/>
      <c r="C518" s="32"/>
      <c r="D518" s="32"/>
      <c r="E518" s="32"/>
      <c r="F518" s="32"/>
      <c r="G518" s="32"/>
      <c r="H518" s="32"/>
      <c r="I518" s="32"/>
    </row>
    <row r="519">
      <c r="A519" s="137"/>
      <c r="B519" s="32"/>
      <c r="C519" s="32"/>
      <c r="D519" s="32"/>
      <c r="E519" s="32"/>
      <c r="F519" s="32"/>
      <c r="G519" s="32"/>
      <c r="H519" s="32"/>
      <c r="I519" s="32"/>
    </row>
    <row r="520">
      <c r="A520" s="137"/>
      <c r="B520" s="32"/>
      <c r="C520" s="32"/>
      <c r="D520" s="32"/>
      <c r="E520" s="32"/>
      <c r="F520" s="32"/>
      <c r="G520" s="32"/>
      <c r="H520" s="32"/>
      <c r="I520" s="32"/>
    </row>
    <row r="521">
      <c r="A521" s="137"/>
      <c r="B521" s="32"/>
      <c r="C521" s="32"/>
      <c r="D521" s="32"/>
      <c r="E521" s="32"/>
      <c r="F521" s="32"/>
      <c r="G521" s="32"/>
      <c r="H521" s="32"/>
      <c r="I521" s="32"/>
    </row>
    <row r="522">
      <c r="A522" s="137"/>
      <c r="B522" s="32"/>
      <c r="C522" s="32"/>
      <c r="D522" s="32"/>
      <c r="E522" s="32"/>
      <c r="F522" s="32"/>
      <c r="G522" s="32"/>
      <c r="H522" s="32"/>
      <c r="I522" s="32"/>
    </row>
    <row r="523">
      <c r="A523" s="137"/>
      <c r="B523" s="32"/>
      <c r="C523" s="32"/>
      <c r="D523" s="32"/>
      <c r="E523" s="32"/>
      <c r="F523" s="32"/>
      <c r="G523" s="32"/>
      <c r="H523" s="32"/>
      <c r="I523" s="32"/>
    </row>
    <row r="524">
      <c r="A524" s="137"/>
      <c r="B524" s="32"/>
      <c r="C524" s="32"/>
      <c r="D524" s="32"/>
      <c r="E524" s="32"/>
      <c r="F524" s="32"/>
      <c r="G524" s="32"/>
      <c r="H524" s="32"/>
      <c r="I524" s="32"/>
    </row>
    <row r="525">
      <c r="A525" s="137"/>
      <c r="B525" s="32"/>
      <c r="C525" s="32"/>
      <c r="D525" s="32"/>
      <c r="E525" s="32"/>
      <c r="F525" s="32"/>
      <c r="G525" s="32"/>
      <c r="H525" s="32"/>
      <c r="I525" s="32"/>
    </row>
    <row r="526">
      <c r="A526" s="137"/>
      <c r="B526" s="32"/>
      <c r="C526" s="32"/>
      <c r="D526" s="32"/>
      <c r="E526" s="32"/>
      <c r="F526" s="32"/>
      <c r="G526" s="32"/>
      <c r="H526" s="32"/>
      <c r="I526" s="32"/>
    </row>
    <row r="527">
      <c r="A527" s="137"/>
      <c r="B527" s="32"/>
      <c r="C527" s="32"/>
      <c r="D527" s="32"/>
      <c r="E527" s="32"/>
      <c r="F527" s="32"/>
      <c r="G527" s="32"/>
      <c r="H527" s="32"/>
      <c r="I527" s="32"/>
    </row>
    <row r="528">
      <c r="A528" s="137"/>
      <c r="B528" s="32"/>
      <c r="C528" s="32"/>
      <c r="D528" s="32"/>
      <c r="E528" s="32"/>
      <c r="F528" s="32"/>
      <c r="G528" s="32"/>
      <c r="H528" s="32"/>
      <c r="I528" s="32"/>
    </row>
    <row r="529">
      <c r="A529" s="137"/>
      <c r="B529" s="32"/>
      <c r="C529" s="32"/>
      <c r="D529" s="32"/>
      <c r="E529" s="32"/>
      <c r="F529" s="32"/>
      <c r="G529" s="32"/>
      <c r="H529" s="32"/>
      <c r="I529" s="32"/>
    </row>
    <row r="530">
      <c r="A530" s="137"/>
      <c r="B530" s="32"/>
      <c r="C530" s="32"/>
      <c r="D530" s="32"/>
      <c r="E530" s="32"/>
      <c r="F530" s="32"/>
      <c r="G530" s="32"/>
      <c r="H530" s="32"/>
      <c r="I530" s="32"/>
    </row>
    <row r="531">
      <c r="A531" s="137"/>
      <c r="B531" s="32"/>
      <c r="C531" s="32"/>
      <c r="D531" s="32"/>
      <c r="E531" s="32"/>
      <c r="F531" s="32"/>
      <c r="G531" s="32"/>
      <c r="H531" s="32"/>
      <c r="I531" s="32"/>
    </row>
    <row r="532">
      <c r="A532" s="137"/>
      <c r="B532" s="32"/>
      <c r="C532" s="32"/>
      <c r="D532" s="32"/>
      <c r="E532" s="32"/>
      <c r="F532" s="32"/>
      <c r="G532" s="32"/>
      <c r="H532" s="32"/>
      <c r="I532" s="32"/>
    </row>
    <row r="533">
      <c r="A533" s="137"/>
      <c r="B533" s="32"/>
      <c r="C533" s="32"/>
      <c r="D533" s="32"/>
      <c r="E533" s="32"/>
      <c r="F533" s="32"/>
      <c r="G533" s="32"/>
      <c r="H533" s="32"/>
      <c r="I533" s="32"/>
    </row>
    <row r="534">
      <c r="A534" s="137"/>
      <c r="B534" s="32"/>
      <c r="C534" s="32"/>
      <c r="D534" s="32"/>
      <c r="E534" s="32"/>
      <c r="F534" s="32"/>
      <c r="G534" s="32"/>
      <c r="H534" s="32"/>
      <c r="I534" s="32"/>
    </row>
    <row r="535">
      <c r="A535" s="137"/>
      <c r="B535" s="32"/>
      <c r="C535" s="32"/>
      <c r="D535" s="32"/>
      <c r="E535" s="32"/>
      <c r="F535" s="32"/>
      <c r="G535" s="32"/>
      <c r="H535" s="32"/>
      <c r="I535" s="32"/>
    </row>
    <row r="536">
      <c r="A536" s="137"/>
      <c r="B536" s="32"/>
      <c r="C536" s="32"/>
      <c r="D536" s="32"/>
      <c r="E536" s="32"/>
      <c r="F536" s="32"/>
      <c r="G536" s="32"/>
      <c r="H536" s="32"/>
      <c r="I536" s="32"/>
    </row>
    <row r="537">
      <c r="A537" s="137"/>
      <c r="B537" s="32"/>
      <c r="C537" s="32"/>
      <c r="D537" s="32"/>
      <c r="E537" s="32"/>
      <c r="F537" s="32"/>
      <c r="G537" s="32"/>
      <c r="H537" s="32"/>
      <c r="I537" s="32"/>
    </row>
    <row r="538">
      <c r="A538" s="137"/>
      <c r="B538" s="32"/>
      <c r="C538" s="32"/>
      <c r="D538" s="32"/>
      <c r="E538" s="32"/>
      <c r="F538" s="32"/>
      <c r="G538" s="32"/>
      <c r="H538" s="32"/>
      <c r="I538" s="32"/>
    </row>
    <row r="539">
      <c r="A539" s="137"/>
      <c r="B539" s="32"/>
      <c r="C539" s="32"/>
      <c r="D539" s="32"/>
      <c r="E539" s="32"/>
      <c r="F539" s="32"/>
      <c r="G539" s="32"/>
      <c r="H539" s="32"/>
      <c r="I539" s="32"/>
    </row>
    <row r="540">
      <c r="A540" s="137"/>
      <c r="B540" s="32"/>
      <c r="C540" s="32"/>
      <c r="D540" s="32"/>
      <c r="E540" s="32"/>
      <c r="F540" s="32"/>
      <c r="G540" s="32"/>
      <c r="H540" s="32"/>
      <c r="I540" s="32"/>
    </row>
    <row r="541">
      <c r="A541" s="137"/>
      <c r="B541" s="32"/>
      <c r="C541" s="32"/>
      <c r="D541" s="32"/>
      <c r="E541" s="32"/>
      <c r="F541" s="32"/>
      <c r="G541" s="32"/>
      <c r="H541" s="32"/>
      <c r="I541" s="32"/>
    </row>
    <row r="542">
      <c r="A542" s="137"/>
      <c r="B542" s="32"/>
      <c r="C542" s="32"/>
      <c r="D542" s="32"/>
      <c r="E542" s="32"/>
      <c r="F542" s="32"/>
      <c r="G542" s="32"/>
      <c r="H542" s="32"/>
      <c r="I542" s="32"/>
    </row>
    <row r="543">
      <c r="A543" s="137"/>
      <c r="B543" s="32"/>
      <c r="C543" s="32"/>
      <c r="D543" s="32"/>
      <c r="E543" s="32"/>
      <c r="F543" s="32"/>
      <c r="G543" s="32"/>
      <c r="H543" s="32"/>
      <c r="I543" s="32"/>
    </row>
    <row r="544">
      <c r="A544" s="137"/>
      <c r="B544" s="32"/>
      <c r="C544" s="32"/>
      <c r="D544" s="32"/>
      <c r="E544" s="32"/>
      <c r="F544" s="32"/>
      <c r="G544" s="32"/>
      <c r="H544" s="32"/>
      <c r="I544" s="32"/>
    </row>
    <row r="545">
      <c r="A545" s="137"/>
      <c r="B545" s="32"/>
      <c r="C545" s="32"/>
      <c r="D545" s="32"/>
      <c r="E545" s="32"/>
      <c r="F545" s="32"/>
      <c r="G545" s="32"/>
      <c r="H545" s="32"/>
      <c r="I545" s="32"/>
    </row>
    <row r="546">
      <c r="A546" s="137"/>
      <c r="B546" s="32"/>
      <c r="C546" s="32"/>
      <c r="D546" s="32"/>
      <c r="E546" s="32"/>
      <c r="F546" s="32"/>
      <c r="G546" s="32"/>
      <c r="H546" s="32"/>
      <c r="I546" s="32"/>
    </row>
    <row r="547">
      <c r="A547" s="137"/>
      <c r="B547" s="32"/>
      <c r="C547" s="32"/>
      <c r="D547" s="32"/>
      <c r="E547" s="32"/>
      <c r="F547" s="32"/>
      <c r="G547" s="32"/>
      <c r="H547" s="32"/>
      <c r="I547" s="32"/>
    </row>
    <row r="548">
      <c r="A548" s="137"/>
      <c r="B548" s="32"/>
      <c r="C548" s="32"/>
      <c r="D548" s="32"/>
      <c r="E548" s="32"/>
      <c r="F548" s="32"/>
      <c r="G548" s="32"/>
      <c r="H548" s="32"/>
      <c r="I548" s="32"/>
    </row>
    <row r="549">
      <c r="A549" s="137"/>
      <c r="B549" s="32"/>
      <c r="C549" s="32"/>
      <c r="D549" s="32"/>
      <c r="E549" s="32"/>
      <c r="F549" s="32"/>
      <c r="G549" s="32"/>
      <c r="H549" s="32"/>
      <c r="I549" s="32"/>
    </row>
    <row r="550">
      <c r="A550" s="137"/>
      <c r="B550" s="32"/>
      <c r="C550" s="32"/>
      <c r="D550" s="32"/>
      <c r="E550" s="32"/>
      <c r="F550" s="32"/>
      <c r="G550" s="32"/>
      <c r="H550" s="32"/>
      <c r="I550" s="32"/>
    </row>
    <row r="551">
      <c r="A551" s="137"/>
      <c r="B551" s="32"/>
      <c r="C551" s="32"/>
      <c r="D551" s="32"/>
      <c r="E551" s="32"/>
      <c r="F551" s="32"/>
      <c r="G551" s="32"/>
      <c r="H551" s="32"/>
      <c r="I551" s="32"/>
    </row>
    <row r="552">
      <c r="A552" s="137"/>
      <c r="B552" s="32"/>
      <c r="C552" s="32"/>
      <c r="D552" s="32"/>
      <c r="E552" s="32"/>
      <c r="F552" s="32"/>
      <c r="G552" s="32"/>
      <c r="H552" s="32"/>
      <c r="I552" s="32"/>
    </row>
    <row r="553">
      <c r="A553" s="137"/>
      <c r="B553" s="32"/>
      <c r="C553" s="32"/>
      <c r="D553" s="32"/>
      <c r="E553" s="32"/>
      <c r="F553" s="32"/>
      <c r="G553" s="32"/>
      <c r="H553" s="32"/>
      <c r="I553" s="32"/>
    </row>
    <row r="554">
      <c r="A554" s="137"/>
      <c r="B554" s="32"/>
      <c r="C554" s="32"/>
      <c r="D554" s="32"/>
      <c r="E554" s="32"/>
      <c r="F554" s="32"/>
      <c r="G554" s="32"/>
      <c r="H554" s="32"/>
      <c r="I554" s="32"/>
    </row>
    <row r="555">
      <c r="A555" s="137"/>
      <c r="B555" s="32"/>
      <c r="C555" s="32"/>
      <c r="D555" s="32"/>
      <c r="E555" s="32"/>
      <c r="F555" s="32"/>
      <c r="G555" s="32"/>
      <c r="H555" s="32"/>
      <c r="I555" s="32"/>
    </row>
    <row r="556">
      <c r="A556" s="137"/>
      <c r="B556" s="32"/>
      <c r="C556" s="32"/>
      <c r="D556" s="32"/>
      <c r="E556" s="32"/>
      <c r="F556" s="32"/>
      <c r="G556" s="32"/>
      <c r="H556" s="32"/>
      <c r="I556" s="32"/>
    </row>
    <row r="557">
      <c r="A557" s="137"/>
      <c r="B557" s="32"/>
      <c r="C557" s="32"/>
      <c r="D557" s="32"/>
      <c r="E557" s="32"/>
      <c r="F557" s="32"/>
      <c r="G557" s="32"/>
      <c r="H557" s="32"/>
      <c r="I557" s="32"/>
    </row>
    <row r="558">
      <c r="A558" s="137"/>
      <c r="B558" s="32"/>
      <c r="C558" s="32"/>
      <c r="D558" s="32"/>
      <c r="E558" s="32"/>
      <c r="F558" s="32"/>
      <c r="G558" s="32"/>
      <c r="H558" s="32"/>
      <c r="I558" s="32"/>
    </row>
    <row r="559">
      <c r="A559" s="137"/>
      <c r="B559" s="32"/>
      <c r="C559" s="32"/>
      <c r="D559" s="32"/>
      <c r="E559" s="32"/>
      <c r="F559" s="32"/>
      <c r="G559" s="32"/>
      <c r="H559" s="32"/>
      <c r="I559" s="32"/>
    </row>
    <row r="560">
      <c r="A560" s="137"/>
      <c r="B560" s="32"/>
      <c r="C560" s="32"/>
      <c r="D560" s="32"/>
      <c r="E560" s="32"/>
      <c r="F560" s="32"/>
      <c r="G560" s="32"/>
      <c r="H560" s="32"/>
      <c r="I560" s="32"/>
    </row>
    <row r="561">
      <c r="A561" s="137"/>
      <c r="B561" s="32"/>
      <c r="C561" s="32"/>
      <c r="D561" s="32"/>
      <c r="E561" s="32"/>
      <c r="F561" s="32"/>
      <c r="G561" s="32"/>
      <c r="H561" s="32"/>
      <c r="I561" s="32"/>
    </row>
    <row r="562">
      <c r="A562" s="137"/>
      <c r="B562" s="32"/>
      <c r="C562" s="32"/>
      <c r="D562" s="32"/>
      <c r="E562" s="32"/>
      <c r="F562" s="32"/>
      <c r="G562" s="32"/>
      <c r="H562" s="32"/>
      <c r="I562" s="32"/>
    </row>
    <row r="563">
      <c r="A563" s="137"/>
      <c r="B563" s="32"/>
      <c r="C563" s="32"/>
      <c r="D563" s="32"/>
      <c r="E563" s="32"/>
      <c r="F563" s="32"/>
      <c r="G563" s="32"/>
      <c r="H563" s="32"/>
      <c r="I563" s="32"/>
    </row>
    <row r="564">
      <c r="A564" s="137"/>
      <c r="B564" s="32"/>
      <c r="C564" s="32"/>
      <c r="D564" s="32"/>
      <c r="E564" s="32"/>
      <c r="F564" s="32"/>
      <c r="G564" s="32"/>
      <c r="H564" s="32"/>
      <c r="I564" s="32"/>
    </row>
    <row r="565">
      <c r="A565" s="137"/>
      <c r="B565" s="32"/>
      <c r="C565" s="32"/>
      <c r="D565" s="32"/>
      <c r="E565" s="32"/>
      <c r="F565" s="32"/>
      <c r="G565" s="32"/>
      <c r="H565" s="32"/>
      <c r="I565" s="32"/>
    </row>
    <row r="566">
      <c r="A566" s="137"/>
      <c r="B566" s="32"/>
      <c r="C566" s="32"/>
      <c r="D566" s="32"/>
      <c r="E566" s="32"/>
      <c r="F566" s="32"/>
      <c r="G566" s="32"/>
      <c r="H566" s="32"/>
      <c r="I566" s="32"/>
    </row>
    <row r="567">
      <c r="A567" s="137"/>
      <c r="B567" s="32"/>
      <c r="C567" s="32"/>
      <c r="D567" s="32"/>
      <c r="E567" s="32"/>
      <c r="F567" s="32"/>
      <c r="G567" s="32"/>
      <c r="H567" s="32"/>
      <c r="I567" s="32"/>
    </row>
    <row r="568">
      <c r="A568" s="137"/>
      <c r="B568" s="32"/>
      <c r="C568" s="32"/>
      <c r="D568" s="32"/>
      <c r="E568" s="32"/>
      <c r="F568" s="32"/>
      <c r="G568" s="32"/>
      <c r="H568" s="32"/>
      <c r="I568" s="32"/>
    </row>
    <row r="569">
      <c r="A569" s="137"/>
      <c r="B569" s="32"/>
      <c r="C569" s="32"/>
      <c r="D569" s="32"/>
      <c r="E569" s="32"/>
      <c r="F569" s="32"/>
      <c r="G569" s="32"/>
      <c r="H569" s="32"/>
      <c r="I569" s="32"/>
    </row>
    <row r="570">
      <c r="A570" s="137"/>
      <c r="B570" s="32"/>
      <c r="C570" s="32"/>
      <c r="D570" s="32"/>
      <c r="E570" s="32"/>
      <c r="F570" s="32"/>
      <c r="G570" s="32"/>
      <c r="H570" s="32"/>
      <c r="I570" s="32"/>
    </row>
    <row r="571">
      <c r="A571" s="137"/>
      <c r="B571" s="32"/>
      <c r="C571" s="32"/>
      <c r="D571" s="32"/>
      <c r="E571" s="32"/>
      <c r="F571" s="32"/>
      <c r="G571" s="32"/>
      <c r="H571" s="32"/>
      <c r="I571" s="32"/>
    </row>
    <row r="572">
      <c r="A572" s="137"/>
      <c r="B572" s="32"/>
      <c r="C572" s="32"/>
      <c r="D572" s="32"/>
      <c r="E572" s="32"/>
      <c r="F572" s="32"/>
      <c r="G572" s="32"/>
      <c r="H572" s="32"/>
      <c r="I572" s="32"/>
    </row>
    <row r="573">
      <c r="A573" s="137"/>
      <c r="B573" s="32"/>
      <c r="C573" s="32"/>
      <c r="D573" s="32"/>
      <c r="E573" s="32"/>
      <c r="F573" s="32"/>
      <c r="G573" s="32"/>
      <c r="H573" s="32"/>
      <c r="I573" s="32"/>
    </row>
    <row r="574">
      <c r="A574" s="137"/>
      <c r="B574" s="32"/>
      <c r="C574" s="32"/>
      <c r="D574" s="32"/>
      <c r="E574" s="32"/>
      <c r="F574" s="32"/>
      <c r="G574" s="32"/>
      <c r="H574" s="32"/>
      <c r="I574" s="32"/>
    </row>
    <row r="575">
      <c r="A575" s="137"/>
      <c r="B575" s="32"/>
      <c r="C575" s="32"/>
      <c r="D575" s="32"/>
      <c r="E575" s="32"/>
      <c r="F575" s="32"/>
      <c r="G575" s="32"/>
      <c r="H575" s="32"/>
      <c r="I575" s="32"/>
    </row>
    <row r="576">
      <c r="A576" s="137"/>
      <c r="B576" s="32"/>
      <c r="C576" s="32"/>
      <c r="D576" s="32"/>
      <c r="E576" s="32"/>
      <c r="F576" s="32"/>
      <c r="G576" s="32"/>
      <c r="H576" s="32"/>
      <c r="I576" s="32"/>
    </row>
    <row r="577">
      <c r="A577" s="137"/>
      <c r="B577" s="32"/>
      <c r="C577" s="32"/>
      <c r="D577" s="32"/>
      <c r="E577" s="32"/>
      <c r="F577" s="32"/>
      <c r="G577" s="32"/>
      <c r="H577" s="32"/>
      <c r="I577" s="32"/>
    </row>
    <row r="578">
      <c r="A578" s="137"/>
      <c r="B578" s="32"/>
      <c r="C578" s="32"/>
      <c r="D578" s="32"/>
      <c r="E578" s="32"/>
      <c r="F578" s="32"/>
      <c r="G578" s="32"/>
      <c r="H578" s="32"/>
      <c r="I578" s="32"/>
    </row>
    <row r="579">
      <c r="A579" s="137"/>
      <c r="B579" s="32"/>
      <c r="C579" s="32"/>
      <c r="D579" s="32"/>
      <c r="E579" s="32"/>
      <c r="F579" s="32"/>
      <c r="G579" s="32"/>
      <c r="H579" s="32"/>
      <c r="I579" s="32"/>
    </row>
    <row r="580">
      <c r="A580" s="137"/>
      <c r="B580" s="32"/>
      <c r="C580" s="32"/>
      <c r="D580" s="32"/>
      <c r="E580" s="32"/>
      <c r="F580" s="32"/>
      <c r="G580" s="32"/>
      <c r="H580" s="32"/>
      <c r="I580" s="32"/>
    </row>
    <row r="581">
      <c r="A581" s="137"/>
      <c r="B581" s="32"/>
      <c r="C581" s="32"/>
      <c r="D581" s="32"/>
      <c r="E581" s="32"/>
      <c r="F581" s="32"/>
      <c r="G581" s="32"/>
      <c r="H581" s="32"/>
      <c r="I581" s="32"/>
    </row>
    <row r="582">
      <c r="A582" s="137"/>
      <c r="B582" s="32"/>
      <c r="C582" s="32"/>
      <c r="D582" s="32"/>
      <c r="E582" s="32"/>
      <c r="F582" s="32"/>
      <c r="G582" s="32"/>
      <c r="H582" s="32"/>
      <c r="I582" s="32"/>
    </row>
    <row r="583">
      <c r="A583" s="137"/>
      <c r="B583" s="32"/>
      <c r="C583" s="32"/>
      <c r="D583" s="32"/>
      <c r="E583" s="32"/>
      <c r="F583" s="32"/>
      <c r="G583" s="32"/>
      <c r="H583" s="32"/>
      <c r="I583" s="32"/>
    </row>
    <row r="584">
      <c r="A584" s="137"/>
      <c r="B584" s="32"/>
      <c r="C584" s="32"/>
      <c r="D584" s="32"/>
      <c r="E584" s="32"/>
      <c r="F584" s="32"/>
      <c r="G584" s="32"/>
      <c r="H584" s="32"/>
      <c r="I584" s="32"/>
    </row>
    <row r="585">
      <c r="A585" s="137"/>
      <c r="B585" s="32"/>
      <c r="C585" s="32"/>
      <c r="D585" s="32"/>
      <c r="E585" s="32"/>
      <c r="F585" s="32"/>
      <c r="G585" s="32"/>
      <c r="H585" s="32"/>
      <c r="I585" s="32"/>
    </row>
    <row r="586">
      <c r="A586" s="137"/>
      <c r="B586" s="32"/>
      <c r="C586" s="32"/>
      <c r="D586" s="32"/>
      <c r="E586" s="32"/>
      <c r="F586" s="32"/>
      <c r="G586" s="32"/>
      <c r="H586" s="32"/>
      <c r="I586" s="32"/>
    </row>
    <row r="587">
      <c r="A587" s="137"/>
      <c r="B587" s="32"/>
      <c r="C587" s="32"/>
      <c r="D587" s="32"/>
      <c r="E587" s="32"/>
      <c r="F587" s="32"/>
      <c r="G587" s="32"/>
      <c r="H587" s="32"/>
      <c r="I587" s="32"/>
    </row>
    <row r="588">
      <c r="A588" s="137"/>
      <c r="B588" s="32"/>
      <c r="C588" s="32"/>
      <c r="D588" s="32"/>
      <c r="E588" s="32"/>
      <c r="F588" s="32"/>
      <c r="G588" s="32"/>
      <c r="H588" s="32"/>
      <c r="I588" s="32"/>
    </row>
    <row r="589">
      <c r="A589" s="137"/>
      <c r="B589" s="32"/>
      <c r="C589" s="32"/>
      <c r="D589" s="32"/>
      <c r="E589" s="32"/>
      <c r="F589" s="32"/>
      <c r="G589" s="32"/>
      <c r="H589" s="32"/>
      <c r="I589" s="32"/>
    </row>
    <row r="590">
      <c r="A590" s="137"/>
      <c r="B590" s="32"/>
      <c r="C590" s="32"/>
      <c r="D590" s="32"/>
      <c r="E590" s="32"/>
      <c r="F590" s="32"/>
      <c r="G590" s="32"/>
      <c r="H590" s="32"/>
      <c r="I590" s="32"/>
    </row>
    <row r="591">
      <c r="A591" s="137"/>
      <c r="B591" s="32"/>
      <c r="C591" s="32"/>
      <c r="D591" s="32"/>
      <c r="E591" s="32"/>
      <c r="F591" s="32"/>
      <c r="G591" s="32"/>
      <c r="H591" s="32"/>
      <c r="I591" s="32"/>
    </row>
    <row r="592">
      <c r="A592" s="137"/>
      <c r="B592" s="32"/>
      <c r="C592" s="32"/>
      <c r="D592" s="32"/>
      <c r="E592" s="32"/>
      <c r="F592" s="32"/>
      <c r="G592" s="32"/>
      <c r="H592" s="32"/>
      <c r="I592" s="32"/>
    </row>
    <row r="593">
      <c r="A593" s="137"/>
      <c r="B593" s="32"/>
      <c r="C593" s="32"/>
      <c r="D593" s="32"/>
      <c r="E593" s="32"/>
      <c r="F593" s="32"/>
      <c r="G593" s="32"/>
      <c r="H593" s="32"/>
      <c r="I593" s="32"/>
    </row>
    <row r="594">
      <c r="A594" s="137"/>
      <c r="B594" s="32"/>
      <c r="C594" s="32"/>
      <c r="D594" s="32"/>
      <c r="E594" s="32"/>
      <c r="F594" s="32"/>
      <c r="G594" s="32"/>
      <c r="H594" s="32"/>
      <c r="I594" s="32"/>
    </row>
    <row r="595">
      <c r="A595" s="137"/>
      <c r="B595" s="32"/>
      <c r="C595" s="32"/>
      <c r="D595" s="32"/>
      <c r="E595" s="32"/>
      <c r="F595" s="32"/>
      <c r="G595" s="32"/>
      <c r="H595" s="32"/>
      <c r="I595" s="32"/>
    </row>
    <row r="596">
      <c r="A596" s="137"/>
      <c r="B596" s="32"/>
      <c r="C596" s="32"/>
      <c r="D596" s="32"/>
      <c r="E596" s="32"/>
      <c r="F596" s="32"/>
      <c r="G596" s="32"/>
      <c r="H596" s="32"/>
      <c r="I596" s="32"/>
    </row>
    <row r="597">
      <c r="A597" s="137"/>
      <c r="B597" s="32"/>
      <c r="C597" s="32"/>
      <c r="D597" s="32"/>
      <c r="E597" s="32"/>
      <c r="F597" s="32"/>
      <c r="G597" s="32"/>
      <c r="H597" s="32"/>
      <c r="I597" s="32"/>
    </row>
    <row r="598">
      <c r="A598" s="137"/>
      <c r="B598" s="32"/>
      <c r="C598" s="32"/>
      <c r="D598" s="32"/>
      <c r="E598" s="32"/>
      <c r="F598" s="32"/>
      <c r="G598" s="32"/>
      <c r="H598" s="32"/>
      <c r="I598" s="32"/>
    </row>
    <row r="599">
      <c r="A599" s="137"/>
      <c r="B599" s="32"/>
      <c r="C599" s="32"/>
      <c r="D599" s="32"/>
      <c r="E599" s="32"/>
      <c r="F599" s="32"/>
      <c r="G599" s="32"/>
      <c r="H599" s="32"/>
      <c r="I599" s="32"/>
    </row>
    <row r="600">
      <c r="A600" s="137"/>
      <c r="B600" s="32"/>
      <c r="C600" s="32"/>
      <c r="D600" s="32"/>
      <c r="E600" s="32"/>
      <c r="F600" s="32"/>
      <c r="G600" s="32"/>
      <c r="H600" s="32"/>
      <c r="I600" s="32"/>
    </row>
    <row r="601">
      <c r="A601" s="137"/>
      <c r="B601" s="32"/>
      <c r="C601" s="32"/>
      <c r="D601" s="32"/>
      <c r="E601" s="32"/>
      <c r="F601" s="32"/>
      <c r="G601" s="32"/>
      <c r="H601" s="32"/>
      <c r="I601" s="32"/>
    </row>
    <row r="602">
      <c r="A602" s="137"/>
      <c r="B602" s="32"/>
      <c r="C602" s="32"/>
      <c r="D602" s="32"/>
      <c r="E602" s="32"/>
      <c r="F602" s="32"/>
      <c r="G602" s="32"/>
      <c r="H602" s="32"/>
      <c r="I602" s="32"/>
    </row>
    <row r="603">
      <c r="A603" s="137"/>
      <c r="B603" s="32"/>
      <c r="C603" s="32"/>
      <c r="D603" s="32"/>
      <c r="E603" s="32"/>
      <c r="F603" s="32"/>
      <c r="G603" s="32"/>
      <c r="H603" s="32"/>
      <c r="I603" s="32"/>
    </row>
    <row r="604">
      <c r="A604" s="137"/>
      <c r="B604" s="32"/>
      <c r="C604" s="32"/>
      <c r="D604" s="32"/>
      <c r="E604" s="32"/>
      <c r="F604" s="32"/>
      <c r="G604" s="32"/>
      <c r="H604" s="32"/>
      <c r="I604" s="32"/>
    </row>
    <row r="605">
      <c r="A605" s="137"/>
      <c r="B605" s="32"/>
      <c r="C605" s="32"/>
      <c r="D605" s="32"/>
      <c r="E605" s="32"/>
      <c r="F605" s="32"/>
      <c r="G605" s="32"/>
      <c r="H605" s="32"/>
      <c r="I605" s="32"/>
    </row>
    <row r="606">
      <c r="A606" s="137"/>
      <c r="B606" s="32"/>
      <c r="C606" s="32"/>
      <c r="D606" s="32"/>
      <c r="E606" s="32"/>
      <c r="F606" s="32"/>
      <c r="G606" s="32"/>
      <c r="H606" s="32"/>
      <c r="I606" s="32"/>
    </row>
    <row r="607">
      <c r="A607" s="137"/>
      <c r="B607" s="32"/>
      <c r="C607" s="32"/>
      <c r="D607" s="32"/>
      <c r="E607" s="32"/>
      <c r="F607" s="32"/>
      <c r="G607" s="32"/>
      <c r="H607" s="32"/>
      <c r="I607" s="32"/>
    </row>
    <row r="608">
      <c r="A608" s="137"/>
      <c r="B608" s="32"/>
      <c r="C608" s="32"/>
      <c r="D608" s="32"/>
      <c r="E608" s="32"/>
      <c r="F608" s="32"/>
      <c r="G608" s="32"/>
      <c r="H608" s="32"/>
      <c r="I608" s="32"/>
    </row>
    <row r="609">
      <c r="A609" s="137"/>
      <c r="B609" s="32"/>
      <c r="C609" s="32"/>
      <c r="D609" s="32"/>
      <c r="E609" s="32"/>
      <c r="F609" s="32"/>
      <c r="G609" s="32"/>
      <c r="H609" s="32"/>
      <c r="I609" s="32"/>
    </row>
    <row r="610">
      <c r="A610" s="137"/>
      <c r="B610" s="32"/>
      <c r="C610" s="32"/>
      <c r="D610" s="32"/>
      <c r="E610" s="32"/>
      <c r="F610" s="32"/>
      <c r="G610" s="32"/>
      <c r="H610" s="32"/>
      <c r="I610" s="32"/>
    </row>
    <row r="611">
      <c r="A611" s="137"/>
      <c r="B611" s="32"/>
      <c r="C611" s="32"/>
      <c r="D611" s="32"/>
      <c r="E611" s="32"/>
      <c r="F611" s="32"/>
      <c r="G611" s="32"/>
      <c r="H611" s="32"/>
      <c r="I611" s="32"/>
    </row>
    <row r="612">
      <c r="A612" s="137"/>
      <c r="B612" s="32"/>
      <c r="C612" s="32"/>
      <c r="D612" s="32"/>
      <c r="E612" s="32"/>
      <c r="F612" s="32"/>
      <c r="G612" s="32"/>
      <c r="H612" s="32"/>
      <c r="I612" s="32"/>
    </row>
    <row r="613">
      <c r="A613" s="137"/>
      <c r="B613" s="32"/>
      <c r="C613" s="32"/>
      <c r="D613" s="32"/>
      <c r="E613" s="32"/>
      <c r="F613" s="32"/>
      <c r="G613" s="32"/>
      <c r="H613" s="32"/>
      <c r="I613" s="32"/>
    </row>
    <row r="614">
      <c r="A614" s="137"/>
      <c r="B614" s="32"/>
      <c r="C614" s="32"/>
      <c r="D614" s="32"/>
      <c r="E614" s="32"/>
      <c r="F614" s="32"/>
      <c r="G614" s="32"/>
      <c r="H614" s="32"/>
      <c r="I614" s="32"/>
    </row>
    <row r="615">
      <c r="A615" s="137"/>
      <c r="B615" s="32"/>
      <c r="C615" s="32"/>
      <c r="D615" s="32"/>
      <c r="E615" s="32"/>
      <c r="F615" s="32"/>
      <c r="G615" s="32"/>
      <c r="H615" s="32"/>
      <c r="I615" s="32"/>
    </row>
    <row r="616">
      <c r="A616" s="137"/>
      <c r="B616" s="32"/>
      <c r="C616" s="32"/>
      <c r="D616" s="32"/>
      <c r="E616" s="32"/>
      <c r="F616" s="32"/>
      <c r="G616" s="32"/>
      <c r="H616" s="32"/>
      <c r="I616" s="32"/>
    </row>
    <row r="617">
      <c r="A617" s="137"/>
      <c r="B617" s="32"/>
      <c r="C617" s="32"/>
      <c r="D617" s="32"/>
      <c r="E617" s="32"/>
      <c r="F617" s="32"/>
      <c r="G617" s="32"/>
      <c r="H617" s="32"/>
      <c r="I617" s="32"/>
    </row>
    <row r="618">
      <c r="A618" s="137"/>
      <c r="B618" s="32"/>
      <c r="C618" s="32"/>
      <c r="D618" s="32"/>
      <c r="E618" s="32"/>
      <c r="F618" s="32"/>
      <c r="G618" s="32"/>
      <c r="H618" s="32"/>
      <c r="I618" s="32"/>
    </row>
    <row r="619">
      <c r="A619" s="137"/>
      <c r="B619" s="32"/>
      <c r="C619" s="32"/>
      <c r="D619" s="32"/>
      <c r="E619" s="32"/>
      <c r="F619" s="32"/>
      <c r="G619" s="32"/>
      <c r="H619" s="32"/>
      <c r="I619" s="32"/>
    </row>
    <row r="620">
      <c r="A620" s="137"/>
      <c r="B620" s="32"/>
      <c r="C620" s="32"/>
      <c r="D620" s="32"/>
      <c r="E620" s="32"/>
      <c r="F620" s="32"/>
      <c r="G620" s="32"/>
      <c r="H620" s="32"/>
      <c r="I620" s="32"/>
    </row>
    <row r="621">
      <c r="A621" s="137"/>
      <c r="B621" s="32"/>
      <c r="C621" s="32"/>
      <c r="D621" s="32"/>
      <c r="E621" s="32"/>
      <c r="F621" s="32"/>
      <c r="G621" s="32"/>
      <c r="H621" s="32"/>
      <c r="I621" s="32"/>
    </row>
    <row r="622">
      <c r="A622" s="137"/>
      <c r="B622" s="32"/>
      <c r="C622" s="32"/>
      <c r="D622" s="32"/>
      <c r="E622" s="32"/>
      <c r="F622" s="32"/>
      <c r="G622" s="32"/>
      <c r="H622" s="32"/>
      <c r="I622" s="32"/>
    </row>
    <row r="623">
      <c r="A623" s="137"/>
      <c r="B623" s="32"/>
      <c r="C623" s="32"/>
      <c r="D623" s="32"/>
      <c r="E623" s="32"/>
      <c r="F623" s="32"/>
      <c r="G623" s="32"/>
      <c r="H623" s="32"/>
      <c r="I623" s="32"/>
    </row>
    <row r="624">
      <c r="A624" s="137"/>
      <c r="B624" s="32"/>
      <c r="C624" s="32"/>
      <c r="D624" s="32"/>
      <c r="E624" s="32"/>
      <c r="F624" s="32"/>
      <c r="G624" s="32"/>
      <c r="H624" s="32"/>
      <c r="I624" s="32"/>
    </row>
    <row r="625">
      <c r="A625" s="137"/>
      <c r="B625" s="32"/>
      <c r="C625" s="32"/>
      <c r="D625" s="32"/>
      <c r="E625" s="32"/>
      <c r="F625" s="32"/>
      <c r="G625" s="32"/>
      <c r="H625" s="32"/>
      <c r="I625" s="32"/>
    </row>
    <row r="626">
      <c r="A626" s="137"/>
      <c r="B626" s="32"/>
      <c r="C626" s="32"/>
      <c r="D626" s="32"/>
      <c r="E626" s="32"/>
      <c r="F626" s="32"/>
      <c r="G626" s="32"/>
      <c r="H626" s="32"/>
      <c r="I626" s="32"/>
    </row>
    <row r="627">
      <c r="A627" s="137"/>
      <c r="B627" s="32"/>
      <c r="C627" s="32"/>
      <c r="D627" s="32"/>
      <c r="E627" s="32"/>
      <c r="F627" s="32"/>
      <c r="G627" s="32"/>
      <c r="H627" s="32"/>
      <c r="I627" s="32"/>
    </row>
    <row r="628">
      <c r="A628" s="137"/>
      <c r="B628" s="32"/>
      <c r="C628" s="32"/>
      <c r="D628" s="32"/>
      <c r="E628" s="32"/>
      <c r="F628" s="32"/>
      <c r="G628" s="32"/>
      <c r="H628" s="32"/>
      <c r="I628" s="32"/>
    </row>
    <row r="629">
      <c r="A629" s="137"/>
      <c r="B629" s="32"/>
      <c r="C629" s="32"/>
      <c r="D629" s="32"/>
      <c r="E629" s="32"/>
      <c r="F629" s="32"/>
      <c r="G629" s="32"/>
      <c r="H629" s="32"/>
      <c r="I629" s="32"/>
    </row>
    <row r="630">
      <c r="A630" s="137"/>
      <c r="B630" s="32"/>
      <c r="C630" s="32"/>
      <c r="D630" s="32"/>
      <c r="E630" s="32"/>
      <c r="F630" s="32"/>
      <c r="G630" s="32"/>
      <c r="H630" s="32"/>
      <c r="I630" s="32"/>
    </row>
    <row r="631">
      <c r="A631" s="137"/>
      <c r="B631" s="32"/>
      <c r="C631" s="32"/>
      <c r="D631" s="32"/>
      <c r="E631" s="32"/>
      <c r="F631" s="32"/>
      <c r="G631" s="32"/>
      <c r="H631" s="32"/>
      <c r="I631" s="32"/>
    </row>
    <row r="632">
      <c r="A632" s="137"/>
      <c r="B632" s="32"/>
      <c r="C632" s="32"/>
      <c r="D632" s="32"/>
      <c r="E632" s="32"/>
      <c r="F632" s="32"/>
      <c r="G632" s="32"/>
      <c r="H632" s="32"/>
      <c r="I632" s="32"/>
    </row>
    <row r="633">
      <c r="A633" s="137"/>
      <c r="B633" s="32"/>
      <c r="C633" s="32"/>
      <c r="D633" s="32"/>
      <c r="E633" s="32"/>
      <c r="F633" s="32"/>
      <c r="G633" s="32"/>
      <c r="H633" s="32"/>
      <c r="I633" s="32"/>
    </row>
    <row r="634">
      <c r="A634" s="137"/>
      <c r="B634" s="32"/>
      <c r="C634" s="32"/>
      <c r="D634" s="32"/>
      <c r="E634" s="32"/>
      <c r="F634" s="32"/>
      <c r="G634" s="32"/>
      <c r="H634" s="32"/>
      <c r="I634" s="32"/>
    </row>
    <row r="635">
      <c r="A635" s="137"/>
      <c r="B635" s="32"/>
      <c r="C635" s="32"/>
      <c r="D635" s="32"/>
      <c r="E635" s="32"/>
      <c r="F635" s="32"/>
      <c r="G635" s="32"/>
      <c r="H635" s="32"/>
      <c r="I635" s="32"/>
    </row>
    <row r="636">
      <c r="A636" s="137"/>
      <c r="B636" s="32"/>
      <c r="C636" s="32"/>
      <c r="D636" s="32"/>
      <c r="E636" s="32"/>
      <c r="F636" s="32"/>
      <c r="G636" s="32"/>
      <c r="H636" s="32"/>
      <c r="I636" s="32"/>
    </row>
    <row r="637">
      <c r="A637" s="137"/>
      <c r="B637" s="32"/>
      <c r="C637" s="32"/>
      <c r="D637" s="32"/>
      <c r="E637" s="32"/>
      <c r="F637" s="32"/>
      <c r="G637" s="32"/>
      <c r="H637" s="32"/>
      <c r="I637" s="32"/>
    </row>
    <row r="638">
      <c r="A638" s="137"/>
      <c r="B638" s="32"/>
      <c r="C638" s="32"/>
      <c r="D638" s="32"/>
      <c r="E638" s="32"/>
      <c r="F638" s="32"/>
      <c r="G638" s="32"/>
      <c r="H638" s="32"/>
      <c r="I638" s="32"/>
    </row>
    <row r="639">
      <c r="A639" s="137"/>
      <c r="B639" s="32"/>
      <c r="C639" s="32"/>
      <c r="D639" s="32"/>
      <c r="E639" s="32"/>
      <c r="F639" s="32"/>
      <c r="G639" s="32"/>
      <c r="H639" s="32"/>
      <c r="I639" s="32"/>
    </row>
    <row r="640">
      <c r="A640" s="137"/>
      <c r="B640" s="32"/>
      <c r="C640" s="32"/>
      <c r="D640" s="32"/>
      <c r="E640" s="32"/>
      <c r="F640" s="32"/>
      <c r="G640" s="32"/>
      <c r="H640" s="32"/>
      <c r="I640" s="32"/>
    </row>
    <row r="641">
      <c r="A641" s="137"/>
      <c r="B641" s="32"/>
      <c r="C641" s="32"/>
      <c r="D641" s="32"/>
      <c r="E641" s="32"/>
      <c r="F641" s="32"/>
      <c r="G641" s="32"/>
      <c r="H641" s="32"/>
      <c r="I641" s="32"/>
    </row>
    <row r="642">
      <c r="A642" s="137"/>
      <c r="B642" s="32"/>
      <c r="C642" s="32"/>
      <c r="D642" s="32"/>
      <c r="E642" s="32"/>
      <c r="F642" s="32"/>
      <c r="G642" s="32"/>
      <c r="H642" s="32"/>
      <c r="I642" s="32"/>
    </row>
    <row r="643">
      <c r="A643" s="137"/>
      <c r="B643" s="32"/>
      <c r="C643" s="32"/>
      <c r="D643" s="32"/>
      <c r="E643" s="32"/>
      <c r="F643" s="32"/>
      <c r="G643" s="32"/>
      <c r="H643" s="32"/>
      <c r="I643" s="32"/>
    </row>
    <row r="644">
      <c r="A644" s="137"/>
      <c r="B644" s="32"/>
      <c r="C644" s="32"/>
      <c r="D644" s="32"/>
      <c r="E644" s="32"/>
      <c r="F644" s="32"/>
      <c r="G644" s="32"/>
      <c r="H644" s="32"/>
      <c r="I644" s="32"/>
    </row>
    <row r="645">
      <c r="A645" s="137"/>
      <c r="B645" s="32"/>
      <c r="C645" s="32"/>
      <c r="D645" s="32"/>
      <c r="E645" s="32"/>
      <c r="F645" s="32"/>
      <c r="G645" s="32"/>
      <c r="H645" s="32"/>
      <c r="I645" s="32"/>
    </row>
    <row r="646">
      <c r="A646" s="137"/>
      <c r="B646" s="32"/>
      <c r="C646" s="32"/>
      <c r="D646" s="32"/>
      <c r="E646" s="32"/>
      <c r="F646" s="32"/>
      <c r="G646" s="32"/>
      <c r="H646" s="32"/>
      <c r="I646" s="32"/>
    </row>
    <row r="647">
      <c r="A647" s="137"/>
      <c r="B647" s="32"/>
      <c r="C647" s="32"/>
      <c r="D647" s="32"/>
      <c r="E647" s="32"/>
      <c r="F647" s="32"/>
      <c r="G647" s="32"/>
      <c r="H647" s="32"/>
      <c r="I647" s="32"/>
    </row>
    <row r="648">
      <c r="A648" s="137"/>
      <c r="B648" s="32"/>
      <c r="C648" s="32"/>
      <c r="D648" s="32"/>
      <c r="E648" s="32"/>
      <c r="F648" s="32"/>
      <c r="G648" s="32"/>
      <c r="H648" s="32"/>
      <c r="I648" s="32"/>
    </row>
    <row r="649">
      <c r="A649" s="137"/>
      <c r="B649" s="32"/>
      <c r="C649" s="32"/>
      <c r="D649" s="32"/>
      <c r="E649" s="32"/>
      <c r="F649" s="32"/>
      <c r="G649" s="32"/>
      <c r="H649" s="32"/>
      <c r="I649" s="32"/>
    </row>
    <row r="650">
      <c r="A650" s="137"/>
      <c r="B650" s="32"/>
      <c r="C650" s="32"/>
      <c r="D650" s="32"/>
      <c r="E650" s="32"/>
      <c r="F650" s="32"/>
      <c r="G650" s="32"/>
      <c r="H650" s="32"/>
      <c r="I650" s="32"/>
    </row>
    <row r="651">
      <c r="A651" s="137"/>
      <c r="B651" s="32"/>
      <c r="C651" s="32"/>
      <c r="D651" s="32"/>
      <c r="E651" s="32"/>
      <c r="F651" s="32"/>
      <c r="G651" s="32"/>
      <c r="H651" s="32"/>
      <c r="I651" s="32"/>
    </row>
    <row r="652">
      <c r="A652" s="137"/>
      <c r="B652" s="32"/>
      <c r="C652" s="32"/>
      <c r="D652" s="32"/>
      <c r="E652" s="32"/>
      <c r="F652" s="32"/>
      <c r="G652" s="32"/>
      <c r="H652" s="32"/>
      <c r="I652" s="32"/>
    </row>
    <row r="653">
      <c r="A653" s="137"/>
      <c r="B653" s="32"/>
      <c r="C653" s="32"/>
      <c r="D653" s="32"/>
      <c r="E653" s="32"/>
      <c r="F653" s="32"/>
      <c r="G653" s="32"/>
      <c r="H653" s="32"/>
      <c r="I653" s="32"/>
    </row>
    <row r="654">
      <c r="A654" s="137"/>
      <c r="B654" s="32"/>
      <c r="C654" s="32"/>
      <c r="D654" s="32"/>
      <c r="E654" s="32"/>
      <c r="F654" s="32"/>
      <c r="G654" s="32"/>
      <c r="H654" s="32"/>
      <c r="I654" s="32"/>
    </row>
    <row r="655">
      <c r="A655" s="137"/>
      <c r="B655" s="32"/>
      <c r="C655" s="32"/>
      <c r="D655" s="32"/>
      <c r="E655" s="32"/>
      <c r="F655" s="32"/>
      <c r="G655" s="32"/>
      <c r="H655" s="32"/>
      <c r="I655" s="32"/>
    </row>
    <row r="656">
      <c r="A656" s="137"/>
      <c r="B656" s="32"/>
      <c r="C656" s="32"/>
      <c r="D656" s="32"/>
      <c r="E656" s="32"/>
      <c r="F656" s="32"/>
      <c r="G656" s="32"/>
      <c r="H656" s="32"/>
      <c r="I656" s="32"/>
    </row>
    <row r="657">
      <c r="A657" s="137"/>
      <c r="B657" s="32"/>
      <c r="C657" s="32"/>
      <c r="D657" s="32"/>
      <c r="E657" s="32"/>
      <c r="F657" s="32"/>
      <c r="G657" s="32"/>
      <c r="H657" s="32"/>
      <c r="I657" s="32"/>
    </row>
    <row r="658">
      <c r="A658" s="137"/>
      <c r="B658" s="32"/>
      <c r="C658" s="32"/>
      <c r="D658" s="32"/>
      <c r="E658" s="32"/>
      <c r="F658" s="32"/>
      <c r="G658" s="32"/>
      <c r="H658" s="32"/>
      <c r="I658" s="32"/>
    </row>
    <row r="659">
      <c r="A659" s="137"/>
      <c r="B659" s="32"/>
      <c r="C659" s="32"/>
      <c r="D659" s="32"/>
      <c r="E659" s="32"/>
      <c r="F659" s="32"/>
      <c r="G659" s="32"/>
      <c r="H659" s="32"/>
      <c r="I659" s="32"/>
    </row>
    <row r="660">
      <c r="A660" s="137"/>
      <c r="B660" s="32"/>
      <c r="C660" s="32"/>
      <c r="D660" s="32"/>
      <c r="E660" s="32"/>
      <c r="F660" s="32"/>
      <c r="G660" s="32"/>
      <c r="H660" s="32"/>
      <c r="I660" s="32"/>
    </row>
    <row r="661">
      <c r="A661" s="137"/>
      <c r="B661" s="32"/>
      <c r="C661" s="32"/>
      <c r="D661" s="32"/>
      <c r="E661" s="32"/>
      <c r="F661" s="32"/>
      <c r="G661" s="32"/>
      <c r="H661" s="32"/>
      <c r="I661" s="32"/>
    </row>
    <row r="662">
      <c r="A662" s="137"/>
      <c r="B662" s="32"/>
      <c r="C662" s="32"/>
      <c r="D662" s="32"/>
      <c r="E662" s="32"/>
      <c r="F662" s="32"/>
      <c r="G662" s="32"/>
      <c r="H662" s="32"/>
      <c r="I662" s="32"/>
    </row>
    <row r="663">
      <c r="A663" s="137"/>
      <c r="B663" s="32"/>
      <c r="C663" s="32"/>
      <c r="D663" s="32"/>
      <c r="E663" s="32"/>
      <c r="F663" s="32"/>
      <c r="G663" s="32"/>
      <c r="H663" s="32"/>
      <c r="I663" s="32"/>
    </row>
    <row r="664">
      <c r="A664" s="137"/>
      <c r="B664" s="32"/>
      <c r="C664" s="32"/>
      <c r="D664" s="32"/>
      <c r="E664" s="32"/>
      <c r="F664" s="32"/>
      <c r="G664" s="32"/>
      <c r="H664" s="32"/>
      <c r="I664" s="32"/>
    </row>
    <row r="665">
      <c r="A665" s="137"/>
      <c r="B665" s="32"/>
      <c r="C665" s="32"/>
      <c r="D665" s="32"/>
      <c r="E665" s="32"/>
      <c r="F665" s="32"/>
      <c r="G665" s="32"/>
      <c r="H665" s="32"/>
      <c r="I665" s="32"/>
    </row>
    <row r="666">
      <c r="A666" s="137"/>
      <c r="B666" s="32"/>
      <c r="C666" s="32"/>
      <c r="D666" s="32"/>
      <c r="E666" s="32"/>
      <c r="F666" s="32"/>
      <c r="G666" s="32"/>
      <c r="H666" s="32"/>
      <c r="I666" s="32"/>
    </row>
    <row r="667">
      <c r="A667" s="137"/>
      <c r="B667" s="32"/>
      <c r="C667" s="32"/>
      <c r="D667" s="32"/>
      <c r="E667" s="32"/>
      <c r="F667" s="32"/>
      <c r="G667" s="32"/>
      <c r="H667" s="32"/>
      <c r="I667" s="32"/>
    </row>
    <row r="668">
      <c r="A668" s="137"/>
      <c r="B668" s="32"/>
      <c r="C668" s="32"/>
      <c r="D668" s="32"/>
      <c r="E668" s="32"/>
      <c r="F668" s="32"/>
      <c r="G668" s="32"/>
      <c r="H668" s="32"/>
      <c r="I668" s="32"/>
    </row>
    <row r="669">
      <c r="A669" s="137"/>
      <c r="B669" s="32"/>
      <c r="C669" s="32"/>
      <c r="D669" s="32"/>
      <c r="E669" s="32"/>
      <c r="F669" s="32"/>
      <c r="G669" s="32"/>
      <c r="H669" s="32"/>
      <c r="I669" s="32"/>
    </row>
    <row r="670">
      <c r="A670" s="137"/>
      <c r="B670" s="32"/>
      <c r="C670" s="32"/>
      <c r="D670" s="32"/>
      <c r="E670" s="32"/>
      <c r="F670" s="32"/>
      <c r="G670" s="32"/>
      <c r="H670" s="32"/>
      <c r="I670" s="32"/>
    </row>
    <row r="671">
      <c r="A671" s="137"/>
      <c r="B671" s="32"/>
      <c r="C671" s="32"/>
      <c r="D671" s="32"/>
      <c r="E671" s="32"/>
      <c r="F671" s="32"/>
      <c r="G671" s="32"/>
      <c r="H671" s="32"/>
      <c r="I671" s="32"/>
    </row>
    <row r="672">
      <c r="A672" s="137"/>
      <c r="B672" s="32"/>
      <c r="C672" s="32"/>
      <c r="D672" s="32"/>
      <c r="E672" s="32"/>
      <c r="F672" s="32"/>
      <c r="G672" s="32"/>
      <c r="H672" s="32"/>
      <c r="I672" s="32"/>
    </row>
    <row r="673">
      <c r="A673" s="137"/>
      <c r="B673" s="32"/>
      <c r="C673" s="32"/>
      <c r="D673" s="32"/>
      <c r="E673" s="32"/>
      <c r="F673" s="32"/>
      <c r="G673" s="32"/>
      <c r="H673" s="32"/>
      <c r="I673" s="32"/>
    </row>
    <row r="674">
      <c r="A674" s="137"/>
      <c r="B674" s="32"/>
      <c r="C674" s="32"/>
      <c r="D674" s="32"/>
      <c r="E674" s="32"/>
      <c r="F674" s="32"/>
      <c r="G674" s="32"/>
      <c r="H674" s="32"/>
      <c r="I674" s="32"/>
    </row>
    <row r="675">
      <c r="A675" s="137"/>
      <c r="B675" s="32"/>
      <c r="C675" s="32"/>
      <c r="D675" s="32"/>
      <c r="E675" s="32"/>
      <c r="F675" s="32"/>
      <c r="G675" s="32"/>
      <c r="H675" s="32"/>
      <c r="I675" s="32"/>
    </row>
    <row r="676">
      <c r="A676" s="137"/>
      <c r="B676" s="32"/>
      <c r="C676" s="32"/>
      <c r="D676" s="32"/>
      <c r="E676" s="32"/>
      <c r="F676" s="32"/>
      <c r="G676" s="32"/>
      <c r="H676" s="32"/>
      <c r="I676" s="32"/>
    </row>
    <row r="677">
      <c r="A677" s="137"/>
      <c r="B677" s="32"/>
      <c r="C677" s="32"/>
      <c r="D677" s="32"/>
      <c r="E677" s="32"/>
      <c r="F677" s="32"/>
      <c r="G677" s="32"/>
      <c r="H677" s="32"/>
      <c r="I677" s="32"/>
    </row>
    <row r="678">
      <c r="A678" s="137"/>
      <c r="B678" s="32"/>
      <c r="C678" s="32"/>
      <c r="D678" s="32"/>
      <c r="E678" s="32"/>
      <c r="F678" s="32"/>
      <c r="G678" s="32"/>
      <c r="H678" s="32"/>
      <c r="I678" s="32"/>
    </row>
    <row r="679">
      <c r="A679" s="137"/>
      <c r="B679" s="32"/>
      <c r="C679" s="32"/>
      <c r="D679" s="32"/>
      <c r="E679" s="32"/>
      <c r="F679" s="32"/>
      <c r="G679" s="32"/>
      <c r="H679" s="32"/>
      <c r="I679" s="32"/>
    </row>
    <row r="680">
      <c r="A680" s="137"/>
      <c r="B680" s="32"/>
      <c r="C680" s="32"/>
      <c r="D680" s="32"/>
      <c r="E680" s="32"/>
      <c r="F680" s="32"/>
      <c r="G680" s="32"/>
      <c r="H680" s="32"/>
      <c r="I680" s="32"/>
    </row>
    <row r="681">
      <c r="A681" s="137"/>
      <c r="B681" s="32"/>
      <c r="C681" s="32"/>
      <c r="D681" s="32"/>
      <c r="E681" s="32"/>
      <c r="F681" s="32"/>
      <c r="G681" s="32"/>
      <c r="H681" s="32"/>
      <c r="I681" s="32"/>
    </row>
    <row r="682">
      <c r="A682" s="137"/>
      <c r="B682" s="32"/>
      <c r="C682" s="32"/>
      <c r="D682" s="32"/>
      <c r="E682" s="32"/>
      <c r="F682" s="32"/>
      <c r="G682" s="32"/>
      <c r="H682" s="32"/>
      <c r="I682" s="32"/>
    </row>
    <row r="683">
      <c r="A683" s="137"/>
      <c r="B683" s="32"/>
      <c r="C683" s="32"/>
      <c r="D683" s="32"/>
      <c r="E683" s="32"/>
      <c r="F683" s="32"/>
      <c r="G683" s="32"/>
      <c r="H683" s="32"/>
      <c r="I683" s="32"/>
    </row>
    <row r="684">
      <c r="A684" s="137"/>
      <c r="B684" s="32"/>
      <c r="C684" s="32"/>
      <c r="D684" s="32"/>
      <c r="E684" s="32"/>
      <c r="F684" s="32"/>
      <c r="G684" s="32"/>
      <c r="H684" s="32"/>
      <c r="I684" s="32"/>
    </row>
    <row r="685">
      <c r="A685" s="137"/>
      <c r="B685" s="32"/>
      <c r="C685" s="32"/>
      <c r="D685" s="32"/>
      <c r="E685" s="32"/>
      <c r="F685" s="32"/>
      <c r="G685" s="32"/>
      <c r="H685" s="32"/>
      <c r="I685" s="32"/>
    </row>
    <row r="686">
      <c r="A686" s="137"/>
      <c r="B686" s="32"/>
      <c r="C686" s="32"/>
      <c r="D686" s="32"/>
      <c r="E686" s="32"/>
      <c r="F686" s="32"/>
      <c r="G686" s="32"/>
      <c r="H686" s="32"/>
      <c r="I686" s="32"/>
    </row>
    <row r="687">
      <c r="A687" s="137"/>
      <c r="B687" s="32"/>
      <c r="C687" s="32"/>
      <c r="D687" s="32"/>
      <c r="E687" s="32"/>
      <c r="F687" s="32"/>
      <c r="G687" s="32"/>
      <c r="H687" s="32"/>
      <c r="I687" s="32"/>
    </row>
    <row r="688">
      <c r="A688" s="137"/>
      <c r="B688" s="32"/>
      <c r="C688" s="32"/>
      <c r="D688" s="32"/>
      <c r="E688" s="32"/>
      <c r="F688" s="32"/>
      <c r="G688" s="32"/>
      <c r="H688" s="32"/>
      <c r="I688" s="32"/>
    </row>
    <row r="689">
      <c r="A689" s="137"/>
      <c r="B689" s="32"/>
      <c r="C689" s="32"/>
      <c r="D689" s="32"/>
      <c r="E689" s="32"/>
      <c r="F689" s="32"/>
      <c r="G689" s="32"/>
      <c r="H689" s="32"/>
      <c r="I689" s="32"/>
    </row>
    <row r="690">
      <c r="A690" s="137"/>
      <c r="B690" s="32"/>
      <c r="C690" s="32"/>
      <c r="D690" s="32"/>
      <c r="E690" s="32"/>
      <c r="F690" s="32"/>
      <c r="G690" s="32"/>
      <c r="H690" s="32"/>
      <c r="I690" s="32"/>
    </row>
    <row r="691">
      <c r="A691" s="137"/>
      <c r="B691" s="32"/>
      <c r="C691" s="32"/>
      <c r="D691" s="32"/>
      <c r="E691" s="32"/>
      <c r="F691" s="32"/>
      <c r="G691" s="32"/>
      <c r="H691" s="32"/>
      <c r="I691" s="32"/>
    </row>
    <row r="692">
      <c r="A692" s="137"/>
      <c r="B692" s="32"/>
      <c r="C692" s="32"/>
      <c r="D692" s="32"/>
      <c r="E692" s="32"/>
      <c r="F692" s="32"/>
      <c r="G692" s="32"/>
      <c r="H692" s="32"/>
      <c r="I692" s="32"/>
    </row>
    <row r="693">
      <c r="A693" s="137"/>
      <c r="B693" s="32"/>
      <c r="C693" s="32"/>
      <c r="D693" s="32"/>
      <c r="E693" s="32"/>
      <c r="F693" s="32"/>
      <c r="G693" s="32"/>
      <c r="H693" s="32"/>
      <c r="I693" s="32"/>
    </row>
    <row r="694">
      <c r="A694" s="137"/>
      <c r="B694" s="32"/>
      <c r="C694" s="32"/>
      <c r="D694" s="32"/>
      <c r="E694" s="32"/>
      <c r="F694" s="32"/>
      <c r="G694" s="32"/>
      <c r="H694" s="32"/>
      <c r="I694" s="32"/>
    </row>
    <row r="695">
      <c r="A695" s="137"/>
      <c r="B695" s="32"/>
      <c r="C695" s="32"/>
      <c r="D695" s="32"/>
      <c r="E695" s="32"/>
      <c r="F695" s="32"/>
      <c r="G695" s="32"/>
      <c r="H695" s="32"/>
      <c r="I695" s="32"/>
    </row>
    <row r="696">
      <c r="A696" s="137"/>
      <c r="B696" s="32"/>
      <c r="C696" s="32"/>
      <c r="D696" s="32"/>
      <c r="E696" s="32"/>
      <c r="F696" s="32"/>
      <c r="G696" s="32"/>
      <c r="H696" s="32"/>
      <c r="I696" s="32"/>
    </row>
    <row r="697">
      <c r="A697" s="137"/>
      <c r="B697" s="32"/>
      <c r="C697" s="32"/>
      <c r="D697" s="32"/>
      <c r="E697" s="32"/>
      <c r="F697" s="32"/>
      <c r="G697" s="32"/>
      <c r="H697" s="32"/>
      <c r="I697" s="32"/>
    </row>
    <row r="698">
      <c r="A698" s="137"/>
      <c r="B698" s="32"/>
      <c r="C698" s="32"/>
      <c r="D698" s="32"/>
      <c r="E698" s="32"/>
      <c r="F698" s="32"/>
      <c r="G698" s="32"/>
      <c r="H698" s="32"/>
      <c r="I698" s="32"/>
    </row>
    <row r="699">
      <c r="A699" s="137"/>
      <c r="B699" s="32"/>
      <c r="C699" s="32"/>
      <c r="D699" s="32"/>
      <c r="E699" s="32"/>
      <c r="F699" s="32"/>
      <c r="G699" s="32"/>
      <c r="H699" s="32"/>
      <c r="I699" s="32"/>
    </row>
    <row r="700">
      <c r="A700" s="137"/>
      <c r="B700" s="32"/>
      <c r="C700" s="32"/>
      <c r="D700" s="32"/>
      <c r="E700" s="32"/>
      <c r="F700" s="32"/>
      <c r="G700" s="32"/>
      <c r="H700" s="32"/>
      <c r="I700" s="32"/>
    </row>
    <row r="701">
      <c r="A701" s="137"/>
      <c r="B701" s="32"/>
      <c r="C701" s="32"/>
      <c r="D701" s="32"/>
      <c r="E701" s="32"/>
      <c r="F701" s="32"/>
      <c r="G701" s="32"/>
      <c r="H701" s="32"/>
      <c r="I701" s="32"/>
    </row>
    <row r="702">
      <c r="A702" s="137"/>
      <c r="B702" s="32"/>
      <c r="C702" s="32"/>
      <c r="D702" s="32"/>
      <c r="E702" s="32"/>
      <c r="F702" s="32"/>
      <c r="G702" s="32"/>
      <c r="H702" s="32"/>
      <c r="I702" s="32"/>
    </row>
    <row r="703">
      <c r="A703" s="137"/>
      <c r="B703" s="32"/>
      <c r="C703" s="32"/>
      <c r="D703" s="32"/>
      <c r="E703" s="32"/>
      <c r="F703" s="32"/>
      <c r="G703" s="32"/>
      <c r="H703" s="32"/>
      <c r="I703" s="32"/>
    </row>
    <row r="704">
      <c r="A704" s="137"/>
      <c r="B704" s="32"/>
      <c r="C704" s="32"/>
      <c r="D704" s="32"/>
      <c r="E704" s="32"/>
      <c r="F704" s="32"/>
      <c r="G704" s="32"/>
      <c r="H704" s="32"/>
      <c r="I704" s="32"/>
    </row>
    <row r="705">
      <c r="A705" s="137"/>
      <c r="B705" s="32"/>
      <c r="C705" s="32"/>
      <c r="D705" s="32"/>
      <c r="E705" s="32"/>
      <c r="F705" s="32"/>
      <c r="G705" s="32"/>
      <c r="H705" s="32"/>
      <c r="I705" s="32"/>
    </row>
    <row r="706">
      <c r="A706" s="137"/>
      <c r="B706" s="32"/>
      <c r="C706" s="32"/>
      <c r="D706" s="32"/>
      <c r="E706" s="32"/>
      <c r="F706" s="32"/>
      <c r="G706" s="32"/>
      <c r="H706" s="32"/>
      <c r="I706" s="32"/>
    </row>
    <row r="707">
      <c r="A707" s="137"/>
      <c r="B707" s="32"/>
      <c r="C707" s="32"/>
      <c r="D707" s="32"/>
      <c r="E707" s="32"/>
      <c r="F707" s="32"/>
      <c r="G707" s="32"/>
      <c r="H707" s="32"/>
      <c r="I707" s="32"/>
    </row>
    <row r="708">
      <c r="A708" s="137"/>
      <c r="B708" s="32"/>
      <c r="C708" s="32"/>
      <c r="D708" s="32"/>
      <c r="E708" s="32"/>
      <c r="F708" s="32"/>
      <c r="G708" s="32"/>
      <c r="H708" s="32"/>
      <c r="I708" s="32"/>
    </row>
    <row r="709">
      <c r="A709" s="137"/>
      <c r="B709" s="32"/>
      <c r="C709" s="32"/>
      <c r="D709" s="32"/>
      <c r="E709" s="32"/>
      <c r="F709" s="32"/>
      <c r="G709" s="32"/>
      <c r="H709" s="32"/>
      <c r="I709" s="32"/>
    </row>
    <row r="710">
      <c r="A710" s="137"/>
      <c r="B710" s="32"/>
      <c r="C710" s="32"/>
      <c r="D710" s="32"/>
      <c r="E710" s="32"/>
      <c r="F710" s="32"/>
      <c r="G710" s="32"/>
      <c r="H710" s="32"/>
      <c r="I710" s="32"/>
    </row>
    <row r="711">
      <c r="A711" s="137"/>
      <c r="B711" s="32"/>
      <c r="C711" s="32"/>
      <c r="D711" s="32"/>
      <c r="E711" s="32"/>
      <c r="F711" s="32"/>
      <c r="G711" s="32"/>
      <c r="H711" s="32"/>
      <c r="I711" s="32"/>
    </row>
    <row r="712">
      <c r="A712" s="137"/>
      <c r="B712" s="32"/>
      <c r="C712" s="32"/>
      <c r="D712" s="32"/>
      <c r="E712" s="32"/>
      <c r="F712" s="32"/>
      <c r="G712" s="32"/>
      <c r="H712" s="32"/>
      <c r="I712" s="32"/>
    </row>
    <row r="713">
      <c r="A713" s="137"/>
      <c r="B713" s="32"/>
      <c r="C713" s="32"/>
      <c r="D713" s="32"/>
      <c r="E713" s="32"/>
      <c r="F713" s="32"/>
      <c r="G713" s="32"/>
      <c r="H713" s="32"/>
      <c r="I713" s="32"/>
    </row>
    <row r="714">
      <c r="A714" s="137"/>
      <c r="B714" s="32"/>
      <c r="C714" s="32"/>
      <c r="D714" s="32"/>
      <c r="E714" s="32"/>
      <c r="F714" s="32"/>
      <c r="G714" s="32"/>
      <c r="H714" s="32"/>
      <c r="I714" s="32"/>
    </row>
    <row r="715">
      <c r="A715" s="137"/>
      <c r="B715" s="32"/>
      <c r="C715" s="32"/>
      <c r="D715" s="32"/>
      <c r="E715" s="32"/>
      <c r="F715" s="32"/>
      <c r="G715" s="32"/>
      <c r="H715" s="32"/>
      <c r="I715" s="32"/>
    </row>
    <row r="716">
      <c r="A716" s="137"/>
      <c r="B716" s="32"/>
      <c r="C716" s="32"/>
      <c r="D716" s="32"/>
      <c r="E716" s="32"/>
      <c r="F716" s="32"/>
      <c r="G716" s="32"/>
      <c r="H716" s="32"/>
      <c r="I716" s="32"/>
    </row>
    <row r="717">
      <c r="A717" s="137"/>
      <c r="B717" s="32"/>
      <c r="C717" s="32"/>
      <c r="D717" s="32"/>
      <c r="E717" s="32"/>
      <c r="F717" s="32"/>
      <c r="G717" s="32"/>
      <c r="H717" s="32"/>
      <c r="I717" s="32"/>
    </row>
    <row r="718">
      <c r="A718" s="137"/>
      <c r="B718" s="32"/>
      <c r="C718" s="32"/>
      <c r="D718" s="32"/>
      <c r="E718" s="32"/>
      <c r="F718" s="32"/>
      <c r="G718" s="32"/>
      <c r="H718" s="32"/>
      <c r="I718" s="32"/>
    </row>
    <row r="719">
      <c r="A719" s="137"/>
      <c r="B719" s="32"/>
      <c r="C719" s="32"/>
      <c r="D719" s="32"/>
      <c r="E719" s="32"/>
      <c r="F719" s="32"/>
      <c r="G719" s="32"/>
      <c r="H719" s="32"/>
      <c r="I719" s="32"/>
    </row>
    <row r="720">
      <c r="A720" s="137"/>
      <c r="B720" s="32"/>
      <c r="C720" s="32"/>
      <c r="D720" s="32"/>
      <c r="E720" s="32"/>
      <c r="F720" s="32"/>
      <c r="G720" s="32"/>
      <c r="H720" s="32"/>
      <c r="I720" s="32"/>
    </row>
    <row r="721">
      <c r="A721" s="137"/>
      <c r="B721" s="32"/>
      <c r="C721" s="32"/>
      <c r="D721" s="32"/>
      <c r="E721" s="32"/>
      <c r="F721" s="32"/>
      <c r="G721" s="32"/>
      <c r="H721" s="32"/>
      <c r="I721" s="32"/>
    </row>
    <row r="722">
      <c r="A722" s="137"/>
      <c r="B722" s="32"/>
      <c r="C722" s="32"/>
      <c r="D722" s="32"/>
      <c r="E722" s="32"/>
      <c r="F722" s="32"/>
      <c r="G722" s="32"/>
      <c r="H722" s="32"/>
      <c r="I722" s="32"/>
    </row>
    <row r="723">
      <c r="A723" s="137"/>
      <c r="B723" s="32"/>
      <c r="C723" s="32"/>
      <c r="D723" s="32"/>
      <c r="E723" s="32"/>
      <c r="F723" s="32"/>
      <c r="G723" s="32"/>
      <c r="H723" s="32"/>
      <c r="I723" s="32"/>
    </row>
    <row r="724">
      <c r="A724" s="137"/>
      <c r="B724" s="32"/>
      <c r="C724" s="32"/>
      <c r="D724" s="32"/>
      <c r="E724" s="32"/>
      <c r="F724" s="32"/>
      <c r="G724" s="32"/>
      <c r="H724" s="32"/>
      <c r="I724" s="32"/>
    </row>
    <row r="725">
      <c r="A725" s="137"/>
      <c r="B725" s="32"/>
      <c r="C725" s="32"/>
      <c r="D725" s="32"/>
      <c r="E725" s="32"/>
      <c r="F725" s="32"/>
      <c r="G725" s="32"/>
      <c r="H725" s="32"/>
      <c r="I725" s="32"/>
    </row>
    <row r="726">
      <c r="A726" s="137"/>
      <c r="B726" s="32"/>
      <c r="C726" s="32"/>
      <c r="D726" s="32"/>
      <c r="E726" s="32"/>
      <c r="F726" s="32"/>
      <c r="G726" s="32"/>
      <c r="H726" s="32"/>
      <c r="I726" s="32"/>
    </row>
    <row r="727">
      <c r="A727" s="137"/>
      <c r="B727" s="32"/>
      <c r="C727" s="32"/>
      <c r="D727" s="32"/>
      <c r="E727" s="32"/>
      <c r="F727" s="32"/>
      <c r="G727" s="32"/>
      <c r="H727" s="32"/>
      <c r="I727" s="32"/>
    </row>
    <row r="728">
      <c r="A728" s="137"/>
      <c r="B728" s="32"/>
      <c r="C728" s="32"/>
      <c r="D728" s="32"/>
      <c r="E728" s="32"/>
      <c r="F728" s="32"/>
      <c r="G728" s="32"/>
      <c r="H728" s="32"/>
      <c r="I728" s="32"/>
    </row>
    <row r="729">
      <c r="A729" s="137"/>
      <c r="B729" s="32"/>
      <c r="C729" s="32"/>
      <c r="D729" s="32"/>
      <c r="E729" s="32"/>
      <c r="F729" s="32"/>
      <c r="G729" s="32"/>
      <c r="H729" s="32"/>
      <c r="I729" s="32"/>
    </row>
    <row r="730">
      <c r="A730" s="137"/>
      <c r="B730" s="32"/>
      <c r="C730" s="32"/>
      <c r="D730" s="32"/>
      <c r="E730" s="32"/>
      <c r="F730" s="32"/>
      <c r="G730" s="32"/>
      <c r="H730" s="32"/>
      <c r="I730" s="32"/>
    </row>
    <row r="731">
      <c r="A731" s="137"/>
      <c r="B731" s="32"/>
      <c r="C731" s="32"/>
      <c r="D731" s="32"/>
      <c r="E731" s="32"/>
      <c r="F731" s="32"/>
      <c r="G731" s="32"/>
      <c r="H731" s="32"/>
      <c r="I731" s="32"/>
    </row>
    <row r="732">
      <c r="A732" s="137"/>
      <c r="B732" s="32"/>
      <c r="C732" s="32"/>
      <c r="D732" s="32"/>
      <c r="E732" s="32"/>
      <c r="F732" s="32"/>
      <c r="G732" s="32"/>
      <c r="H732" s="32"/>
      <c r="I732" s="32"/>
    </row>
    <row r="733">
      <c r="A733" s="137"/>
      <c r="B733" s="32"/>
      <c r="C733" s="32"/>
      <c r="D733" s="32"/>
      <c r="E733" s="32"/>
      <c r="F733" s="32"/>
      <c r="G733" s="32"/>
      <c r="H733" s="32"/>
      <c r="I733" s="32"/>
    </row>
    <row r="734">
      <c r="A734" s="137"/>
      <c r="B734" s="32"/>
      <c r="C734" s="32"/>
      <c r="D734" s="32"/>
      <c r="E734" s="32"/>
      <c r="F734" s="32"/>
      <c r="G734" s="32"/>
      <c r="H734" s="32"/>
      <c r="I734" s="32"/>
    </row>
    <row r="735">
      <c r="A735" s="137"/>
      <c r="B735" s="32"/>
      <c r="C735" s="32"/>
      <c r="D735" s="32"/>
      <c r="E735" s="32"/>
      <c r="F735" s="32"/>
      <c r="G735" s="32"/>
      <c r="H735" s="32"/>
      <c r="I735" s="32"/>
    </row>
    <row r="736">
      <c r="A736" s="137"/>
      <c r="B736" s="32"/>
      <c r="C736" s="32"/>
      <c r="D736" s="32"/>
      <c r="E736" s="32"/>
      <c r="F736" s="32"/>
      <c r="G736" s="32"/>
      <c r="H736" s="32"/>
      <c r="I736" s="32"/>
    </row>
    <row r="737">
      <c r="A737" s="137"/>
      <c r="B737" s="32"/>
      <c r="C737" s="32"/>
      <c r="D737" s="32"/>
      <c r="E737" s="32"/>
      <c r="F737" s="32"/>
      <c r="G737" s="32"/>
      <c r="H737" s="32"/>
      <c r="I737" s="32"/>
    </row>
    <row r="738">
      <c r="A738" s="137"/>
      <c r="B738" s="32"/>
      <c r="C738" s="32"/>
      <c r="D738" s="32"/>
      <c r="E738" s="32"/>
      <c r="F738" s="32"/>
      <c r="G738" s="32"/>
      <c r="H738" s="32"/>
      <c r="I738" s="32"/>
    </row>
    <row r="739">
      <c r="A739" s="137"/>
      <c r="B739" s="32"/>
      <c r="C739" s="32"/>
      <c r="D739" s="32"/>
      <c r="E739" s="32"/>
      <c r="F739" s="32"/>
      <c r="G739" s="32"/>
      <c r="H739" s="32"/>
      <c r="I739" s="32"/>
    </row>
    <row r="740">
      <c r="A740" s="137"/>
      <c r="B740" s="32"/>
      <c r="C740" s="32"/>
      <c r="D740" s="32"/>
      <c r="E740" s="32"/>
      <c r="F740" s="32"/>
      <c r="G740" s="32"/>
      <c r="H740" s="32"/>
      <c r="I740" s="32"/>
    </row>
    <row r="741">
      <c r="A741" s="137"/>
      <c r="B741" s="32"/>
      <c r="C741" s="32"/>
      <c r="D741" s="32"/>
      <c r="E741" s="32"/>
      <c r="F741" s="32"/>
      <c r="G741" s="32"/>
      <c r="H741" s="32"/>
      <c r="I741" s="32"/>
    </row>
    <row r="742">
      <c r="A742" s="137"/>
      <c r="B742" s="32"/>
      <c r="C742" s="32"/>
      <c r="D742" s="32"/>
      <c r="E742" s="32"/>
      <c r="F742" s="32"/>
      <c r="G742" s="32"/>
      <c r="H742" s="32"/>
      <c r="I742" s="32"/>
    </row>
    <row r="743">
      <c r="A743" s="137"/>
      <c r="B743" s="32"/>
      <c r="C743" s="32"/>
      <c r="D743" s="32"/>
      <c r="E743" s="32"/>
      <c r="F743" s="32"/>
      <c r="G743" s="32"/>
      <c r="H743" s="32"/>
      <c r="I743" s="32"/>
    </row>
    <row r="744">
      <c r="A744" s="137"/>
      <c r="B744" s="32"/>
      <c r="C744" s="32"/>
      <c r="D744" s="32"/>
      <c r="E744" s="32"/>
      <c r="F744" s="32"/>
      <c r="G744" s="32"/>
      <c r="H744" s="32"/>
      <c r="I744" s="32"/>
    </row>
    <row r="745">
      <c r="A745" s="137"/>
      <c r="B745" s="32"/>
      <c r="C745" s="32"/>
      <c r="D745" s="32"/>
      <c r="E745" s="32"/>
      <c r="F745" s="32"/>
      <c r="G745" s="32"/>
      <c r="H745" s="32"/>
      <c r="I745" s="32"/>
    </row>
    <row r="746">
      <c r="A746" s="137"/>
      <c r="B746" s="32"/>
      <c r="C746" s="32"/>
      <c r="D746" s="32"/>
      <c r="E746" s="32"/>
      <c r="F746" s="32"/>
      <c r="G746" s="32"/>
      <c r="H746" s="32"/>
      <c r="I746" s="32"/>
    </row>
    <row r="747">
      <c r="A747" s="137"/>
      <c r="B747" s="32"/>
      <c r="C747" s="32"/>
      <c r="D747" s="32"/>
      <c r="E747" s="32"/>
      <c r="F747" s="32"/>
      <c r="G747" s="32"/>
      <c r="H747" s="32"/>
      <c r="I747" s="32"/>
    </row>
    <row r="748">
      <c r="A748" s="137"/>
      <c r="B748" s="32"/>
      <c r="C748" s="32"/>
      <c r="D748" s="32"/>
      <c r="E748" s="32"/>
      <c r="F748" s="32"/>
      <c r="G748" s="32"/>
      <c r="H748" s="32"/>
      <c r="I748" s="32"/>
    </row>
    <row r="749">
      <c r="A749" s="137"/>
      <c r="B749" s="32"/>
      <c r="C749" s="32"/>
      <c r="D749" s="32"/>
      <c r="E749" s="32"/>
      <c r="F749" s="32"/>
      <c r="G749" s="32"/>
      <c r="H749" s="32"/>
      <c r="I749" s="32"/>
    </row>
    <row r="750">
      <c r="A750" s="137"/>
      <c r="B750" s="32"/>
      <c r="C750" s="32"/>
      <c r="D750" s="32"/>
      <c r="E750" s="32"/>
      <c r="F750" s="32"/>
      <c r="G750" s="32"/>
      <c r="H750" s="32"/>
      <c r="I750" s="32"/>
    </row>
    <row r="751">
      <c r="A751" s="137"/>
      <c r="B751" s="32"/>
      <c r="C751" s="32"/>
      <c r="D751" s="32"/>
      <c r="E751" s="32"/>
      <c r="F751" s="32"/>
      <c r="G751" s="32"/>
      <c r="H751" s="32"/>
      <c r="I751" s="32"/>
    </row>
    <row r="752">
      <c r="A752" s="137"/>
      <c r="B752" s="32"/>
      <c r="C752" s="32"/>
      <c r="D752" s="32"/>
      <c r="E752" s="32"/>
      <c r="F752" s="32"/>
      <c r="G752" s="32"/>
      <c r="H752" s="32"/>
      <c r="I752" s="32"/>
    </row>
    <row r="753">
      <c r="A753" s="137"/>
      <c r="B753" s="32"/>
      <c r="C753" s="32"/>
      <c r="D753" s="32"/>
      <c r="E753" s="32"/>
      <c r="F753" s="32"/>
      <c r="G753" s="32"/>
      <c r="H753" s="32"/>
      <c r="I753" s="32"/>
    </row>
    <row r="754">
      <c r="A754" s="137"/>
      <c r="B754" s="32"/>
      <c r="C754" s="32"/>
      <c r="D754" s="32"/>
      <c r="E754" s="32"/>
      <c r="F754" s="32"/>
      <c r="G754" s="32"/>
      <c r="H754" s="32"/>
      <c r="I754" s="32"/>
    </row>
    <row r="755">
      <c r="A755" s="137"/>
      <c r="B755" s="32"/>
      <c r="C755" s="32"/>
      <c r="D755" s="32"/>
      <c r="E755" s="32"/>
      <c r="F755" s="32"/>
      <c r="G755" s="32"/>
      <c r="H755" s="32"/>
      <c r="I755" s="32"/>
    </row>
    <row r="756">
      <c r="A756" s="137"/>
      <c r="B756" s="32"/>
      <c r="C756" s="32"/>
      <c r="D756" s="32"/>
      <c r="E756" s="32"/>
      <c r="F756" s="32"/>
      <c r="G756" s="32"/>
      <c r="H756" s="32"/>
      <c r="I756" s="32"/>
    </row>
    <row r="757">
      <c r="A757" s="137"/>
      <c r="B757" s="32"/>
      <c r="C757" s="32"/>
      <c r="D757" s="32"/>
      <c r="E757" s="32"/>
      <c r="F757" s="32"/>
      <c r="G757" s="32"/>
      <c r="H757" s="32"/>
      <c r="I757" s="32"/>
    </row>
    <row r="758">
      <c r="A758" s="137"/>
      <c r="B758" s="32"/>
      <c r="C758" s="32"/>
      <c r="D758" s="32"/>
      <c r="E758" s="32"/>
      <c r="F758" s="32"/>
      <c r="G758" s="32"/>
      <c r="H758" s="32"/>
      <c r="I758" s="32"/>
    </row>
    <row r="759">
      <c r="A759" s="137"/>
      <c r="B759" s="32"/>
      <c r="C759" s="32"/>
      <c r="D759" s="32"/>
      <c r="E759" s="32"/>
      <c r="F759" s="32"/>
      <c r="G759" s="32"/>
      <c r="H759" s="32"/>
      <c r="I759" s="32"/>
    </row>
    <row r="760">
      <c r="A760" s="137"/>
      <c r="B760" s="32"/>
      <c r="C760" s="32"/>
      <c r="D760" s="32"/>
      <c r="E760" s="32"/>
      <c r="F760" s="32"/>
      <c r="G760" s="32"/>
      <c r="H760" s="32"/>
      <c r="I760" s="32"/>
    </row>
    <row r="761">
      <c r="A761" s="137"/>
      <c r="B761" s="32"/>
      <c r="C761" s="32"/>
      <c r="D761" s="32"/>
      <c r="E761" s="32"/>
      <c r="F761" s="32"/>
      <c r="G761" s="32"/>
      <c r="H761" s="32"/>
      <c r="I761" s="32"/>
    </row>
    <row r="762">
      <c r="A762" s="137"/>
      <c r="B762" s="32"/>
      <c r="C762" s="32"/>
      <c r="D762" s="32"/>
      <c r="E762" s="32"/>
      <c r="F762" s="32"/>
      <c r="G762" s="32"/>
      <c r="H762" s="32"/>
      <c r="I762" s="32"/>
    </row>
    <row r="763">
      <c r="A763" s="137"/>
      <c r="B763" s="32"/>
      <c r="C763" s="32"/>
      <c r="D763" s="32"/>
      <c r="E763" s="32"/>
      <c r="F763" s="32"/>
      <c r="G763" s="32"/>
      <c r="H763" s="32"/>
      <c r="I763" s="32"/>
    </row>
    <row r="764">
      <c r="A764" s="137"/>
      <c r="B764" s="32"/>
      <c r="C764" s="32"/>
      <c r="D764" s="32"/>
      <c r="E764" s="32"/>
      <c r="F764" s="32"/>
      <c r="G764" s="32"/>
      <c r="H764" s="32"/>
      <c r="I764" s="32"/>
    </row>
    <row r="765">
      <c r="A765" s="137"/>
      <c r="B765" s="32"/>
      <c r="C765" s="32"/>
      <c r="D765" s="32"/>
      <c r="E765" s="32"/>
      <c r="F765" s="32"/>
      <c r="G765" s="32"/>
      <c r="H765" s="32"/>
      <c r="I765" s="32"/>
    </row>
    <row r="766">
      <c r="A766" s="137"/>
      <c r="B766" s="32"/>
      <c r="C766" s="32"/>
      <c r="D766" s="32"/>
      <c r="E766" s="32"/>
      <c r="F766" s="32"/>
      <c r="G766" s="32"/>
      <c r="H766" s="32"/>
      <c r="I766" s="32"/>
    </row>
    <row r="767">
      <c r="A767" s="137"/>
      <c r="B767" s="32"/>
      <c r="C767" s="32"/>
      <c r="D767" s="32"/>
      <c r="E767" s="32"/>
      <c r="F767" s="32"/>
      <c r="G767" s="32"/>
      <c r="H767" s="32"/>
      <c r="I767" s="32"/>
    </row>
    <row r="768">
      <c r="A768" s="137"/>
      <c r="B768" s="32"/>
      <c r="C768" s="32"/>
      <c r="D768" s="32"/>
      <c r="E768" s="32"/>
      <c r="F768" s="32"/>
      <c r="G768" s="32"/>
      <c r="H768" s="32"/>
      <c r="I768" s="32"/>
    </row>
    <row r="769">
      <c r="A769" s="137"/>
      <c r="B769" s="32"/>
      <c r="C769" s="32"/>
      <c r="D769" s="32"/>
      <c r="E769" s="32"/>
      <c r="F769" s="32"/>
      <c r="G769" s="32"/>
      <c r="H769" s="32"/>
      <c r="I769" s="32"/>
    </row>
    <row r="770">
      <c r="A770" s="137"/>
      <c r="B770" s="32"/>
      <c r="C770" s="32"/>
      <c r="D770" s="32"/>
      <c r="E770" s="32"/>
      <c r="F770" s="32"/>
      <c r="G770" s="32"/>
      <c r="H770" s="32"/>
      <c r="I770" s="32"/>
    </row>
    <row r="771">
      <c r="A771" s="137"/>
      <c r="B771" s="32"/>
      <c r="C771" s="32"/>
      <c r="D771" s="32"/>
      <c r="E771" s="32"/>
      <c r="F771" s="32"/>
      <c r="G771" s="32"/>
      <c r="H771" s="32"/>
      <c r="I771" s="32"/>
    </row>
    <row r="772">
      <c r="A772" s="137"/>
      <c r="B772" s="32"/>
      <c r="C772" s="32"/>
      <c r="D772" s="32"/>
      <c r="E772" s="32"/>
      <c r="F772" s="32"/>
      <c r="G772" s="32"/>
      <c r="H772" s="32"/>
      <c r="I772" s="32"/>
    </row>
    <row r="773">
      <c r="A773" s="137"/>
      <c r="B773" s="32"/>
      <c r="C773" s="32"/>
      <c r="D773" s="32"/>
      <c r="E773" s="32"/>
      <c r="F773" s="32"/>
      <c r="G773" s="32"/>
      <c r="H773" s="32"/>
      <c r="I773" s="32"/>
    </row>
    <row r="774">
      <c r="A774" s="137"/>
      <c r="B774" s="32"/>
      <c r="C774" s="32"/>
      <c r="D774" s="32"/>
      <c r="E774" s="32"/>
      <c r="F774" s="32"/>
      <c r="G774" s="32"/>
      <c r="H774" s="32"/>
      <c r="I774" s="32"/>
    </row>
    <row r="775">
      <c r="A775" s="137"/>
      <c r="B775" s="32"/>
      <c r="C775" s="32"/>
      <c r="D775" s="32"/>
      <c r="E775" s="32"/>
      <c r="F775" s="32"/>
      <c r="G775" s="32"/>
      <c r="H775" s="32"/>
      <c r="I775" s="32"/>
    </row>
    <row r="776">
      <c r="A776" s="137"/>
      <c r="B776" s="32"/>
      <c r="C776" s="32"/>
      <c r="D776" s="32"/>
      <c r="E776" s="32"/>
      <c r="F776" s="32"/>
      <c r="G776" s="32"/>
      <c r="H776" s="32"/>
      <c r="I776" s="32"/>
    </row>
    <row r="777">
      <c r="A777" s="137"/>
      <c r="B777" s="32"/>
      <c r="C777" s="32"/>
      <c r="D777" s="32"/>
      <c r="E777" s="32"/>
      <c r="F777" s="32"/>
      <c r="G777" s="32"/>
      <c r="H777" s="32"/>
      <c r="I777" s="32"/>
    </row>
    <row r="778">
      <c r="A778" s="137"/>
      <c r="B778" s="32"/>
      <c r="C778" s="32"/>
      <c r="D778" s="32"/>
      <c r="E778" s="32"/>
      <c r="F778" s="32"/>
      <c r="G778" s="32"/>
      <c r="H778" s="32"/>
      <c r="I778" s="32"/>
    </row>
    <row r="779">
      <c r="A779" s="137"/>
      <c r="B779" s="32"/>
      <c r="C779" s="32"/>
      <c r="D779" s="32"/>
      <c r="E779" s="32"/>
      <c r="F779" s="32"/>
      <c r="G779" s="32"/>
      <c r="H779" s="32"/>
      <c r="I779" s="32"/>
    </row>
    <row r="780">
      <c r="A780" s="137"/>
      <c r="B780" s="32"/>
      <c r="C780" s="32"/>
      <c r="D780" s="32"/>
      <c r="E780" s="32"/>
      <c r="F780" s="32"/>
      <c r="G780" s="32"/>
      <c r="H780" s="32"/>
      <c r="I780" s="32"/>
    </row>
    <row r="781">
      <c r="A781" s="137"/>
      <c r="B781" s="32"/>
      <c r="C781" s="32"/>
      <c r="D781" s="32"/>
      <c r="E781" s="32"/>
      <c r="F781" s="32"/>
      <c r="G781" s="32"/>
      <c r="H781" s="32"/>
      <c r="I781" s="32"/>
    </row>
    <row r="782">
      <c r="A782" s="137"/>
      <c r="B782" s="32"/>
      <c r="C782" s="32"/>
      <c r="D782" s="32"/>
      <c r="E782" s="32"/>
      <c r="F782" s="32"/>
      <c r="G782" s="32"/>
      <c r="H782" s="32"/>
      <c r="I782" s="32"/>
    </row>
    <row r="783">
      <c r="A783" s="137"/>
      <c r="B783" s="32"/>
      <c r="C783" s="32"/>
      <c r="D783" s="32"/>
      <c r="E783" s="32"/>
      <c r="F783" s="32"/>
      <c r="G783" s="32"/>
      <c r="H783" s="32"/>
      <c r="I783" s="32"/>
    </row>
    <row r="784">
      <c r="A784" s="137"/>
      <c r="B784" s="32"/>
      <c r="C784" s="32"/>
      <c r="D784" s="32"/>
      <c r="E784" s="32"/>
      <c r="F784" s="32"/>
      <c r="G784" s="32"/>
      <c r="H784" s="32"/>
      <c r="I784" s="32"/>
    </row>
    <row r="785">
      <c r="A785" s="137"/>
      <c r="B785" s="32"/>
      <c r="C785" s="32"/>
      <c r="D785" s="32"/>
      <c r="E785" s="32"/>
      <c r="F785" s="32"/>
      <c r="G785" s="32"/>
      <c r="H785" s="32"/>
      <c r="I785" s="32"/>
    </row>
    <row r="786">
      <c r="A786" s="137"/>
      <c r="B786" s="32"/>
      <c r="C786" s="32"/>
      <c r="D786" s="32"/>
      <c r="E786" s="32"/>
      <c r="F786" s="32"/>
      <c r="G786" s="32"/>
      <c r="H786" s="32"/>
      <c r="I786" s="32"/>
    </row>
    <row r="787">
      <c r="A787" s="137"/>
      <c r="B787" s="32"/>
      <c r="C787" s="32"/>
      <c r="D787" s="32"/>
      <c r="E787" s="32"/>
      <c r="F787" s="32"/>
      <c r="G787" s="32"/>
      <c r="H787" s="32"/>
      <c r="I787" s="32"/>
    </row>
    <row r="788">
      <c r="A788" s="137"/>
      <c r="B788" s="32"/>
      <c r="C788" s="32"/>
      <c r="D788" s="32"/>
      <c r="E788" s="32"/>
      <c r="F788" s="32"/>
      <c r="G788" s="32"/>
      <c r="H788" s="32"/>
      <c r="I788" s="32"/>
    </row>
    <row r="789">
      <c r="A789" s="137"/>
      <c r="B789" s="32"/>
      <c r="C789" s="32"/>
      <c r="D789" s="32"/>
      <c r="E789" s="32"/>
      <c r="F789" s="32"/>
      <c r="G789" s="32"/>
      <c r="H789" s="32"/>
      <c r="I789" s="32"/>
    </row>
    <row r="790">
      <c r="A790" s="137"/>
      <c r="B790" s="32"/>
      <c r="C790" s="32"/>
      <c r="D790" s="32"/>
      <c r="E790" s="32"/>
      <c r="F790" s="32"/>
      <c r="G790" s="32"/>
      <c r="H790" s="32"/>
      <c r="I790" s="32"/>
    </row>
    <row r="791">
      <c r="A791" s="137"/>
      <c r="B791" s="32"/>
      <c r="C791" s="32"/>
      <c r="D791" s="32"/>
      <c r="E791" s="32"/>
      <c r="F791" s="32"/>
      <c r="G791" s="32"/>
      <c r="H791" s="32"/>
      <c r="I791" s="32"/>
    </row>
    <row r="792">
      <c r="A792" s="137"/>
      <c r="B792" s="32"/>
      <c r="C792" s="32"/>
      <c r="D792" s="32"/>
      <c r="E792" s="32"/>
      <c r="F792" s="32"/>
      <c r="G792" s="32"/>
      <c r="H792" s="32"/>
      <c r="I792" s="32"/>
    </row>
    <row r="793">
      <c r="A793" s="137"/>
      <c r="B793" s="32"/>
      <c r="C793" s="32"/>
      <c r="D793" s="32"/>
      <c r="E793" s="32"/>
      <c r="F793" s="32"/>
      <c r="G793" s="32"/>
      <c r="H793" s="32"/>
      <c r="I793" s="32"/>
    </row>
    <row r="794">
      <c r="A794" s="137"/>
      <c r="B794" s="32"/>
      <c r="C794" s="32"/>
      <c r="D794" s="32"/>
      <c r="E794" s="32"/>
      <c r="F794" s="32"/>
      <c r="G794" s="32"/>
      <c r="H794" s="32"/>
      <c r="I794" s="32"/>
    </row>
    <row r="795">
      <c r="A795" s="137"/>
      <c r="B795" s="32"/>
      <c r="C795" s="32"/>
      <c r="D795" s="32"/>
      <c r="E795" s="32"/>
      <c r="F795" s="32"/>
      <c r="G795" s="32"/>
      <c r="H795" s="32"/>
      <c r="I795" s="32"/>
    </row>
    <row r="796">
      <c r="A796" s="137"/>
      <c r="B796" s="32"/>
      <c r="C796" s="32"/>
      <c r="D796" s="32"/>
      <c r="E796" s="32"/>
      <c r="F796" s="32"/>
      <c r="G796" s="32"/>
      <c r="H796" s="32"/>
      <c r="I796" s="32"/>
    </row>
    <row r="797">
      <c r="A797" s="137"/>
      <c r="B797" s="32"/>
      <c r="C797" s="32"/>
      <c r="D797" s="32"/>
      <c r="E797" s="32"/>
      <c r="F797" s="32"/>
      <c r="G797" s="32"/>
      <c r="H797" s="32"/>
      <c r="I797" s="32"/>
    </row>
    <row r="798">
      <c r="A798" s="137"/>
      <c r="B798" s="32"/>
      <c r="C798" s="32"/>
      <c r="D798" s="32"/>
      <c r="E798" s="32"/>
      <c r="F798" s="32"/>
      <c r="G798" s="32"/>
      <c r="H798" s="32"/>
      <c r="I798" s="32"/>
    </row>
    <row r="799">
      <c r="A799" s="137"/>
      <c r="B799" s="32"/>
      <c r="C799" s="32"/>
      <c r="D799" s="32"/>
      <c r="E799" s="32"/>
      <c r="F799" s="32"/>
      <c r="G799" s="32"/>
      <c r="H799" s="32"/>
      <c r="I799" s="32"/>
    </row>
    <row r="800">
      <c r="A800" s="137"/>
      <c r="B800" s="32"/>
      <c r="C800" s="32"/>
      <c r="D800" s="32"/>
      <c r="E800" s="32"/>
      <c r="F800" s="32"/>
      <c r="G800" s="32"/>
      <c r="H800" s="32"/>
      <c r="I800" s="32"/>
    </row>
    <row r="801">
      <c r="A801" s="137"/>
      <c r="B801" s="32"/>
      <c r="C801" s="32"/>
      <c r="D801" s="32"/>
      <c r="E801" s="32"/>
      <c r="F801" s="32"/>
      <c r="G801" s="32"/>
      <c r="H801" s="32"/>
      <c r="I801" s="32"/>
    </row>
    <row r="802">
      <c r="A802" s="137"/>
      <c r="B802" s="32"/>
      <c r="C802" s="32"/>
      <c r="D802" s="32"/>
      <c r="E802" s="32"/>
      <c r="F802" s="32"/>
      <c r="G802" s="32"/>
      <c r="H802" s="32"/>
      <c r="I802" s="32"/>
    </row>
    <row r="803">
      <c r="A803" s="137"/>
      <c r="B803" s="32"/>
      <c r="C803" s="32"/>
      <c r="D803" s="32"/>
      <c r="E803" s="32"/>
      <c r="F803" s="32"/>
      <c r="G803" s="32"/>
      <c r="H803" s="32"/>
      <c r="I803" s="32"/>
    </row>
    <row r="804">
      <c r="A804" s="137"/>
      <c r="B804" s="32"/>
      <c r="C804" s="32"/>
      <c r="D804" s="32"/>
      <c r="E804" s="32"/>
      <c r="F804" s="32"/>
      <c r="G804" s="32"/>
      <c r="H804" s="32"/>
      <c r="I804" s="32"/>
    </row>
    <row r="805">
      <c r="A805" s="137"/>
      <c r="B805" s="32"/>
      <c r="C805" s="32"/>
      <c r="D805" s="32"/>
      <c r="E805" s="32"/>
      <c r="F805" s="32"/>
      <c r="G805" s="32"/>
      <c r="H805" s="32"/>
      <c r="I805" s="32"/>
    </row>
    <row r="806">
      <c r="A806" s="137"/>
      <c r="B806" s="32"/>
      <c r="C806" s="32"/>
      <c r="D806" s="32"/>
      <c r="E806" s="32"/>
      <c r="F806" s="32"/>
      <c r="G806" s="32"/>
      <c r="H806" s="32"/>
      <c r="I806" s="32"/>
    </row>
    <row r="807">
      <c r="A807" s="137"/>
      <c r="B807" s="32"/>
      <c r="C807" s="32"/>
      <c r="D807" s="32"/>
      <c r="E807" s="32"/>
      <c r="F807" s="32"/>
      <c r="G807" s="32"/>
      <c r="H807" s="32"/>
      <c r="I807" s="32"/>
    </row>
    <row r="808">
      <c r="A808" s="137"/>
      <c r="B808" s="32"/>
      <c r="C808" s="32"/>
      <c r="D808" s="32"/>
      <c r="E808" s="32"/>
      <c r="F808" s="32"/>
      <c r="G808" s="32"/>
      <c r="H808" s="32"/>
      <c r="I808" s="32"/>
    </row>
    <row r="809">
      <c r="A809" s="137"/>
      <c r="B809" s="32"/>
      <c r="C809" s="32"/>
      <c r="D809" s="32"/>
      <c r="E809" s="32"/>
      <c r="F809" s="32"/>
      <c r="G809" s="32"/>
      <c r="H809" s="32"/>
      <c r="I809" s="32"/>
    </row>
    <row r="810">
      <c r="A810" s="137"/>
      <c r="B810" s="32"/>
      <c r="C810" s="32"/>
      <c r="D810" s="32"/>
      <c r="E810" s="32"/>
      <c r="F810" s="32"/>
      <c r="G810" s="32"/>
      <c r="H810" s="32"/>
      <c r="I810" s="32"/>
    </row>
    <row r="811">
      <c r="A811" s="137"/>
      <c r="B811" s="32"/>
      <c r="C811" s="32"/>
      <c r="D811" s="32"/>
      <c r="E811" s="32"/>
      <c r="F811" s="32"/>
      <c r="G811" s="32"/>
      <c r="H811" s="32"/>
      <c r="I811" s="32"/>
    </row>
    <row r="812">
      <c r="A812" s="137"/>
      <c r="B812" s="32"/>
      <c r="C812" s="32"/>
      <c r="D812" s="32"/>
      <c r="E812" s="32"/>
      <c r="F812" s="32"/>
      <c r="G812" s="32"/>
      <c r="H812" s="32"/>
      <c r="I812" s="32"/>
    </row>
    <row r="813">
      <c r="A813" s="137"/>
      <c r="B813" s="32"/>
      <c r="C813" s="32"/>
      <c r="D813" s="32"/>
      <c r="E813" s="32"/>
      <c r="F813" s="32"/>
      <c r="G813" s="32"/>
      <c r="H813" s="32"/>
      <c r="I813" s="32"/>
    </row>
    <row r="814">
      <c r="A814" s="137"/>
      <c r="B814" s="32"/>
      <c r="C814" s="32"/>
      <c r="D814" s="32"/>
      <c r="E814" s="32"/>
      <c r="F814" s="32"/>
      <c r="G814" s="32"/>
      <c r="H814" s="32"/>
      <c r="I814" s="32"/>
    </row>
    <row r="815">
      <c r="A815" s="137"/>
      <c r="B815" s="32"/>
      <c r="C815" s="32"/>
      <c r="D815" s="32"/>
      <c r="E815" s="32"/>
      <c r="F815" s="32"/>
      <c r="G815" s="32"/>
      <c r="H815" s="32"/>
      <c r="I815" s="32"/>
    </row>
    <row r="816">
      <c r="A816" s="137"/>
      <c r="B816" s="32"/>
      <c r="C816" s="32"/>
      <c r="D816" s="32"/>
      <c r="E816" s="32"/>
      <c r="F816" s="32"/>
      <c r="G816" s="32"/>
      <c r="H816" s="32"/>
      <c r="I816" s="32"/>
    </row>
    <row r="817">
      <c r="A817" s="137"/>
      <c r="B817" s="32"/>
      <c r="C817" s="32"/>
      <c r="D817" s="32"/>
      <c r="E817" s="32"/>
      <c r="F817" s="32"/>
      <c r="G817" s="32"/>
      <c r="H817" s="32"/>
      <c r="I817" s="32"/>
    </row>
    <row r="818">
      <c r="A818" s="137"/>
      <c r="B818" s="32"/>
      <c r="C818" s="32"/>
      <c r="D818" s="32"/>
      <c r="E818" s="32"/>
      <c r="F818" s="32"/>
      <c r="G818" s="32"/>
      <c r="H818" s="32"/>
      <c r="I818" s="32"/>
    </row>
    <row r="819">
      <c r="A819" s="137"/>
      <c r="B819" s="32"/>
      <c r="C819" s="32"/>
      <c r="D819" s="32"/>
      <c r="E819" s="32"/>
      <c r="F819" s="32"/>
      <c r="G819" s="32"/>
      <c r="H819" s="32"/>
      <c r="I819" s="32"/>
    </row>
    <row r="820">
      <c r="A820" s="137"/>
      <c r="B820" s="32"/>
      <c r="C820" s="32"/>
      <c r="D820" s="32"/>
      <c r="E820" s="32"/>
      <c r="F820" s="32"/>
      <c r="G820" s="32"/>
      <c r="H820" s="32"/>
      <c r="I820" s="32"/>
    </row>
    <row r="821">
      <c r="A821" s="137"/>
      <c r="B821" s="32"/>
      <c r="C821" s="32"/>
      <c r="D821" s="32"/>
      <c r="E821" s="32"/>
      <c r="F821" s="32"/>
      <c r="G821" s="32"/>
      <c r="H821" s="32"/>
      <c r="I821" s="32"/>
    </row>
    <row r="822">
      <c r="A822" s="137"/>
      <c r="B822" s="32"/>
      <c r="C822" s="32"/>
      <c r="D822" s="32"/>
      <c r="E822" s="32"/>
      <c r="F822" s="32"/>
      <c r="G822" s="32"/>
      <c r="H822" s="32"/>
      <c r="I822" s="32"/>
    </row>
    <row r="823">
      <c r="A823" s="137"/>
      <c r="B823" s="32"/>
      <c r="C823" s="32"/>
      <c r="D823" s="32"/>
      <c r="E823" s="32"/>
      <c r="F823" s="32"/>
      <c r="G823" s="32"/>
      <c r="H823" s="32"/>
      <c r="I823" s="32"/>
    </row>
    <row r="824">
      <c r="A824" s="137"/>
      <c r="B824" s="32"/>
      <c r="C824" s="32"/>
      <c r="D824" s="32"/>
      <c r="E824" s="32"/>
      <c r="F824" s="32"/>
      <c r="G824" s="32"/>
      <c r="H824" s="32"/>
      <c r="I824" s="32"/>
    </row>
    <row r="825">
      <c r="A825" s="137"/>
      <c r="B825" s="32"/>
      <c r="C825" s="32"/>
      <c r="D825" s="32"/>
      <c r="E825" s="32"/>
      <c r="F825" s="32"/>
      <c r="G825" s="32"/>
      <c r="H825" s="32"/>
      <c r="I825" s="32"/>
    </row>
    <row r="826">
      <c r="A826" s="137"/>
      <c r="B826" s="32"/>
      <c r="C826" s="32"/>
      <c r="D826" s="32"/>
      <c r="E826" s="32"/>
      <c r="F826" s="32"/>
      <c r="G826" s="32"/>
      <c r="H826" s="32"/>
      <c r="I826" s="32"/>
    </row>
    <row r="827">
      <c r="A827" s="137"/>
      <c r="B827" s="32"/>
      <c r="C827" s="32"/>
      <c r="D827" s="32"/>
      <c r="E827" s="32"/>
      <c r="F827" s="32"/>
      <c r="G827" s="32"/>
      <c r="H827" s="32"/>
      <c r="I827" s="32"/>
    </row>
    <row r="828">
      <c r="A828" s="137"/>
      <c r="B828" s="32"/>
      <c r="C828" s="32"/>
      <c r="D828" s="32"/>
      <c r="E828" s="32"/>
      <c r="F828" s="32"/>
      <c r="G828" s="32"/>
      <c r="H828" s="32"/>
      <c r="I828" s="32"/>
    </row>
    <row r="829">
      <c r="A829" s="137"/>
      <c r="B829" s="32"/>
      <c r="C829" s="32"/>
      <c r="D829" s="32"/>
      <c r="E829" s="32"/>
      <c r="F829" s="32"/>
      <c r="G829" s="32"/>
      <c r="H829" s="32"/>
      <c r="I829" s="32"/>
    </row>
    <row r="830">
      <c r="A830" s="137"/>
      <c r="B830" s="32"/>
      <c r="C830" s="32"/>
      <c r="D830" s="32"/>
      <c r="E830" s="32"/>
      <c r="F830" s="32"/>
      <c r="G830" s="32"/>
      <c r="H830" s="32"/>
      <c r="I830" s="32"/>
    </row>
    <row r="831">
      <c r="A831" s="137"/>
      <c r="B831" s="32"/>
      <c r="C831" s="32"/>
      <c r="D831" s="32"/>
      <c r="E831" s="32"/>
      <c r="F831" s="32"/>
      <c r="G831" s="32"/>
      <c r="H831" s="32"/>
      <c r="I831" s="32"/>
    </row>
    <row r="832">
      <c r="A832" s="137"/>
      <c r="B832" s="32"/>
      <c r="C832" s="32"/>
      <c r="D832" s="32"/>
      <c r="E832" s="32"/>
      <c r="F832" s="32"/>
      <c r="G832" s="32"/>
      <c r="H832" s="32"/>
      <c r="I832" s="32"/>
    </row>
    <row r="833">
      <c r="A833" s="137"/>
      <c r="B833" s="32"/>
      <c r="C833" s="32"/>
      <c r="D833" s="32"/>
      <c r="E833" s="32"/>
      <c r="F833" s="32"/>
      <c r="G833" s="32"/>
      <c r="H833" s="32"/>
      <c r="I833" s="32"/>
    </row>
    <row r="834">
      <c r="A834" s="137"/>
      <c r="B834" s="32"/>
      <c r="C834" s="32"/>
      <c r="D834" s="32"/>
      <c r="E834" s="32"/>
      <c r="F834" s="32"/>
      <c r="G834" s="32"/>
      <c r="H834" s="32"/>
      <c r="I834" s="32"/>
    </row>
    <row r="835">
      <c r="A835" s="137"/>
      <c r="B835" s="32"/>
      <c r="C835" s="32"/>
      <c r="D835" s="32"/>
      <c r="E835" s="32"/>
      <c r="F835" s="32"/>
      <c r="G835" s="32"/>
      <c r="H835" s="32"/>
      <c r="I835" s="32"/>
    </row>
    <row r="836">
      <c r="A836" s="137"/>
      <c r="B836" s="32"/>
      <c r="C836" s="32"/>
      <c r="D836" s="32"/>
      <c r="E836" s="32"/>
      <c r="F836" s="32"/>
      <c r="G836" s="32"/>
      <c r="H836" s="32"/>
      <c r="I836" s="32"/>
    </row>
    <row r="837">
      <c r="A837" s="137"/>
      <c r="B837" s="32"/>
      <c r="C837" s="32"/>
      <c r="D837" s="32"/>
      <c r="E837" s="32"/>
      <c r="F837" s="32"/>
      <c r="G837" s="32"/>
      <c r="H837" s="32"/>
      <c r="I837" s="32"/>
    </row>
    <row r="838">
      <c r="A838" s="137"/>
      <c r="B838" s="32"/>
      <c r="C838" s="32"/>
      <c r="D838" s="32"/>
      <c r="E838" s="32"/>
      <c r="F838" s="32"/>
      <c r="G838" s="32"/>
      <c r="H838" s="32"/>
      <c r="I838" s="32"/>
    </row>
    <row r="839">
      <c r="A839" s="137"/>
      <c r="B839" s="32"/>
      <c r="C839" s="32"/>
      <c r="D839" s="32"/>
      <c r="E839" s="32"/>
      <c r="F839" s="32"/>
      <c r="G839" s="32"/>
      <c r="H839" s="32"/>
      <c r="I839" s="32"/>
    </row>
    <row r="840">
      <c r="A840" s="137"/>
      <c r="B840" s="32"/>
      <c r="C840" s="32"/>
      <c r="D840" s="32"/>
      <c r="E840" s="32"/>
      <c r="F840" s="32"/>
      <c r="G840" s="32"/>
      <c r="H840" s="32"/>
      <c r="I840" s="32"/>
    </row>
    <row r="841">
      <c r="A841" s="137"/>
      <c r="B841" s="32"/>
      <c r="C841" s="32"/>
      <c r="D841" s="32"/>
      <c r="E841" s="32"/>
      <c r="F841" s="32"/>
      <c r="G841" s="32"/>
      <c r="H841" s="32"/>
      <c r="I841" s="32"/>
    </row>
    <row r="842">
      <c r="A842" s="137"/>
      <c r="B842" s="32"/>
      <c r="C842" s="32"/>
      <c r="D842" s="32"/>
      <c r="E842" s="32"/>
      <c r="F842" s="32"/>
      <c r="G842" s="32"/>
      <c r="H842" s="32"/>
      <c r="I842" s="32"/>
    </row>
    <row r="843">
      <c r="A843" s="137"/>
      <c r="B843" s="32"/>
      <c r="C843" s="32"/>
      <c r="D843" s="32"/>
      <c r="E843" s="32"/>
      <c r="F843" s="32"/>
      <c r="G843" s="32"/>
      <c r="H843" s="32"/>
      <c r="I843" s="32"/>
    </row>
    <row r="844">
      <c r="A844" s="137"/>
      <c r="B844" s="32"/>
      <c r="C844" s="32"/>
      <c r="D844" s="32"/>
      <c r="E844" s="32"/>
      <c r="F844" s="32"/>
      <c r="G844" s="32"/>
      <c r="H844" s="32"/>
      <c r="I844" s="32"/>
    </row>
    <row r="845">
      <c r="A845" s="137"/>
      <c r="B845" s="32"/>
      <c r="C845" s="32"/>
      <c r="D845" s="32"/>
      <c r="E845" s="32"/>
      <c r="F845" s="32"/>
      <c r="G845" s="32"/>
      <c r="H845" s="32"/>
      <c r="I845" s="32"/>
    </row>
    <row r="846">
      <c r="A846" s="137"/>
      <c r="B846" s="32"/>
      <c r="C846" s="32"/>
      <c r="D846" s="32"/>
      <c r="E846" s="32"/>
      <c r="F846" s="32"/>
      <c r="G846" s="32"/>
      <c r="H846" s="32"/>
      <c r="I846" s="32"/>
    </row>
    <row r="847">
      <c r="A847" s="137"/>
      <c r="B847" s="32"/>
      <c r="C847" s="32"/>
      <c r="D847" s="32"/>
      <c r="E847" s="32"/>
      <c r="F847" s="32"/>
      <c r="G847" s="32"/>
      <c r="H847" s="32"/>
      <c r="I847" s="32"/>
    </row>
    <row r="848">
      <c r="A848" s="137"/>
      <c r="B848" s="32"/>
      <c r="C848" s="32"/>
      <c r="D848" s="32"/>
      <c r="E848" s="32"/>
      <c r="F848" s="32"/>
      <c r="G848" s="32"/>
      <c r="H848" s="32"/>
      <c r="I848" s="32"/>
    </row>
    <row r="849">
      <c r="A849" s="137"/>
      <c r="B849" s="32"/>
      <c r="C849" s="32"/>
      <c r="D849" s="32"/>
      <c r="E849" s="32"/>
      <c r="F849" s="32"/>
      <c r="G849" s="32"/>
      <c r="H849" s="32"/>
      <c r="I849" s="32"/>
    </row>
    <row r="850">
      <c r="A850" s="137"/>
      <c r="B850" s="32"/>
      <c r="C850" s="32"/>
      <c r="D850" s="32"/>
      <c r="E850" s="32"/>
      <c r="F850" s="32"/>
      <c r="G850" s="32"/>
      <c r="H850" s="32"/>
      <c r="I850" s="32"/>
    </row>
    <row r="851">
      <c r="A851" s="137"/>
      <c r="B851" s="32"/>
      <c r="C851" s="32"/>
      <c r="D851" s="32"/>
      <c r="E851" s="32"/>
      <c r="F851" s="32"/>
      <c r="G851" s="32"/>
      <c r="H851" s="32"/>
      <c r="I851" s="32"/>
    </row>
    <row r="852">
      <c r="A852" s="137"/>
      <c r="B852" s="32"/>
      <c r="C852" s="32"/>
      <c r="D852" s="32"/>
      <c r="E852" s="32"/>
      <c r="F852" s="32"/>
      <c r="G852" s="32"/>
      <c r="H852" s="32"/>
      <c r="I852" s="32"/>
    </row>
    <row r="853">
      <c r="A853" s="137"/>
      <c r="B853" s="32"/>
      <c r="C853" s="32"/>
      <c r="D853" s="32"/>
      <c r="E853" s="32"/>
      <c r="F853" s="32"/>
      <c r="G853" s="32"/>
      <c r="H853" s="32"/>
      <c r="I853" s="32"/>
    </row>
    <row r="854">
      <c r="A854" s="137"/>
      <c r="B854" s="32"/>
      <c r="C854" s="32"/>
      <c r="D854" s="32"/>
      <c r="E854" s="32"/>
      <c r="F854" s="32"/>
      <c r="G854" s="32"/>
      <c r="H854" s="32"/>
      <c r="I854" s="32"/>
    </row>
    <row r="855">
      <c r="A855" s="137"/>
      <c r="B855" s="32"/>
      <c r="C855" s="32"/>
      <c r="D855" s="32"/>
      <c r="E855" s="32"/>
      <c r="F855" s="32"/>
      <c r="G855" s="32"/>
      <c r="H855" s="32"/>
      <c r="I855" s="32"/>
    </row>
    <row r="856">
      <c r="A856" s="137"/>
      <c r="B856" s="32"/>
      <c r="C856" s="32"/>
      <c r="D856" s="32"/>
      <c r="E856" s="32"/>
      <c r="F856" s="32"/>
      <c r="G856" s="32"/>
      <c r="H856" s="32"/>
      <c r="I856" s="32"/>
    </row>
    <row r="857">
      <c r="A857" s="137"/>
      <c r="B857" s="32"/>
      <c r="C857" s="32"/>
      <c r="D857" s="32"/>
      <c r="E857" s="32"/>
      <c r="F857" s="32"/>
      <c r="G857" s="32"/>
      <c r="H857" s="32"/>
      <c r="I857" s="32"/>
    </row>
    <row r="858">
      <c r="A858" s="137"/>
      <c r="B858" s="32"/>
      <c r="C858" s="32"/>
      <c r="D858" s="32"/>
      <c r="E858" s="32"/>
      <c r="F858" s="32"/>
      <c r="G858" s="32"/>
      <c r="H858" s="32"/>
      <c r="I858" s="32"/>
    </row>
    <row r="859">
      <c r="A859" s="137"/>
      <c r="B859" s="32"/>
      <c r="C859" s="32"/>
      <c r="D859" s="32"/>
      <c r="E859" s="32"/>
      <c r="F859" s="32"/>
      <c r="G859" s="32"/>
      <c r="H859" s="32"/>
      <c r="I859" s="32"/>
    </row>
    <row r="860">
      <c r="A860" s="137"/>
      <c r="B860" s="32"/>
      <c r="C860" s="32"/>
      <c r="D860" s="32"/>
      <c r="E860" s="32"/>
      <c r="F860" s="32"/>
      <c r="G860" s="32"/>
      <c r="H860" s="32"/>
      <c r="I860" s="32"/>
    </row>
    <row r="861">
      <c r="A861" s="137"/>
      <c r="B861" s="32"/>
      <c r="C861" s="32"/>
      <c r="D861" s="32"/>
      <c r="E861" s="32"/>
      <c r="F861" s="32"/>
      <c r="G861" s="32"/>
      <c r="H861" s="32"/>
      <c r="I861" s="32"/>
    </row>
    <row r="862">
      <c r="A862" s="137"/>
      <c r="B862" s="32"/>
      <c r="C862" s="32"/>
      <c r="D862" s="32"/>
      <c r="E862" s="32"/>
      <c r="F862" s="32"/>
      <c r="G862" s="32"/>
      <c r="H862" s="32"/>
      <c r="I862" s="32"/>
    </row>
    <row r="863">
      <c r="A863" s="137"/>
      <c r="B863" s="32"/>
      <c r="C863" s="32"/>
      <c r="D863" s="32"/>
      <c r="E863" s="32"/>
      <c r="F863" s="32"/>
      <c r="G863" s="32"/>
      <c r="H863" s="32"/>
      <c r="I863" s="32"/>
    </row>
    <row r="864">
      <c r="A864" s="137"/>
      <c r="B864" s="32"/>
      <c r="C864" s="32"/>
      <c r="D864" s="32"/>
      <c r="E864" s="32"/>
      <c r="F864" s="32"/>
      <c r="G864" s="32"/>
      <c r="H864" s="32"/>
      <c r="I864" s="32"/>
    </row>
    <row r="865">
      <c r="A865" s="137"/>
      <c r="B865" s="32"/>
      <c r="C865" s="32"/>
      <c r="D865" s="32"/>
      <c r="E865" s="32"/>
      <c r="F865" s="32"/>
      <c r="G865" s="32"/>
      <c r="H865" s="32"/>
      <c r="I865" s="32"/>
    </row>
    <row r="866">
      <c r="A866" s="137"/>
      <c r="B866" s="32"/>
      <c r="C866" s="32"/>
      <c r="D866" s="32"/>
      <c r="E866" s="32"/>
      <c r="F866" s="32"/>
      <c r="G866" s="32"/>
      <c r="H866" s="32"/>
      <c r="I866" s="32"/>
    </row>
    <row r="867">
      <c r="A867" s="137"/>
      <c r="B867" s="32"/>
      <c r="C867" s="32"/>
      <c r="D867" s="32"/>
      <c r="E867" s="32"/>
      <c r="F867" s="32"/>
      <c r="G867" s="32"/>
      <c r="H867" s="32"/>
      <c r="I867" s="32"/>
    </row>
    <row r="868">
      <c r="A868" s="137"/>
      <c r="B868" s="32"/>
      <c r="C868" s="32"/>
      <c r="D868" s="32"/>
      <c r="E868" s="32"/>
      <c r="F868" s="32"/>
      <c r="G868" s="32"/>
      <c r="H868" s="32"/>
      <c r="I868" s="32"/>
    </row>
    <row r="869">
      <c r="A869" s="137"/>
      <c r="B869" s="32"/>
      <c r="C869" s="32"/>
      <c r="D869" s="32"/>
      <c r="E869" s="32"/>
      <c r="F869" s="32"/>
      <c r="G869" s="32"/>
      <c r="H869" s="32"/>
      <c r="I869" s="32"/>
    </row>
    <row r="870">
      <c r="A870" s="137"/>
      <c r="B870" s="32"/>
      <c r="C870" s="32"/>
      <c r="D870" s="32"/>
      <c r="E870" s="32"/>
      <c r="F870" s="32"/>
      <c r="G870" s="32"/>
      <c r="H870" s="32"/>
      <c r="I870" s="32"/>
    </row>
    <row r="871">
      <c r="A871" s="137"/>
      <c r="B871" s="32"/>
      <c r="C871" s="32"/>
      <c r="D871" s="32"/>
      <c r="E871" s="32"/>
      <c r="F871" s="32"/>
      <c r="G871" s="32"/>
      <c r="H871" s="32"/>
      <c r="I871" s="32"/>
    </row>
    <row r="872">
      <c r="A872" s="137"/>
      <c r="B872" s="32"/>
      <c r="C872" s="32"/>
      <c r="D872" s="32"/>
      <c r="E872" s="32"/>
      <c r="F872" s="32"/>
      <c r="G872" s="32"/>
      <c r="H872" s="32"/>
      <c r="I872" s="32"/>
    </row>
    <row r="873">
      <c r="A873" s="137"/>
      <c r="B873" s="32"/>
      <c r="C873" s="32"/>
      <c r="D873" s="32"/>
      <c r="E873" s="32"/>
      <c r="F873" s="32"/>
      <c r="G873" s="32"/>
      <c r="H873" s="32"/>
      <c r="I873" s="32"/>
    </row>
    <row r="874">
      <c r="A874" s="137"/>
      <c r="B874" s="32"/>
      <c r="C874" s="32"/>
      <c r="D874" s="32"/>
      <c r="E874" s="32"/>
      <c r="F874" s="32"/>
      <c r="G874" s="32"/>
      <c r="H874" s="32"/>
      <c r="I874" s="32"/>
    </row>
    <row r="875">
      <c r="A875" s="137"/>
      <c r="B875" s="32"/>
      <c r="C875" s="32"/>
      <c r="D875" s="32"/>
      <c r="E875" s="32"/>
      <c r="F875" s="32"/>
      <c r="G875" s="32"/>
      <c r="H875" s="32"/>
      <c r="I875" s="32"/>
    </row>
    <row r="876">
      <c r="A876" s="137"/>
      <c r="B876" s="32"/>
      <c r="C876" s="32"/>
      <c r="D876" s="32"/>
      <c r="E876" s="32"/>
      <c r="F876" s="32"/>
      <c r="G876" s="32"/>
      <c r="H876" s="32"/>
      <c r="I876" s="32"/>
    </row>
    <row r="877">
      <c r="A877" s="137"/>
      <c r="B877" s="32"/>
      <c r="C877" s="32"/>
      <c r="D877" s="32"/>
      <c r="E877" s="32"/>
      <c r="F877" s="32"/>
      <c r="G877" s="32"/>
      <c r="H877" s="32"/>
      <c r="I877" s="32"/>
    </row>
    <row r="878">
      <c r="A878" s="137"/>
      <c r="B878" s="32"/>
      <c r="C878" s="32"/>
      <c r="D878" s="32"/>
      <c r="E878" s="32"/>
      <c r="F878" s="32"/>
      <c r="G878" s="32"/>
      <c r="H878" s="32"/>
      <c r="I878" s="32"/>
    </row>
    <row r="879">
      <c r="A879" s="137"/>
      <c r="B879" s="32"/>
      <c r="C879" s="32"/>
      <c r="D879" s="32"/>
      <c r="E879" s="32"/>
      <c r="F879" s="32"/>
      <c r="G879" s="32"/>
      <c r="H879" s="32"/>
      <c r="I879" s="32"/>
    </row>
    <row r="880">
      <c r="A880" s="137"/>
      <c r="B880" s="32"/>
      <c r="C880" s="32"/>
      <c r="D880" s="32"/>
      <c r="E880" s="32"/>
      <c r="F880" s="32"/>
      <c r="G880" s="32"/>
      <c r="H880" s="32"/>
      <c r="I880" s="32"/>
    </row>
    <row r="881">
      <c r="A881" s="137"/>
      <c r="B881" s="32"/>
      <c r="C881" s="32"/>
      <c r="D881" s="32"/>
      <c r="E881" s="32"/>
      <c r="F881" s="32"/>
      <c r="G881" s="32"/>
      <c r="H881" s="32"/>
      <c r="I881" s="32"/>
    </row>
    <row r="882">
      <c r="A882" s="137"/>
      <c r="B882" s="32"/>
      <c r="C882" s="32"/>
      <c r="D882" s="32"/>
      <c r="E882" s="32"/>
      <c r="F882" s="32"/>
      <c r="G882" s="32"/>
      <c r="H882" s="32"/>
      <c r="I882" s="32"/>
    </row>
    <row r="883">
      <c r="A883" s="137"/>
      <c r="B883" s="32"/>
      <c r="C883" s="32"/>
      <c r="D883" s="32"/>
      <c r="E883" s="32"/>
      <c r="F883" s="32"/>
      <c r="G883" s="32"/>
      <c r="H883" s="32"/>
      <c r="I883" s="32"/>
    </row>
    <row r="884">
      <c r="A884" s="137"/>
      <c r="B884" s="32"/>
      <c r="C884" s="32"/>
      <c r="D884" s="32"/>
      <c r="E884" s="32"/>
      <c r="F884" s="32"/>
      <c r="G884" s="32"/>
      <c r="H884" s="32"/>
      <c r="I884" s="32"/>
    </row>
    <row r="885">
      <c r="A885" s="137"/>
      <c r="B885" s="32"/>
      <c r="C885" s="32"/>
      <c r="D885" s="32"/>
      <c r="E885" s="32"/>
      <c r="F885" s="32"/>
      <c r="G885" s="32"/>
      <c r="H885" s="32"/>
      <c r="I885" s="32"/>
    </row>
    <row r="886">
      <c r="A886" s="137"/>
      <c r="B886" s="32"/>
      <c r="C886" s="32"/>
      <c r="D886" s="32"/>
      <c r="E886" s="32"/>
      <c r="F886" s="32"/>
      <c r="G886" s="32"/>
      <c r="H886" s="32"/>
      <c r="I886" s="32"/>
    </row>
    <row r="887">
      <c r="A887" s="137"/>
      <c r="B887" s="32"/>
      <c r="C887" s="32"/>
      <c r="D887" s="32"/>
      <c r="E887" s="32"/>
      <c r="F887" s="32"/>
      <c r="G887" s="32"/>
      <c r="H887" s="32"/>
      <c r="I887" s="32"/>
    </row>
    <row r="888">
      <c r="A888" s="137"/>
      <c r="B888" s="32"/>
      <c r="C888" s="32"/>
      <c r="D888" s="32"/>
      <c r="E888" s="32"/>
      <c r="F888" s="32"/>
      <c r="G888" s="32"/>
      <c r="H888" s="32"/>
      <c r="I888" s="32"/>
    </row>
    <row r="889">
      <c r="A889" s="137"/>
      <c r="B889" s="32"/>
      <c r="C889" s="32"/>
      <c r="D889" s="32"/>
      <c r="E889" s="32"/>
      <c r="F889" s="32"/>
      <c r="G889" s="32"/>
      <c r="H889" s="32"/>
      <c r="I889" s="32"/>
    </row>
    <row r="890">
      <c r="A890" s="137"/>
      <c r="B890" s="32"/>
      <c r="C890" s="32"/>
      <c r="D890" s="32"/>
      <c r="E890" s="32"/>
      <c r="F890" s="32"/>
      <c r="G890" s="32"/>
      <c r="H890" s="32"/>
      <c r="I890" s="32"/>
    </row>
    <row r="891">
      <c r="A891" s="137"/>
      <c r="B891" s="32"/>
      <c r="C891" s="32"/>
      <c r="D891" s="32"/>
      <c r="E891" s="32"/>
      <c r="F891" s="32"/>
      <c r="G891" s="32"/>
      <c r="H891" s="32"/>
      <c r="I891" s="32"/>
    </row>
    <row r="892">
      <c r="A892" s="137"/>
      <c r="B892" s="32"/>
      <c r="C892" s="32"/>
      <c r="D892" s="32"/>
      <c r="E892" s="32"/>
      <c r="F892" s="32"/>
      <c r="G892" s="32"/>
      <c r="H892" s="32"/>
      <c r="I892" s="32"/>
    </row>
    <row r="893">
      <c r="A893" s="137"/>
      <c r="B893" s="32"/>
      <c r="C893" s="32"/>
      <c r="D893" s="32"/>
      <c r="E893" s="32"/>
      <c r="F893" s="32"/>
      <c r="G893" s="32"/>
      <c r="H893" s="32"/>
      <c r="I893" s="32"/>
    </row>
    <row r="894">
      <c r="A894" s="137"/>
      <c r="B894" s="32"/>
      <c r="C894" s="32"/>
      <c r="D894" s="32"/>
      <c r="E894" s="32"/>
      <c r="F894" s="32"/>
      <c r="G894" s="32"/>
      <c r="H894" s="32"/>
      <c r="I894" s="32"/>
    </row>
    <row r="895">
      <c r="A895" s="137"/>
      <c r="B895" s="32"/>
      <c r="C895" s="32"/>
      <c r="D895" s="32"/>
      <c r="E895" s="32"/>
      <c r="F895" s="32"/>
      <c r="G895" s="32"/>
      <c r="H895" s="32"/>
      <c r="I895" s="32"/>
    </row>
    <row r="896">
      <c r="A896" s="137"/>
      <c r="B896" s="32"/>
      <c r="C896" s="32"/>
      <c r="D896" s="32"/>
      <c r="E896" s="32"/>
      <c r="F896" s="32"/>
      <c r="G896" s="32"/>
      <c r="H896" s="32"/>
      <c r="I896" s="32"/>
    </row>
    <row r="897">
      <c r="A897" s="137"/>
      <c r="B897" s="32"/>
      <c r="C897" s="32"/>
      <c r="D897" s="32"/>
      <c r="E897" s="32"/>
      <c r="F897" s="32"/>
      <c r="G897" s="32"/>
      <c r="H897" s="32"/>
      <c r="I897" s="32"/>
    </row>
    <row r="898">
      <c r="A898" s="137"/>
      <c r="B898" s="32"/>
      <c r="C898" s="32"/>
      <c r="D898" s="32"/>
      <c r="E898" s="32"/>
      <c r="F898" s="32"/>
      <c r="G898" s="32"/>
      <c r="H898" s="32"/>
      <c r="I898" s="32"/>
    </row>
    <row r="899">
      <c r="A899" s="137"/>
      <c r="B899" s="32"/>
      <c r="C899" s="32"/>
      <c r="D899" s="32"/>
      <c r="E899" s="32"/>
      <c r="F899" s="32"/>
      <c r="G899" s="32"/>
      <c r="H899" s="32"/>
      <c r="I899" s="32"/>
    </row>
    <row r="900">
      <c r="A900" s="137"/>
      <c r="B900" s="32"/>
      <c r="C900" s="32"/>
      <c r="D900" s="32"/>
      <c r="E900" s="32"/>
      <c r="F900" s="32"/>
      <c r="G900" s="32"/>
      <c r="H900" s="32"/>
      <c r="I900" s="32"/>
    </row>
    <row r="901">
      <c r="A901" s="137"/>
      <c r="B901" s="32"/>
      <c r="C901" s="32"/>
      <c r="D901" s="32"/>
      <c r="E901" s="32"/>
      <c r="F901" s="32"/>
      <c r="G901" s="32"/>
      <c r="H901" s="32"/>
      <c r="I901" s="32"/>
    </row>
    <row r="902">
      <c r="A902" s="137"/>
      <c r="B902" s="32"/>
      <c r="C902" s="32"/>
      <c r="D902" s="32"/>
      <c r="E902" s="32"/>
      <c r="F902" s="32"/>
      <c r="G902" s="32"/>
      <c r="H902" s="32"/>
      <c r="I902" s="32"/>
    </row>
    <row r="903">
      <c r="A903" s="137"/>
      <c r="B903" s="32"/>
      <c r="C903" s="32"/>
      <c r="D903" s="32"/>
      <c r="E903" s="32"/>
      <c r="F903" s="32"/>
      <c r="G903" s="32"/>
      <c r="H903" s="32"/>
      <c r="I903" s="32"/>
    </row>
    <row r="904">
      <c r="A904" s="137"/>
      <c r="B904" s="32"/>
      <c r="C904" s="32"/>
      <c r="D904" s="32"/>
      <c r="E904" s="32"/>
      <c r="F904" s="32"/>
      <c r="G904" s="32"/>
      <c r="H904" s="32"/>
      <c r="I904" s="32"/>
    </row>
    <row r="905">
      <c r="A905" s="137"/>
      <c r="B905" s="32"/>
      <c r="C905" s="32"/>
      <c r="D905" s="32"/>
      <c r="E905" s="32"/>
      <c r="F905" s="32"/>
      <c r="G905" s="32"/>
      <c r="H905" s="32"/>
      <c r="I905" s="32"/>
    </row>
    <row r="906">
      <c r="A906" s="137"/>
      <c r="B906" s="32"/>
      <c r="C906" s="32"/>
      <c r="D906" s="32"/>
      <c r="E906" s="32"/>
      <c r="F906" s="32"/>
      <c r="G906" s="32"/>
      <c r="H906" s="32"/>
      <c r="I906" s="32"/>
    </row>
    <row r="907">
      <c r="A907" s="137"/>
      <c r="B907" s="32"/>
      <c r="C907" s="32"/>
      <c r="D907" s="32"/>
      <c r="E907" s="32"/>
      <c r="F907" s="32"/>
      <c r="G907" s="32"/>
      <c r="H907" s="32"/>
      <c r="I907" s="32"/>
    </row>
    <row r="908">
      <c r="A908" s="137"/>
      <c r="B908" s="32"/>
      <c r="C908" s="32"/>
      <c r="D908" s="32"/>
      <c r="E908" s="32"/>
      <c r="F908" s="32"/>
      <c r="G908" s="32"/>
      <c r="H908" s="32"/>
      <c r="I908" s="32"/>
    </row>
    <row r="909">
      <c r="A909" s="137"/>
      <c r="B909" s="32"/>
      <c r="C909" s="32"/>
      <c r="D909" s="32"/>
      <c r="E909" s="32"/>
      <c r="F909" s="32"/>
      <c r="G909" s="32"/>
      <c r="H909" s="32"/>
      <c r="I909" s="32"/>
    </row>
    <row r="910">
      <c r="A910" s="137"/>
      <c r="B910" s="32"/>
      <c r="C910" s="32"/>
      <c r="D910" s="32"/>
      <c r="E910" s="32"/>
      <c r="F910" s="32"/>
      <c r="G910" s="32"/>
      <c r="H910" s="32"/>
      <c r="I910" s="32"/>
    </row>
    <row r="911">
      <c r="A911" s="137"/>
      <c r="B911" s="32"/>
      <c r="C911" s="32"/>
      <c r="D911" s="32"/>
      <c r="E911" s="32"/>
      <c r="F911" s="32"/>
      <c r="G911" s="32"/>
      <c r="H911" s="32"/>
      <c r="I911" s="32"/>
    </row>
    <row r="912">
      <c r="A912" s="137"/>
      <c r="B912" s="32"/>
      <c r="C912" s="32"/>
      <c r="D912" s="32"/>
      <c r="E912" s="32"/>
      <c r="F912" s="32"/>
      <c r="G912" s="32"/>
      <c r="H912" s="32"/>
      <c r="I912" s="32"/>
    </row>
    <row r="913">
      <c r="A913" s="137"/>
      <c r="B913" s="32"/>
      <c r="C913" s="32"/>
      <c r="D913" s="32"/>
      <c r="E913" s="32"/>
      <c r="F913" s="32"/>
      <c r="G913" s="32"/>
      <c r="H913" s="32"/>
      <c r="I913" s="32"/>
    </row>
    <row r="914">
      <c r="A914" s="137"/>
      <c r="B914" s="32"/>
      <c r="C914" s="32"/>
      <c r="D914" s="32"/>
      <c r="E914" s="32"/>
      <c r="F914" s="32"/>
      <c r="G914" s="32"/>
      <c r="H914" s="32"/>
      <c r="I914" s="32"/>
    </row>
    <row r="915">
      <c r="A915" s="137"/>
      <c r="B915" s="32"/>
      <c r="C915" s="32"/>
      <c r="D915" s="32"/>
      <c r="E915" s="32"/>
      <c r="F915" s="32"/>
      <c r="G915" s="32"/>
      <c r="H915" s="32"/>
      <c r="I915" s="32"/>
    </row>
    <row r="916">
      <c r="A916" s="137"/>
      <c r="B916" s="32"/>
      <c r="C916" s="32"/>
      <c r="D916" s="32"/>
      <c r="E916" s="32"/>
      <c r="F916" s="32"/>
      <c r="G916" s="32"/>
      <c r="H916" s="32"/>
      <c r="I916" s="32"/>
    </row>
    <row r="917">
      <c r="A917" s="137"/>
      <c r="B917" s="32"/>
      <c r="C917" s="32"/>
      <c r="D917" s="32"/>
      <c r="E917" s="32"/>
      <c r="F917" s="32"/>
      <c r="G917" s="32"/>
      <c r="H917" s="32"/>
      <c r="I917" s="32"/>
    </row>
    <row r="918">
      <c r="A918" s="137"/>
      <c r="B918" s="32"/>
      <c r="C918" s="32"/>
      <c r="D918" s="32"/>
      <c r="E918" s="32"/>
      <c r="F918" s="32"/>
      <c r="G918" s="32"/>
      <c r="H918" s="32"/>
      <c r="I918" s="32"/>
    </row>
    <row r="919">
      <c r="A919" s="137"/>
      <c r="B919" s="32"/>
      <c r="C919" s="32"/>
      <c r="D919" s="32"/>
      <c r="E919" s="32"/>
      <c r="F919" s="32"/>
      <c r="G919" s="32"/>
      <c r="H919" s="32"/>
      <c r="I919" s="32"/>
    </row>
    <row r="920">
      <c r="A920" s="137"/>
      <c r="B920" s="32"/>
      <c r="C920" s="32"/>
      <c r="D920" s="32"/>
      <c r="E920" s="32"/>
      <c r="F920" s="32"/>
      <c r="G920" s="32"/>
      <c r="H920" s="32"/>
      <c r="I920" s="32"/>
    </row>
    <row r="921">
      <c r="A921" s="137"/>
      <c r="B921" s="32"/>
      <c r="C921" s="32"/>
      <c r="D921" s="32"/>
      <c r="E921" s="32"/>
      <c r="F921" s="32"/>
      <c r="G921" s="32"/>
      <c r="H921" s="32"/>
      <c r="I921" s="32"/>
    </row>
    <row r="922">
      <c r="A922" s="137"/>
      <c r="B922" s="32"/>
      <c r="C922" s="32"/>
      <c r="D922" s="32"/>
      <c r="E922" s="32"/>
      <c r="F922" s="32"/>
      <c r="G922" s="32"/>
      <c r="H922" s="32"/>
      <c r="I922" s="32"/>
    </row>
    <row r="923">
      <c r="A923" s="137"/>
      <c r="B923" s="32"/>
      <c r="C923" s="32"/>
      <c r="D923" s="32"/>
      <c r="E923" s="32"/>
      <c r="F923" s="32"/>
      <c r="G923" s="32"/>
      <c r="H923" s="32"/>
      <c r="I923" s="32"/>
    </row>
    <row r="924">
      <c r="A924" s="137"/>
      <c r="B924" s="32"/>
      <c r="C924" s="32"/>
      <c r="D924" s="32"/>
      <c r="E924" s="32"/>
      <c r="F924" s="32"/>
      <c r="G924" s="32"/>
      <c r="H924" s="32"/>
      <c r="I924" s="32"/>
    </row>
    <row r="925">
      <c r="A925" s="137"/>
      <c r="B925" s="32"/>
      <c r="C925" s="32"/>
      <c r="D925" s="32"/>
      <c r="E925" s="32"/>
      <c r="F925" s="32"/>
      <c r="G925" s="32"/>
      <c r="H925" s="32"/>
      <c r="I925" s="32"/>
    </row>
    <row r="926">
      <c r="A926" s="137"/>
      <c r="B926" s="32"/>
      <c r="C926" s="32"/>
      <c r="D926" s="32"/>
      <c r="E926" s="32"/>
      <c r="F926" s="32"/>
      <c r="G926" s="32"/>
      <c r="H926" s="32"/>
      <c r="I926" s="32"/>
    </row>
    <row r="927">
      <c r="A927" s="137"/>
      <c r="B927" s="32"/>
      <c r="C927" s="32"/>
      <c r="D927" s="32"/>
      <c r="E927" s="32"/>
      <c r="F927" s="32"/>
      <c r="G927" s="32"/>
      <c r="H927" s="32"/>
      <c r="I927" s="32"/>
    </row>
    <row r="928">
      <c r="A928" s="137"/>
      <c r="B928" s="32"/>
      <c r="C928" s="32"/>
      <c r="D928" s="32"/>
      <c r="E928" s="32"/>
      <c r="F928" s="32"/>
      <c r="G928" s="32"/>
      <c r="H928" s="32"/>
      <c r="I928" s="32"/>
    </row>
    <row r="929">
      <c r="A929" s="137"/>
      <c r="B929" s="32"/>
      <c r="C929" s="32"/>
      <c r="D929" s="32"/>
      <c r="E929" s="32"/>
      <c r="F929" s="32"/>
      <c r="G929" s="32"/>
      <c r="H929" s="32"/>
      <c r="I929" s="32"/>
    </row>
    <row r="930">
      <c r="A930" s="137"/>
      <c r="B930" s="32"/>
      <c r="C930" s="32"/>
      <c r="D930" s="32"/>
      <c r="E930" s="32"/>
      <c r="F930" s="32"/>
      <c r="G930" s="32"/>
      <c r="H930" s="32"/>
      <c r="I930" s="32"/>
    </row>
    <row r="931">
      <c r="A931" s="137"/>
      <c r="B931" s="32"/>
      <c r="C931" s="32"/>
      <c r="D931" s="32"/>
      <c r="E931" s="32"/>
      <c r="F931" s="32"/>
      <c r="G931" s="32"/>
      <c r="H931" s="32"/>
      <c r="I931" s="32"/>
    </row>
    <row r="932">
      <c r="A932" s="137"/>
      <c r="B932" s="32"/>
      <c r="C932" s="32"/>
      <c r="D932" s="32"/>
      <c r="E932" s="32"/>
      <c r="F932" s="32"/>
      <c r="G932" s="32"/>
      <c r="H932" s="32"/>
      <c r="I932" s="32"/>
    </row>
    <row r="933">
      <c r="A933" s="137"/>
      <c r="B933" s="32"/>
      <c r="C933" s="32"/>
      <c r="D933" s="32"/>
      <c r="E933" s="32"/>
      <c r="F933" s="32"/>
      <c r="G933" s="32"/>
      <c r="H933" s="32"/>
      <c r="I933" s="32"/>
    </row>
    <row r="934">
      <c r="A934" s="137"/>
      <c r="B934" s="32"/>
      <c r="C934" s="32"/>
      <c r="D934" s="32"/>
      <c r="E934" s="32"/>
      <c r="F934" s="32"/>
      <c r="G934" s="32"/>
      <c r="H934" s="32"/>
      <c r="I934" s="32"/>
    </row>
    <row r="935">
      <c r="A935" s="137"/>
      <c r="B935" s="32"/>
      <c r="C935" s="32"/>
      <c r="D935" s="32"/>
      <c r="E935" s="32"/>
      <c r="F935" s="32"/>
      <c r="G935" s="32"/>
      <c r="H935" s="32"/>
      <c r="I935" s="32"/>
    </row>
    <row r="936">
      <c r="A936" s="137"/>
      <c r="B936" s="32"/>
      <c r="C936" s="32"/>
      <c r="D936" s="32"/>
      <c r="E936" s="32"/>
      <c r="F936" s="32"/>
      <c r="G936" s="32"/>
      <c r="H936" s="32"/>
      <c r="I936" s="32"/>
    </row>
    <row r="937">
      <c r="A937" s="137"/>
      <c r="B937" s="32"/>
      <c r="C937" s="32"/>
      <c r="D937" s="32"/>
      <c r="E937" s="32"/>
      <c r="F937" s="32"/>
      <c r="G937" s="32"/>
      <c r="H937" s="32"/>
      <c r="I937" s="32"/>
    </row>
    <row r="938">
      <c r="A938" s="137"/>
      <c r="B938" s="32"/>
      <c r="C938" s="32"/>
      <c r="D938" s="32"/>
      <c r="E938" s="32"/>
      <c r="F938" s="32"/>
      <c r="G938" s="32"/>
      <c r="H938" s="32"/>
      <c r="I938" s="32"/>
    </row>
    <row r="939">
      <c r="A939" s="137"/>
      <c r="B939" s="32"/>
      <c r="C939" s="32"/>
      <c r="D939" s="32"/>
      <c r="E939" s="32"/>
      <c r="F939" s="32"/>
      <c r="G939" s="32"/>
      <c r="H939" s="32"/>
      <c r="I939" s="32"/>
    </row>
    <row r="940">
      <c r="A940" s="137"/>
      <c r="B940" s="32"/>
      <c r="C940" s="32"/>
      <c r="D940" s="32"/>
      <c r="E940" s="32"/>
      <c r="F940" s="32"/>
      <c r="G940" s="32"/>
      <c r="H940" s="32"/>
      <c r="I940" s="32"/>
    </row>
    <row r="941">
      <c r="A941" s="137"/>
      <c r="B941" s="32"/>
      <c r="C941" s="32"/>
      <c r="D941" s="32"/>
      <c r="E941" s="32"/>
      <c r="F941" s="32"/>
      <c r="G941" s="32"/>
      <c r="H941" s="32"/>
      <c r="I941" s="32"/>
    </row>
    <row r="942">
      <c r="A942" s="137"/>
      <c r="B942" s="32"/>
      <c r="C942" s="32"/>
      <c r="D942" s="32"/>
      <c r="E942" s="32"/>
      <c r="F942" s="32"/>
      <c r="G942" s="32"/>
      <c r="H942" s="32"/>
      <c r="I942" s="32"/>
    </row>
    <row r="943">
      <c r="A943" s="137"/>
      <c r="B943" s="32"/>
      <c r="C943" s="32"/>
      <c r="D943" s="32"/>
      <c r="E943" s="32"/>
      <c r="F943" s="32"/>
      <c r="G943" s="32"/>
      <c r="H943" s="32"/>
      <c r="I943" s="32"/>
    </row>
    <row r="944">
      <c r="A944" s="137"/>
      <c r="B944" s="32"/>
      <c r="C944" s="32"/>
      <c r="D944" s="32"/>
      <c r="E944" s="32"/>
      <c r="F944" s="32"/>
      <c r="G944" s="32"/>
      <c r="H944" s="32"/>
      <c r="I944" s="32"/>
    </row>
    <row r="945">
      <c r="A945" s="137"/>
      <c r="B945" s="32"/>
      <c r="C945" s="32"/>
      <c r="D945" s="32"/>
      <c r="E945" s="32"/>
      <c r="F945" s="32"/>
      <c r="G945" s="32"/>
      <c r="H945" s="32"/>
      <c r="I945" s="32"/>
    </row>
    <row r="946">
      <c r="A946" s="137"/>
      <c r="B946" s="32"/>
      <c r="C946" s="32"/>
      <c r="D946" s="32"/>
      <c r="E946" s="32"/>
      <c r="F946" s="32"/>
      <c r="G946" s="32"/>
      <c r="H946" s="32"/>
      <c r="I946" s="32"/>
    </row>
    <row r="947">
      <c r="A947" s="137"/>
      <c r="B947" s="32"/>
      <c r="C947" s="32"/>
      <c r="D947" s="32"/>
      <c r="E947" s="32"/>
      <c r="F947" s="32"/>
      <c r="G947" s="32"/>
      <c r="H947" s="32"/>
      <c r="I947" s="32"/>
    </row>
    <row r="948">
      <c r="A948" s="137"/>
      <c r="B948" s="32"/>
      <c r="C948" s="32"/>
      <c r="D948" s="32"/>
      <c r="E948" s="32"/>
      <c r="F948" s="32"/>
      <c r="G948" s="32"/>
      <c r="H948" s="32"/>
      <c r="I948" s="32"/>
    </row>
    <row r="949">
      <c r="A949" s="137"/>
      <c r="B949" s="32"/>
      <c r="C949" s="32"/>
      <c r="D949" s="32"/>
      <c r="E949" s="32"/>
      <c r="F949" s="32"/>
      <c r="G949" s="32"/>
      <c r="H949" s="32"/>
      <c r="I949" s="32"/>
    </row>
    <row r="950">
      <c r="A950" s="137"/>
      <c r="B950" s="32"/>
      <c r="C950" s="32"/>
      <c r="D950" s="32"/>
      <c r="E950" s="32"/>
      <c r="F950" s="32"/>
      <c r="G950" s="32"/>
      <c r="H950" s="32"/>
      <c r="I950" s="32"/>
    </row>
    <row r="951">
      <c r="A951" s="137"/>
      <c r="B951" s="32"/>
      <c r="C951" s="32"/>
      <c r="D951" s="32"/>
      <c r="E951" s="32"/>
      <c r="F951" s="32"/>
      <c r="G951" s="32"/>
      <c r="H951" s="32"/>
      <c r="I951" s="32"/>
    </row>
    <row r="952">
      <c r="A952" s="137"/>
      <c r="B952" s="32"/>
      <c r="C952" s="32"/>
      <c r="D952" s="32"/>
      <c r="E952" s="32"/>
      <c r="F952" s="32"/>
      <c r="G952" s="32"/>
      <c r="H952" s="32"/>
      <c r="I952" s="32"/>
    </row>
    <row r="953">
      <c r="A953" s="137"/>
      <c r="B953" s="32"/>
      <c r="C953" s="32"/>
      <c r="D953" s="32"/>
      <c r="E953" s="32"/>
      <c r="F953" s="32"/>
      <c r="G953" s="32"/>
      <c r="H953" s="32"/>
      <c r="I953" s="32"/>
    </row>
    <row r="954">
      <c r="A954" s="137"/>
      <c r="B954" s="32"/>
      <c r="C954" s="32"/>
      <c r="D954" s="32"/>
      <c r="E954" s="32"/>
      <c r="F954" s="32"/>
      <c r="G954" s="32"/>
      <c r="H954" s="32"/>
      <c r="I954" s="32"/>
    </row>
    <row r="955">
      <c r="A955" s="137"/>
      <c r="B955" s="32"/>
      <c r="C955" s="32"/>
      <c r="D955" s="32"/>
      <c r="E955" s="32"/>
      <c r="F955" s="32"/>
      <c r="G955" s="32"/>
      <c r="H955" s="32"/>
      <c r="I955" s="32"/>
    </row>
    <row r="956">
      <c r="A956" s="137"/>
      <c r="B956" s="32"/>
      <c r="C956" s="32"/>
      <c r="D956" s="32"/>
      <c r="E956" s="32"/>
      <c r="F956" s="32"/>
      <c r="G956" s="32"/>
      <c r="H956" s="32"/>
      <c r="I956" s="32"/>
    </row>
    <row r="957">
      <c r="A957" s="137"/>
      <c r="B957" s="32"/>
      <c r="C957" s="32"/>
      <c r="D957" s="32"/>
      <c r="E957" s="32"/>
      <c r="F957" s="32"/>
      <c r="G957" s="32"/>
      <c r="H957" s="32"/>
      <c r="I957" s="32"/>
    </row>
    <row r="958">
      <c r="A958" s="137"/>
      <c r="B958" s="32"/>
      <c r="C958" s="32"/>
      <c r="D958" s="32"/>
      <c r="E958" s="32"/>
      <c r="F958" s="32"/>
      <c r="G958" s="32"/>
      <c r="H958" s="32"/>
      <c r="I958" s="32"/>
    </row>
    <row r="959">
      <c r="A959" s="137"/>
      <c r="B959" s="32"/>
      <c r="C959" s="32"/>
      <c r="D959" s="32"/>
      <c r="E959" s="32"/>
      <c r="F959" s="32"/>
      <c r="G959" s="32"/>
      <c r="H959" s="32"/>
      <c r="I959" s="32"/>
    </row>
    <row r="960">
      <c r="A960" s="137"/>
      <c r="B960" s="32"/>
      <c r="C960" s="32"/>
      <c r="D960" s="32"/>
      <c r="E960" s="32"/>
      <c r="F960" s="32"/>
      <c r="G960" s="32"/>
      <c r="H960" s="32"/>
      <c r="I960" s="32"/>
    </row>
    <row r="961">
      <c r="A961" s="137"/>
      <c r="B961" s="32"/>
      <c r="C961" s="32"/>
      <c r="D961" s="32"/>
      <c r="E961" s="32"/>
      <c r="F961" s="32"/>
      <c r="G961" s="32"/>
      <c r="H961" s="32"/>
      <c r="I961" s="32"/>
    </row>
    <row r="962">
      <c r="A962" s="137"/>
      <c r="B962" s="32"/>
      <c r="C962" s="32"/>
      <c r="D962" s="32"/>
      <c r="E962" s="32"/>
      <c r="F962" s="32"/>
      <c r="G962" s="32"/>
      <c r="H962" s="32"/>
      <c r="I962" s="32"/>
    </row>
    <row r="963">
      <c r="A963" s="137"/>
      <c r="B963" s="32"/>
      <c r="C963" s="32"/>
      <c r="D963" s="32"/>
      <c r="E963" s="32"/>
      <c r="F963" s="32"/>
      <c r="G963" s="32"/>
      <c r="H963" s="32"/>
      <c r="I963" s="32"/>
    </row>
    <row r="964">
      <c r="A964" s="137"/>
      <c r="B964" s="32"/>
      <c r="C964" s="32"/>
      <c r="D964" s="32"/>
      <c r="E964" s="32"/>
      <c r="F964" s="32"/>
      <c r="G964" s="32"/>
      <c r="H964" s="32"/>
      <c r="I964" s="32"/>
    </row>
    <row r="965">
      <c r="A965" s="137"/>
      <c r="B965" s="32"/>
      <c r="C965" s="32"/>
      <c r="D965" s="32"/>
      <c r="E965" s="32"/>
      <c r="F965" s="32"/>
      <c r="G965" s="32"/>
      <c r="H965" s="32"/>
      <c r="I965" s="32"/>
    </row>
    <row r="966">
      <c r="A966" s="137"/>
      <c r="B966" s="32"/>
      <c r="C966" s="32"/>
      <c r="D966" s="32"/>
      <c r="E966" s="32"/>
      <c r="F966" s="32"/>
      <c r="G966" s="32"/>
      <c r="H966" s="32"/>
      <c r="I966" s="32"/>
    </row>
    <row r="967">
      <c r="A967" s="137"/>
      <c r="B967" s="32"/>
      <c r="C967" s="32"/>
      <c r="D967" s="32"/>
      <c r="E967" s="32"/>
      <c r="F967" s="32"/>
      <c r="G967" s="32"/>
      <c r="H967" s="32"/>
      <c r="I967" s="32"/>
    </row>
    <row r="968">
      <c r="A968" s="137"/>
      <c r="B968" s="32"/>
      <c r="C968" s="32"/>
      <c r="D968" s="32"/>
      <c r="E968" s="32"/>
      <c r="F968" s="32"/>
      <c r="G968" s="32"/>
      <c r="H968" s="32"/>
      <c r="I968" s="32"/>
    </row>
    <row r="969">
      <c r="A969" s="137"/>
      <c r="B969" s="32"/>
      <c r="C969" s="32"/>
      <c r="D969" s="32"/>
      <c r="E969" s="32"/>
      <c r="F969" s="32"/>
      <c r="G969" s="32"/>
      <c r="H969" s="32"/>
      <c r="I969" s="32"/>
    </row>
    <row r="970">
      <c r="A970" s="137"/>
      <c r="B970" s="32"/>
      <c r="C970" s="32"/>
      <c r="D970" s="32"/>
      <c r="E970" s="32"/>
      <c r="F970" s="32"/>
      <c r="G970" s="32"/>
      <c r="H970" s="32"/>
      <c r="I970" s="32"/>
    </row>
    <row r="971">
      <c r="A971" s="137"/>
      <c r="B971" s="32"/>
      <c r="C971" s="32"/>
      <c r="D971" s="32"/>
      <c r="E971" s="32"/>
      <c r="F971" s="32"/>
      <c r="G971" s="32"/>
      <c r="H971" s="32"/>
      <c r="I971" s="32"/>
    </row>
    <row r="972">
      <c r="A972" s="137"/>
      <c r="B972" s="32"/>
      <c r="C972" s="32"/>
      <c r="D972" s="32"/>
      <c r="E972" s="32"/>
      <c r="F972" s="32"/>
      <c r="G972" s="32"/>
      <c r="H972" s="32"/>
      <c r="I972" s="32"/>
    </row>
    <row r="973">
      <c r="A973" s="137"/>
      <c r="B973" s="32"/>
      <c r="C973" s="32"/>
      <c r="D973" s="32"/>
      <c r="E973" s="32"/>
      <c r="F973" s="32"/>
      <c r="G973" s="32"/>
      <c r="H973" s="32"/>
      <c r="I973" s="32"/>
    </row>
    <row r="974">
      <c r="A974" s="137"/>
      <c r="B974" s="32"/>
      <c r="C974" s="32"/>
      <c r="D974" s="32"/>
      <c r="E974" s="32"/>
      <c r="F974" s="32"/>
      <c r="G974" s="32"/>
      <c r="H974" s="32"/>
      <c r="I974" s="32"/>
    </row>
    <row r="975">
      <c r="A975" s="137"/>
      <c r="B975" s="32"/>
      <c r="C975" s="32"/>
      <c r="D975" s="32"/>
      <c r="E975" s="32"/>
      <c r="F975" s="32"/>
      <c r="G975" s="32"/>
      <c r="H975" s="32"/>
      <c r="I975" s="32"/>
    </row>
    <row r="976">
      <c r="A976" s="137"/>
      <c r="B976" s="32"/>
      <c r="C976" s="32"/>
      <c r="D976" s="32"/>
      <c r="E976" s="32"/>
      <c r="F976" s="32"/>
      <c r="G976" s="32"/>
      <c r="H976" s="32"/>
      <c r="I976" s="32"/>
    </row>
    <row r="977">
      <c r="A977" s="137"/>
      <c r="B977" s="32"/>
      <c r="C977" s="32"/>
      <c r="D977" s="32"/>
      <c r="E977" s="32"/>
      <c r="F977" s="32"/>
      <c r="G977" s="32"/>
      <c r="H977" s="32"/>
      <c r="I977" s="32"/>
    </row>
    <row r="978">
      <c r="A978" s="137"/>
      <c r="B978" s="32"/>
      <c r="C978" s="32"/>
      <c r="D978" s="32"/>
      <c r="E978" s="32"/>
      <c r="F978" s="32"/>
      <c r="G978" s="32"/>
      <c r="H978" s="32"/>
      <c r="I978" s="32"/>
    </row>
    <row r="979">
      <c r="A979" s="137"/>
      <c r="B979" s="32"/>
      <c r="C979" s="32"/>
      <c r="D979" s="32"/>
      <c r="E979" s="32"/>
      <c r="F979" s="32"/>
      <c r="G979" s="32"/>
      <c r="H979" s="32"/>
      <c r="I979" s="32"/>
    </row>
    <row r="980">
      <c r="A980" s="137"/>
      <c r="B980" s="32"/>
      <c r="C980" s="32"/>
      <c r="D980" s="32"/>
      <c r="E980" s="32"/>
      <c r="F980" s="32"/>
      <c r="G980" s="32"/>
      <c r="H980" s="32"/>
      <c r="I980" s="32"/>
    </row>
    <row r="981">
      <c r="A981" s="137"/>
      <c r="B981" s="32"/>
      <c r="C981" s="32"/>
      <c r="D981" s="32"/>
      <c r="E981" s="32"/>
      <c r="F981" s="32"/>
      <c r="G981" s="32"/>
      <c r="H981" s="32"/>
      <c r="I981" s="32"/>
    </row>
    <row r="982">
      <c r="A982" s="137"/>
      <c r="B982" s="32"/>
      <c r="C982" s="32"/>
      <c r="D982" s="32"/>
      <c r="E982" s="32"/>
      <c r="F982" s="32"/>
      <c r="G982" s="32"/>
      <c r="H982" s="32"/>
      <c r="I982" s="32"/>
    </row>
    <row r="983">
      <c r="A983" s="137"/>
      <c r="B983" s="32"/>
      <c r="C983" s="32"/>
      <c r="D983" s="32"/>
      <c r="E983" s="32"/>
      <c r="F983" s="32"/>
      <c r="G983" s="32"/>
      <c r="H983" s="32"/>
      <c r="I983" s="32"/>
    </row>
    <row r="984">
      <c r="A984" s="137"/>
      <c r="B984" s="32"/>
      <c r="C984" s="32"/>
      <c r="D984" s="32"/>
      <c r="E984" s="32"/>
      <c r="F984" s="32"/>
      <c r="G984" s="32"/>
      <c r="H984" s="32"/>
      <c r="I984" s="32"/>
    </row>
    <row r="985">
      <c r="A985" s="137"/>
      <c r="B985" s="32"/>
      <c r="C985" s="32"/>
      <c r="D985" s="32"/>
      <c r="E985" s="32"/>
      <c r="F985" s="32"/>
      <c r="G985" s="32"/>
      <c r="H985" s="32"/>
      <c r="I985" s="32"/>
    </row>
    <row r="986">
      <c r="A986" s="137"/>
      <c r="B986" s="32"/>
      <c r="C986" s="32"/>
      <c r="D986" s="32"/>
      <c r="E986" s="32"/>
      <c r="F986" s="32"/>
      <c r="G986" s="32"/>
      <c r="H986" s="32"/>
      <c r="I986" s="32"/>
    </row>
    <row r="987">
      <c r="A987" s="137"/>
      <c r="B987" s="32"/>
      <c r="C987" s="32"/>
      <c r="D987" s="32"/>
      <c r="E987" s="32"/>
      <c r="F987" s="32"/>
      <c r="G987" s="32"/>
      <c r="H987" s="32"/>
      <c r="I987" s="32"/>
    </row>
    <row r="988">
      <c r="A988" s="137"/>
      <c r="B988" s="32"/>
      <c r="C988" s="32"/>
      <c r="D988" s="32"/>
      <c r="E988" s="32"/>
      <c r="F988" s="32"/>
      <c r="G988" s="32"/>
      <c r="H988" s="32"/>
      <c r="I988" s="32"/>
    </row>
    <row r="989">
      <c r="A989" s="137"/>
      <c r="B989" s="32"/>
      <c r="C989" s="32"/>
      <c r="D989" s="32"/>
      <c r="E989" s="32"/>
      <c r="F989" s="32"/>
      <c r="G989" s="32"/>
      <c r="H989" s="32"/>
      <c r="I989" s="32"/>
    </row>
    <row r="990">
      <c r="A990" s="137"/>
      <c r="B990" s="32"/>
      <c r="C990" s="32"/>
      <c r="D990" s="32"/>
      <c r="E990" s="32"/>
      <c r="F990" s="32"/>
      <c r="G990" s="32"/>
      <c r="H990" s="32"/>
      <c r="I990" s="32"/>
    </row>
    <row r="991">
      <c r="A991" s="137"/>
      <c r="B991" s="32"/>
      <c r="C991" s="32"/>
      <c r="D991" s="32"/>
      <c r="E991" s="32"/>
      <c r="F991" s="32"/>
      <c r="G991" s="32"/>
      <c r="H991" s="32"/>
      <c r="I991" s="32"/>
    </row>
    <row r="992">
      <c r="A992" s="137"/>
      <c r="B992" s="32"/>
      <c r="C992" s="32"/>
      <c r="D992" s="32"/>
      <c r="E992" s="32"/>
      <c r="F992" s="32"/>
      <c r="G992" s="32"/>
      <c r="H992" s="32"/>
      <c r="I992" s="32"/>
    </row>
    <row r="993">
      <c r="A993" s="137"/>
      <c r="B993" s="32"/>
      <c r="C993" s="32"/>
      <c r="D993" s="32"/>
      <c r="E993" s="32"/>
      <c r="F993" s="32"/>
      <c r="G993" s="32"/>
      <c r="H993" s="32"/>
      <c r="I993" s="32"/>
    </row>
    <row r="994">
      <c r="A994" s="137"/>
      <c r="B994" s="32"/>
      <c r="C994" s="32"/>
      <c r="D994" s="32"/>
      <c r="E994" s="32"/>
      <c r="F994" s="32"/>
      <c r="G994" s="32"/>
      <c r="H994" s="32"/>
      <c r="I994" s="32"/>
    </row>
    <row r="995">
      <c r="A995" s="137"/>
      <c r="B995" s="32"/>
      <c r="C995" s="32"/>
      <c r="D995" s="32"/>
      <c r="E995" s="32"/>
      <c r="F995" s="32"/>
      <c r="G995" s="32"/>
      <c r="H995" s="32"/>
      <c r="I995" s="32"/>
    </row>
    <row r="996">
      <c r="A996" s="137"/>
      <c r="B996" s="32"/>
      <c r="C996" s="32"/>
      <c r="D996" s="32"/>
      <c r="E996" s="32"/>
      <c r="F996" s="32"/>
      <c r="G996" s="32"/>
      <c r="H996" s="32"/>
      <c r="I996" s="32"/>
    </row>
    <row r="997">
      <c r="A997" s="137"/>
      <c r="B997" s="32"/>
      <c r="C997" s="32"/>
      <c r="D997" s="32"/>
      <c r="E997" s="32"/>
      <c r="F997" s="32"/>
      <c r="G997" s="32"/>
      <c r="H997" s="32"/>
      <c r="I997" s="32"/>
    </row>
    <row r="998">
      <c r="A998" s="137"/>
      <c r="B998" s="32"/>
      <c r="C998" s="32"/>
      <c r="D998" s="32"/>
      <c r="E998" s="32"/>
      <c r="F998" s="32"/>
      <c r="G998" s="32"/>
      <c r="H998" s="32"/>
      <c r="I998" s="32"/>
    </row>
    <row r="999">
      <c r="A999" s="137"/>
      <c r="B999" s="32"/>
      <c r="C999" s="32"/>
      <c r="D999" s="32"/>
      <c r="E999" s="32"/>
      <c r="F999" s="32"/>
      <c r="G999" s="32"/>
      <c r="H999" s="32"/>
      <c r="I999" s="32"/>
    </row>
    <row r="1000">
      <c r="A1000" s="137"/>
      <c r="B1000" s="32"/>
      <c r="C1000" s="32"/>
      <c r="D1000" s="32"/>
      <c r="E1000" s="32"/>
      <c r="F1000" s="32"/>
      <c r="G1000" s="32"/>
      <c r="H1000" s="32"/>
      <c r="I1000" s="32"/>
    </row>
  </sheetData>
  <dataValidations>
    <dataValidation type="list" allowBlank="1" sqref="B3:B1000">
      <formula1>"【A】掲載NG表現等,【B】掲載時条件や注意が必須な業務,【C】掲載NG業種業務,【D】闇バイト,顧客対応での見せ方"</formula1>
    </dataValidation>
    <dataValidation type="list" allowBlank="1" showErrorMessage="1" sqref="I2:I1000">
      <formula1>"柴田,宮崎,新井,三富,神田,深栖,渡辺"</formula1>
    </dataValidation>
    <dataValidation type="custom" allowBlank="1" showDropDown="1" sqref="A3:A1000 D3:D1000">
      <formula1>OR(NOT(ISERROR(DATEVALUE(A3))), AND(ISNUMBER(A3), LEFT(CELL("format", A3))="D"))</formula1>
    </dataValidation>
    <dataValidation type="list" allowBlank="1" sqref="C2:C1000">
      <formula1>"新規,追加,訂正,削除"</formula1>
    </dataValidation>
  </dataValidations>
  <hyperlinks>
    <hyperlink r:id="rId1" ref="H2"/>
    <hyperlink r:id="rId2" ref="H4"/>
    <hyperlink r:id="rId3" ref="H9"/>
    <hyperlink r:id="rId4" ref="H11"/>
    <hyperlink r:id="rId5" ref="H13"/>
    <hyperlink r:id="rId6" ref="H19"/>
    <hyperlink r:id="rId7" ref="G22"/>
    <hyperlink r:id="rId8" ref="G23"/>
    <hyperlink r:id="rId9" ref="G24"/>
    <hyperlink r:id="rId10" ref="H29"/>
    <hyperlink r:id="rId11" ref="G32"/>
    <hyperlink r:id="rId12" ref="H34"/>
    <hyperlink r:id="rId13" ref="H37"/>
  </hyperlinks>
  <printOptions gridLines="1" horizontalCentered="1"/>
  <pageMargins bottom="0.75" footer="0.0" header="0.0" left="0.7" right="0.7" top="0.75"/>
  <pageSetup fitToHeight="0" paperSize="9" cellComments="atEnd" orientation="landscape" pageOrder="overThenDown"/>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0.38"/>
    <col customWidth="1" min="3" max="3" width="11.0"/>
    <col customWidth="1" min="4" max="4" width="10.25"/>
    <col customWidth="1" min="5" max="5" width="18.5"/>
    <col customWidth="1" min="6" max="6" width="21.88"/>
    <col customWidth="1" min="7" max="7" width="7.63"/>
    <col customWidth="1" min="8" max="8" width="24.5"/>
    <col customWidth="1" min="9" max="9" width="8.5"/>
    <col customWidth="1" min="10" max="10" width="18.38"/>
    <col customWidth="1" min="11" max="11" width="26.13"/>
  </cols>
  <sheetData>
    <row r="1">
      <c r="A1" s="138" t="s">
        <v>424</v>
      </c>
      <c r="B1" s="139" t="s">
        <v>425</v>
      </c>
      <c r="C1" s="138" t="s">
        <v>410</v>
      </c>
      <c r="D1" s="138" t="s">
        <v>426</v>
      </c>
      <c r="E1" s="138" t="s">
        <v>427</v>
      </c>
      <c r="F1" s="138" t="s">
        <v>429</v>
      </c>
      <c r="G1" s="139" t="s">
        <v>430</v>
      </c>
      <c r="H1" s="138" t="s">
        <v>431</v>
      </c>
      <c r="I1" s="138" t="s">
        <v>432</v>
      </c>
      <c r="J1" s="139" t="s">
        <v>433</v>
      </c>
      <c r="K1" s="138" t="s">
        <v>19</v>
      </c>
      <c r="L1" s="138"/>
      <c r="M1" s="27"/>
      <c r="N1" s="27"/>
      <c r="O1" s="27"/>
      <c r="P1" s="27"/>
      <c r="Q1" s="27"/>
      <c r="R1" s="27"/>
      <c r="S1" s="27"/>
      <c r="T1" s="27"/>
      <c r="U1" s="27"/>
      <c r="V1" s="27"/>
      <c r="W1" s="27"/>
      <c r="X1" s="27"/>
      <c r="Y1" s="27"/>
      <c r="Z1" s="27"/>
      <c r="AA1" s="27"/>
      <c r="AB1" s="27"/>
      <c r="AC1" s="27"/>
    </row>
    <row r="2">
      <c r="A2" s="141">
        <f t="shared" ref="A2:A3" si="2">ROW()-1</f>
        <v>1</v>
      </c>
      <c r="B2" s="142" t="s">
        <v>434</v>
      </c>
      <c r="C2" s="143" t="s">
        <v>440</v>
      </c>
      <c r="D2" s="143" t="s">
        <v>442</v>
      </c>
      <c r="E2" s="144">
        <f t="shared" ref="E2:F2" si="1">NOW()</f>
        <v>46261.75793</v>
      </c>
      <c r="F2" s="144">
        <f t="shared" si="1"/>
        <v>46261.75793</v>
      </c>
      <c r="G2" s="143" t="s">
        <v>450</v>
      </c>
      <c r="H2" s="143" t="s">
        <v>451</v>
      </c>
      <c r="I2" s="143" t="s">
        <v>452</v>
      </c>
      <c r="J2" s="143" t="s">
        <v>453</v>
      </c>
      <c r="K2" s="143" t="s">
        <v>454</v>
      </c>
      <c r="L2" s="141"/>
    </row>
    <row r="3">
      <c r="A3" s="141">
        <f t="shared" si="2"/>
        <v>2</v>
      </c>
      <c r="B3" s="142" t="s">
        <v>457</v>
      </c>
      <c r="C3" s="143" t="s">
        <v>440</v>
      </c>
      <c r="D3" s="143" t="s">
        <v>442</v>
      </c>
      <c r="E3" s="144">
        <f t="shared" ref="E3:F3" si="3">NOW()</f>
        <v>46261.75793</v>
      </c>
      <c r="F3" s="144">
        <f t="shared" si="3"/>
        <v>46261.75793</v>
      </c>
      <c r="G3" s="143" t="s">
        <v>461</v>
      </c>
      <c r="H3" s="143" t="s">
        <v>462</v>
      </c>
      <c r="I3" s="143" t="s">
        <v>462</v>
      </c>
      <c r="J3" s="141"/>
      <c r="K3" s="143" t="s">
        <v>462</v>
      </c>
      <c r="L3" s="141"/>
    </row>
    <row r="4">
      <c r="A4" s="143"/>
      <c r="B4" s="141"/>
      <c r="C4" s="141"/>
      <c r="D4" s="141"/>
      <c r="E4" s="145"/>
      <c r="F4" s="145"/>
      <c r="G4" s="141"/>
      <c r="H4" s="143"/>
      <c r="I4" s="141"/>
      <c r="J4" s="141"/>
      <c r="K4" s="141"/>
      <c r="L4" s="141"/>
    </row>
    <row r="5">
      <c r="A5" s="143"/>
      <c r="B5" s="141"/>
      <c r="C5" s="141"/>
      <c r="D5" s="141"/>
      <c r="E5" s="141"/>
      <c r="F5" s="141"/>
      <c r="G5" s="141"/>
      <c r="H5" s="141"/>
      <c r="I5" s="141"/>
      <c r="J5" s="141"/>
      <c r="K5" s="141"/>
      <c r="L5" s="141"/>
    </row>
    <row r="6">
      <c r="A6" s="143"/>
      <c r="B6" s="141"/>
      <c r="C6" s="141"/>
      <c r="D6" s="141"/>
      <c r="E6" s="141"/>
      <c r="F6" s="145"/>
      <c r="G6" s="141"/>
      <c r="H6" s="143"/>
      <c r="I6" s="141"/>
      <c r="J6" s="141"/>
      <c r="K6" s="141"/>
      <c r="L6" s="141"/>
    </row>
    <row r="7">
      <c r="A7" s="143"/>
      <c r="B7" s="141"/>
      <c r="C7" s="141"/>
      <c r="D7" s="141"/>
      <c r="E7" s="145"/>
      <c r="F7" s="145"/>
      <c r="G7" s="141"/>
      <c r="H7" s="143"/>
      <c r="I7" s="141"/>
      <c r="J7" s="141"/>
      <c r="K7" s="143"/>
      <c r="L7" s="141"/>
    </row>
    <row r="8">
      <c r="A8" s="141"/>
      <c r="B8" s="141"/>
      <c r="C8" s="141"/>
      <c r="D8" s="141"/>
      <c r="E8" s="141"/>
      <c r="F8" s="145"/>
      <c r="G8" s="141"/>
      <c r="H8" s="143"/>
      <c r="I8" s="141"/>
      <c r="J8" s="141"/>
      <c r="K8" s="141"/>
      <c r="L8" s="141"/>
    </row>
    <row r="9">
      <c r="A9" s="141"/>
      <c r="B9" s="141"/>
      <c r="C9" s="141"/>
      <c r="D9" s="141"/>
      <c r="E9" s="141"/>
      <c r="F9" s="145"/>
      <c r="G9" s="141"/>
      <c r="H9" s="143"/>
      <c r="I9" s="141"/>
      <c r="J9" s="141"/>
      <c r="K9" s="141"/>
      <c r="L9" s="141"/>
    </row>
    <row r="10">
      <c r="A10" s="141"/>
      <c r="B10" s="141"/>
      <c r="C10" s="141"/>
      <c r="D10" s="141"/>
      <c r="E10" s="141"/>
      <c r="F10" s="141"/>
      <c r="G10" s="141"/>
      <c r="H10" s="143"/>
      <c r="I10" s="141"/>
      <c r="J10" s="141"/>
      <c r="K10" s="141"/>
      <c r="L10" s="141"/>
    </row>
    <row r="11">
      <c r="A11" s="143"/>
      <c r="B11" s="141"/>
      <c r="C11" s="141"/>
      <c r="D11" s="141"/>
      <c r="E11" s="145"/>
      <c r="F11" s="145"/>
      <c r="G11" s="141"/>
      <c r="H11" s="143"/>
      <c r="I11" s="141"/>
      <c r="J11" s="141"/>
      <c r="K11" s="141"/>
      <c r="L11" s="141"/>
    </row>
    <row r="12">
      <c r="A12" s="141"/>
      <c r="B12" s="141"/>
      <c r="C12" s="141"/>
      <c r="D12" s="141"/>
      <c r="E12" s="141"/>
      <c r="F12" s="141"/>
      <c r="G12" s="141"/>
      <c r="H12" s="141"/>
      <c r="I12" s="141"/>
      <c r="J12" s="141"/>
      <c r="K12" s="141"/>
      <c r="L12" s="141"/>
    </row>
    <row r="13">
      <c r="A13" s="143"/>
      <c r="B13" s="141"/>
      <c r="C13" s="141"/>
      <c r="D13" s="141"/>
      <c r="E13" s="145"/>
      <c r="F13" s="145"/>
      <c r="G13" s="141"/>
      <c r="H13" s="143"/>
      <c r="I13" s="141"/>
      <c r="J13" s="141"/>
      <c r="K13" s="141"/>
      <c r="L13" s="141"/>
    </row>
    <row r="14">
      <c r="A14" s="141"/>
      <c r="B14" s="141"/>
      <c r="C14" s="141"/>
      <c r="D14" s="141"/>
      <c r="E14" s="141"/>
      <c r="F14" s="141"/>
      <c r="G14" s="141"/>
      <c r="H14" s="141"/>
      <c r="I14" s="141"/>
      <c r="J14" s="141"/>
      <c r="K14" s="141"/>
      <c r="L14" s="141"/>
    </row>
    <row r="15">
      <c r="A15" s="141"/>
      <c r="B15" s="141"/>
      <c r="C15" s="141"/>
      <c r="D15" s="141"/>
      <c r="E15" s="141"/>
      <c r="F15" s="141"/>
      <c r="G15" s="141"/>
      <c r="H15" s="141"/>
      <c r="I15" s="141"/>
      <c r="J15" s="141"/>
      <c r="K15" s="141"/>
      <c r="L15" s="141"/>
    </row>
    <row r="16">
      <c r="A16" s="143"/>
      <c r="B16" s="141"/>
      <c r="C16" s="141"/>
      <c r="D16" s="141"/>
      <c r="E16" s="145"/>
      <c r="F16" s="145"/>
      <c r="G16" s="141"/>
      <c r="H16" s="143"/>
      <c r="I16" s="141"/>
      <c r="J16" s="141"/>
      <c r="K16" s="141"/>
      <c r="L16" s="141"/>
    </row>
    <row r="17">
      <c r="A17" s="141"/>
      <c r="B17" s="141"/>
      <c r="C17" s="141"/>
      <c r="D17" s="141"/>
      <c r="E17" s="141"/>
      <c r="F17" s="141"/>
      <c r="G17" s="141"/>
      <c r="H17" s="141"/>
      <c r="I17" s="141"/>
      <c r="J17" s="141"/>
      <c r="K17" s="141"/>
      <c r="L17" s="141"/>
    </row>
    <row r="18">
      <c r="A18" s="141"/>
      <c r="B18" s="141"/>
      <c r="C18" s="141"/>
      <c r="D18" s="141"/>
      <c r="E18" s="141"/>
      <c r="F18" s="141"/>
      <c r="G18" s="141"/>
      <c r="H18" s="143"/>
      <c r="I18" s="141"/>
      <c r="J18" s="141"/>
      <c r="K18" s="141"/>
      <c r="L18" s="141"/>
    </row>
    <row r="19">
      <c r="A19" s="141"/>
      <c r="B19" s="141"/>
      <c r="C19" s="141"/>
      <c r="D19" s="141"/>
      <c r="E19" s="141"/>
      <c r="F19" s="141"/>
      <c r="G19" s="141"/>
      <c r="H19" s="141"/>
      <c r="I19" s="141"/>
      <c r="J19" s="141"/>
      <c r="K19" s="141"/>
      <c r="L19" s="141"/>
    </row>
    <row r="20">
      <c r="A20" s="141"/>
      <c r="B20" s="141"/>
      <c r="C20" s="141"/>
      <c r="D20" s="141"/>
      <c r="E20" s="141"/>
      <c r="F20" s="141"/>
      <c r="G20" s="141"/>
      <c r="H20" s="141"/>
      <c r="I20" s="141"/>
      <c r="J20" s="141"/>
      <c r="K20" s="141"/>
      <c r="L20" s="141"/>
    </row>
    <row r="21">
      <c r="A21" s="141"/>
      <c r="B21" s="141"/>
      <c r="C21" s="141"/>
      <c r="D21" s="141"/>
      <c r="E21" s="141"/>
      <c r="F21" s="141"/>
      <c r="G21" s="141"/>
      <c r="H21" s="141"/>
      <c r="I21" s="141"/>
      <c r="J21" s="141"/>
      <c r="K21" s="141"/>
      <c r="L21" s="141"/>
    </row>
    <row r="22">
      <c r="A22" s="141"/>
      <c r="B22" s="141"/>
      <c r="C22" s="141"/>
      <c r="D22" s="141"/>
      <c r="E22" s="141"/>
      <c r="F22" s="141"/>
      <c r="G22" s="141"/>
      <c r="H22" s="141"/>
      <c r="I22" s="141"/>
      <c r="J22" s="141"/>
      <c r="K22" s="141"/>
      <c r="L22" s="141"/>
    </row>
    <row r="23">
      <c r="A23" s="141"/>
      <c r="B23" s="141"/>
      <c r="C23" s="141"/>
      <c r="D23" s="141"/>
      <c r="E23" s="141"/>
      <c r="F23" s="141"/>
      <c r="G23" s="141"/>
      <c r="H23" s="141"/>
      <c r="I23" s="141"/>
      <c r="J23" s="141"/>
      <c r="K23" s="141"/>
      <c r="L23" s="141"/>
    </row>
    <row r="24">
      <c r="A24" s="141"/>
      <c r="B24" s="141"/>
      <c r="C24" s="141"/>
      <c r="D24" s="141"/>
      <c r="E24" s="141"/>
      <c r="F24" s="141"/>
      <c r="G24" s="141"/>
      <c r="H24" s="141"/>
      <c r="I24" s="141"/>
      <c r="J24" s="141"/>
      <c r="K24" s="141"/>
      <c r="L24" s="141"/>
    </row>
    <row r="25">
      <c r="A25" s="141"/>
      <c r="B25" s="141"/>
      <c r="C25" s="141"/>
      <c r="D25" s="141"/>
      <c r="E25" s="141"/>
      <c r="F25" s="141"/>
      <c r="G25" s="141"/>
      <c r="H25" s="141"/>
      <c r="I25" s="141"/>
      <c r="J25" s="141"/>
      <c r="K25" s="141"/>
      <c r="L25" s="141"/>
    </row>
    <row r="26">
      <c r="A26" s="141"/>
      <c r="B26" s="141"/>
      <c r="C26" s="141"/>
      <c r="D26" s="141"/>
      <c r="E26" s="141"/>
      <c r="F26" s="141"/>
      <c r="G26" s="141"/>
      <c r="H26" s="141"/>
      <c r="I26" s="141"/>
      <c r="J26" s="141"/>
      <c r="K26" s="141"/>
      <c r="L26" s="141"/>
    </row>
    <row r="27">
      <c r="A27" s="141"/>
      <c r="B27" s="141"/>
      <c r="C27" s="141"/>
      <c r="D27" s="141"/>
      <c r="E27" s="141"/>
      <c r="F27" s="141"/>
      <c r="G27" s="141"/>
      <c r="H27" s="141"/>
      <c r="I27" s="141"/>
      <c r="J27" s="141"/>
      <c r="K27" s="141"/>
      <c r="L27" s="141"/>
    </row>
    <row r="28">
      <c r="A28" s="141"/>
      <c r="B28" s="141"/>
      <c r="C28" s="141"/>
      <c r="D28" s="141"/>
      <c r="E28" s="141"/>
      <c r="F28" s="141"/>
      <c r="G28" s="141"/>
      <c r="H28" s="141"/>
      <c r="I28" s="141"/>
      <c r="J28" s="141"/>
      <c r="K28" s="141"/>
      <c r="L28" s="141"/>
    </row>
    <row r="29">
      <c r="A29" s="141"/>
      <c r="B29" s="141"/>
      <c r="C29" s="141"/>
      <c r="D29" s="141"/>
      <c r="E29" s="141"/>
      <c r="F29" s="141"/>
      <c r="G29" s="141"/>
      <c r="H29" s="141"/>
      <c r="I29" s="141"/>
      <c r="J29" s="141"/>
      <c r="K29" s="141"/>
      <c r="L29" s="141"/>
    </row>
    <row r="30">
      <c r="A30" s="141"/>
      <c r="B30" s="141"/>
      <c r="C30" s="141"/>
      <c r="D30" s="141"/>
      <c r="E30" s="141"/>
      <c r="F30" s="141"/>
      <c r="G30" s="141"/>
      <c r="H30" s="141"/>
      <c r="I30" s="141"/>
      <c r="J30" s="141"/>
      <c r="K30" s="141"/>
      <c r="L30" s="141"/>
    </row>
    <row r="31">
      <c r="A31" s="141"/>
      <c r="B31" s="141"/>
      <c r="C31" s="141"/>
      <c r="D31" s="141"/>
      <c r="E31" s="141"/>
      <c r="F31" s="141"/>
      <c r="G31" s="141"/>
      <c r="H31" s="141"/>
      <c r="I31" s="141"/>
      <c r="J31" s="141"/>
      <c r="K31" s="141"/>
      <c r="L31" s="141"/>
    </row>
    <row r="32">
      <c r="A32" s="141"/>
      <c r="B32" s="141"/>
      <c r="C32" s="141"/>
      <c r="D32" s="141"/>
      <c r="E32" s="141"/>
      <c r="F32" s="141"/>
      <c r="G32" s="141"/>
      <c r="H32" s="141"/>
      <c r="I32" s="141"/>
      <c r="J32" s="141"/>
      <c r="K32" s="141"/>
      <c r="L32" s="141"/>
    </row>
    <row r="33">
      <c r="A33" s="141"/>
      <c r="B33" s="141"/>
      <c r="C33" s="141"/>
      <c r="D33" s="141"/>
      <c r="E33" s="141"/>
      <c r="F33" s="141"/>
      <c r="G33" s="141"/>
      <c r="H33" s="141"/>
      <c r="I33" s="141"/>
      <c r="J33" s="141"/>
      <c r="K33" s="141"/>
      <c r="L33" s="141"/>
    </row>
    <row r="34">
      <c r="A34" s="141"/>
      <c r="B34" s="141"/>
      <c r="C34" s="141"/>
      <c r="D34" s="141"/>
      <c r="E34" s="141"/>
      <c r="F34" s="141"/>
      <c r="G34" s="141"/>
      <c r="H34" s="141"/>
      <c r="I34" s="141"/>
      <c r="J34" s="141"/>
      <c r="K34" s="141"/>
      <c r="L34" s="141"/>
    </row>
    <row r="35">
      <c r="A35" s="141"/>
      <c r="B35" s="141"/>
      <c r="C35" s="141"/>
      <c r="D35" s="141"/>
      <c r="E35" s="141"/>
      <c r="F35" s="141"/>
      <c r="G35" s="141"/>
      <c r="H35" s="141"/>
      <c r="I35" s="141"/>
      <c r="J35" s="141"/>
      <c r="K35" s="141"/>
      <c r="L35" s="141"/>
    </row>
    <row r="36">
      <c r="A36" s="141"/>
      <c r="B36" s="141"/>
      <c r="C36" s="141"/>
      <c r="D36" s="141"/>
      <c r="E36" s="141"/>
      <c r="F36" s="141"/>
      <c r="G36" s="141"/>
      <c r="H36" s="141"/>
      <c r="I36" s="141"/>
      <c r="J36" s="141"/>
      <c r="K36" s="141"/>
      <c r="L36" s="141"/>
    </row>
    <row r="37">
      <c r="A37" s="141"/>
      <c r="B37" s="141"/>
      <c r="C37" s="141"/>
      <c r="D37" s="141"/>
      <c r="E37" s="141"/>
      <c r="F37" s="141"/>
      <c r="G37" s="141"/>
      <c r="H37" s="141"/>
      <c r="I37" s="141"/>
      <c r="J37" s="141"/>
      <c r="K37" s="141"/>
      <c r="L37" s="141"/>
    </row>
    <row r="38">
      <c r="A38" s="141"/>
      <c r="B38" s="141"/>
      <c r="C38" s="141"/>
      <c r="D38" s="141"/>
      <c r="E38" s="141"/>
      <c r="F38" s="141"/>
      <c r="G38" s="141"/>
      <c r="H38" s="141"/>
      <c r="I38" s="141"/>
      <c r="J38" s="141"/>
      <c r="K38" s="141"/>
      <c r="L38" s="141"/>
    </row>
    <row r="39">
      <c r="A39" s="141"/>
      <c r="B39" s="141"/>
      <c r="C39" s="141"/>
      <c r="D39" s="141"/>
      <c r="E39" s="141"/>
      <c r="F39" s="141"/>
      <c r="G39" s="141"/>
      <c r="H39" s="141"/>
      <c r="I39" s="141"/>
      <c r="J39" s="141"/>
      <c r="K39" s="141"/>
      <c r="L39" s="141"/>
    </row>
    <row r="40">
      <c r="A40" s="141"/>
      <c r="B40" s="141"/>
      <c r="C40" s="141"/>
      <c r="D40" s="141"/>
      <c r="E40" s="141"/>
      <c r="F40" s="141"/>
      <c r="G40" s="141"/>
      <c r="H40" s="141"/>
      <c r="I40" s="141"/>
      <c r="J40" s="141"/>
      <c r="K40" s="141"/>
      <c r="L40" s="141"/>
    </row>
    <row r="41">
      <c r="A41" s="141"/>
      <c r="B41" s="141"/>
      <c r="C41" s="141"/>
      <c r="D41" s="141"/>
      <c r="E41" s="141"/>
      <c r="F41" s="141"/>
      <c r="G41" s="141"/>
      <c r="H41" s="141"/>
      <c r="I41" s="141"/>
      <c r="J41" s="141"/>
      <c r="K41" s="141"/>
      <c r="L41" s="141"/>
    </row>
    <row r="42">
      <c r="A42" s="141"/>
      <c r="B42" s="141"/>
      <c r="C42" s="141"/>
      <c r="D42" s="141"/>
      <c r="E42" s="141"/>
      <c r="F42" s="141"/>
      <c r="G42" s="141"/>
      <c r="H42" s="141"/>
      <c r="I42" s="141"/>
      <c r="J42" s="141"/>
      <c r="K42" s="141"/>
      <c r="L42" s="141"/>
    </row>
    <row r="43">
      <c r="A43" s="141"/>
      <c r="B43" s="141"/>
      <c r="C43" s="141"/>
      <c r="D43" s="141"/>
      <c r="E43" s="141"/>
      <c r="F43" s="141"/>
      <c r="G43" s="141"/>
      <c r="H43" s="141"/>
      <c r="I43" s="141"/>
      <c r="J43" s="141"/>
      <c r="K43" s="141"/>
      <c r="L43" s="141"/>
    </row>
    <row r="44">
      <c r="A44" s="141"/>
      <c r="B44" s="141"/>
      <c r="C44" s="141"/>
      <c r="D44" s="141"/>
      <c r="E44" s="141"/>
      <c r="F44" s="141"/>
      <c r="G44" s="141"/>
      <c r="H44" s="141"/>
      <c r="I44" s="141"/>
      <c r="J44" s="141"/>
      <c r="K44" s="141"/>
      <c r="L44" s="141"/>
    </row>
    <row r="45">
      <c r="A45" s="141"/>
      <c r="B45" s="141"/>
      <c r="C45" s="141"/>
      <c r="D45" s="141"/>
      <c r="E45" s="141"/>
      <c r="F45" s="141"/>
      <c r="G45" s="141"/>
      <c r="H45" s="141"/>
      <c r="I45" s="141"/>
      <c r="J45" s="141"/>
      <c r="K45" s="141"/>
      <c r="L45" s="141"/>
    </row>
    <row r="46">
      <c r="A46" s="141"/>
      <c r="B46" s="141"/>
      <c r="C46" s="141"/>
      <c r="D46" s="141"/>
      <c r="E46" s="141"/>
      <c r="F46" s="141"/>
      <c r="G46" s="141"/>
      <c r="H46" s="141"/>
      <c r="I46" s="141"/>
      <c r="J46" s="141"/>
      <c r="K46" s="141"/>
      <c r="L46" s="141"/>
    </row>
    <row r="47">
      <c r="A47" s="141"/>
      <c r="B47" s="141"/>
      <c r="C47" s="141"/>
      <c r="D47" s="141"/>
      <c r="E47" s="141"/>
      <c r="F47" s="141"/>
      <c r="G47" s="141"/>
      <c r="H47" s="141"/>
      <c r="I47" s="141"/>
      <c r="J47" s="141"/>
      <c r="K47" s="141"/>
      <c r="L47" s="141"/>
    </row>
    <row r="48">
      <c r="A48" s="141"/>
      <c r="B48" s="141"/>
      <c r="C48" s="141"/>
      <c r="D48" s="141"/>
      <c r="E48" s="141"/>
      <c r="F48" s="141"/>
      <c r="G48" s="141"/>
      <c r="H48" s="141"/>
      <c r="I48" s="141"/>
      <c r="J48" s="141"/>
      <c r="K48" s="141"/>
      <c r="L48" s="141"/>
    </row>
    <row r="49">
      <c r="A49" s="141"/>
      <c r="B49" s="141"/>
      <c r="C49" s="141"/>
      <c r="D49" s="141"/>
      <c r="E49" s="141"/>
      <c r="F49" s="141"/>
      <c r="G49" s="141"/>
      <c r="H49" s="141"/>
      <c r="I49" s="141"/>
      <c r="J49" s="141"/>
      <c r="K49" s="141"/>
      <c r="L49" s="141"/>
    </row>
    <row r="50">
      <c r="A50" s="141"/>
      <c r="B50" s="141"/>
      <c r="C50" s="141"/>
      <c r="D50" s="141"/>
      <c r="E50" s="141"/>
      <c r="F50" s="141"/>
      <c r="G50" s="141"/>
      <c r="H50" s="141"/>
      <c r="I50" s="141"/>
      <c r="J50" s="141"/>
      <c r="K50" s="141"/>
      <c r="L50" s="141"/>
    </row>
    <row r="51">
      <c r="A51" s="141"/>
      <c r="B51" s="141"/>
      <c r="C51" s="141"/>
      <c r="D51" s="141"/>
      <c r="E51" s="141"/>
      <c r="F51" s="141"/>
      <c r="G51" s="141"/>
      <c r="H51" s="141"/>
      <c r="I51" s="141"/>
      <c r="J51" s="141"/>
      <c r="K51" s="141"/>
      <c r="L51" s="141"/>
    </row>
    <row r="52">
      <c r="A52" s="141"/>
      <c r="B52" s="141"/>
      <c r="C52" s="141"/>
      <c r="D52" s="141"/>
      <c r="E52" s="141"/>
      <c r="F52" s="141"/>
      <c r="G52" s="141"/>
      <c r="H52" s="141"/>
      <c r="I52" s="141"/>
      <c r="J52" s="141"/>
      <c r="K52" s="141"/>
      <c r="L52" s="141"/>
    </row>
    <row r="53">
      <c r="A53" s="141"/>
      <c r="B53" s="141"/>
      <c r="C53" s="141"/>
      <c r="D53" s="141"/>
      <c r="E53" s="141"/>
      <c r="F53" s="141"/>
      <c r="G53" s="141"/>
      <c r="H53" s="141"/>
      <c r="I53" s="141"/>
      <c r="J53" s="141"/>
      <c r="K53" s="141"/>
      <c r="L53" s="141"/>
    </row>
    <row r="54">
      <c r="A54" s="141"/>
      <c r="B54" s="141"/>
      <c r="C54" s="141"/>
      <c r="D54" s="141"/>
      <c r="E54" s="141"/>
      <c r="F54" s="141"/>
      <c r="G54" s="141"/>
      <c r="H54" s="141"/>
      <c r="I54" s="141"/>
      <c r="J54" s="141"/>
      <c r="K54" s="141"/>
      <c r="L54" s="141"/>
    </row>
    <row r="55">
      <c r="A55" s="141"/>
      <c r="B55" s="141"/>
      <c r="C55" s="141"/>
      <c r="D55" s="141"/>
      <c r="E55" s="141"/>
      <c r="F55" s="141"/>
      <c r="G55" s="141"/>
      <c r="H55" s="141"/>
      <c r="I55" s="141"/>
      <c r="J55" s="141"/>
      <c r="K55" s="141"/>
      <c r="L55" s="141"/>
    </row>
    <row r="56">
      <c r="A56" s="141"/>
      <c r="B56" s="141"/>
      <c r="C56" s="141"/>
      <c r="D56" s="141"/>
      <c r="E56" s="141"/>
      <c r="F56" s="141"/>
      <c r="G56" s="141"/>
      <c r="H56" s="141"/>
      <c r="I56" s="141"/>
      <c r="J56" s="141"/>
      <c r="K56" s="141"/>
      <c r="L56" s="141"/>
    </row>
    <row r="57">
      <c r="A57" s="141"/>
      <c r="B57" s="141"/>
      <c r="C57" s="141"/>
      <c r="D57" s="141"/>
      <c r="E57" s="141"/>
      <c r="F57" s="141"/>
      <c r="G57" s="141"/>
      <c r="H57" s="141"/>
      <c r="I57" s="141"/>
      <c r="J57" s="141"/>
      <c r="K57" s="141"/>
      <c r="L57" s="141"/>
    </row>
    <row r="58">
      <c r="A58" s="141"/>
      <c r="B58" s="141"/>
      <c r="C58" s="141"/>
      <c r="D58" s="141"/>
      <c r="E58" s="141"/>
      <c r="F58" s="141"/>
      <c r="G58" s="141"/>
      <c r="H58" s="141"/>
      <c r="I58" s="141"/>
      <c r="J58" s="141"/>
      <c r="K58" s="141"/>
      <c r="L58" s="141"/>
    </row>
    <row r="59">
      <c r="A59" s="141"/>
      <c r="B59" s="141"/>
      <c r="C59" s="141"/>
      <c r="D59" s="141"/>
      <c r="E59" s="141"/>
      <c r="F59" s="141"/>
      <c r="G59" s="141"/>
      <c r="H59" s="141"/>
      <c r="I59" s="141"/>
      <c r="J59" s="141"/>
      <c r="K59" s="141"/>
      <c r="L59" s="141"/>
    </row>
    <row r="60">
      <c r="A60" s="141"/>
      <c r="B60" s="141"/>
      <c r="C60" s="141"/>
      <c r="D60" s="141"/>
      <c r="E60" s="141"/>
      <c r="F60" s="141"/>
      <c r="G60" s="141"/>
      <c r="H60" s="141"/>
      <c r="I60" s="141"/>
      <c r="J60" s="141"/>
      <c r="K60" s="141"/>
      <c r="L60" s="141"/>
    </row>
    <row r="61">
      <c r="A61" s="141"/>
      <c r="B61" s="141"/>
      <c r="C61" s="141"/>
      <c r="D61" s="141"/>
      <c r="E61" s="141"/>
      <c r="F61" s="141"/>
      <c r="G61" s="141"/>
      <c r="H61" s="141"/>
      <c r="I61" s="141"/>
      <c r="J61" s="141"/>
      <c r="K61" s="141"/>
      <c r="L61" s="141"/>
    </row>
    <row r="62">
      <c r="A62" s="141"/>
      <c r="B62" s="141"/>
      <c r="C62" s="141"/>
      <c r="D62" s="141"/>
      <c r="E62" s="141"/>
      <c r="F62" s="141"/>
      <c r="G62" s="141"/>
      <c r="H62" s="141"/>
      <c r="I62" s="141"/>
      <c r="J62" s="141"/>
      <c r="K62" s="141"/>
      <c r="L62" s="141"/>
    </row>
    <row r="63">
      <c r="A63" s="141"/>
      <c r="B63" s="141"/>
      <c r="C63" s="141"/>
      <c r="D63" s="141"/>
      <c r="E63" s="141"/>
      <c r="F63" s="141"/>
      <c r="G63" s="141"/>
      <c r="H63" s="141"/>
      <c r="I63" s="141"/>
      <c r="J63" s="141"/>
      <c r="K63" s="141"/>
      <c r="L63" s="141"/>
    </row>
    <row r="64">
      <c r="A64" s="141"/>
      <c r="B64" s="141"/>
      <c r="C64" s="141"/>
      <c r="D64" s="141"/>
      <c r="E64" s="141"/>
      <c r="F64" s="141"/>
      <c r="G64" s="141"/>
      <c r="H64" s="141"/>
      <c r="I64" s="141"/>
      <c r="J64" s="141"/>
      <c r="K64" s="141"/>
      <c r="L64" s="141"/>
    </row>
    <row r="65">
      <c r="A65" s="141"/>
      <c r="B65" s="141"/>
      <c r="C65" s="141"/>
      <c r="D65" s="141"/>
      <c r="E65" s="141"/>
      <c r="F65" s="141"/>
      <c r="G65" s="141"/>
      <c r="H65" s="141"/>
      <c r="I65" s="141"/>
      <c r="J65" s="141"/>
      <c r="K65" s="141"/>
      <c r="L65" s="141"/>
    </row>
    <row r="66">
      <c r="A66" s="141"/>
      <c r="B66" s="141"/>
      <c r="C66" s="141"/>
      <c r="D66" s="141"/>
      <c r="E66" s="141"/>
      <c r="F66" s="141"/>
      <c r="G66" s="141"/>
      <c r="H66" s="141"/>
      <c r="I66" s="141"/>
      <c r="J66" s="141"/>
      <c r="K66" s="141"/>
      <c r="L66" s="141"/>
    </row>
    <row r="67">
      <c r="A67" s="141"/>
      <c r="B67" s="141"/>
      <c r="C67" s="141"/>
      <c r="D67" s="141"/>
      <c r="E67" s="141"/>
      <c r="F67" s="141"/>
      <c r="G67" s="141"/>
      <c r="H67" s="141"/>
      <c r="I67" s="141"/>
      <c r="J67" s="141"/>
      <c r="K67" s="141"/>
      <c r="L67" s="141"/>
    </row>
    <row r="68">
      <c r="A68" s="141"/>
      <c r="B68" s="141"/>
      <c r="C68" s="141"/>
      <c r="D68" s="141"/>
      <c r="E68" s="141"/>
      <c r="F68" s="141"/>
      <c r="G68" s="141"/>
      <c r="H68" s="141"/>
      <c r="I68" s="141"/>
      <c r="J68" s="141"/>
      <c r="K68" s="141"/>
      <c r="L68" s="141"/>
    </row>
    <row r="69">
      <c r="A69" s="141"/>
      <c r="B69" s="141"/>
      <c r="C69" s="141"/>
      <c r="D69" s="141"/>
      <c r="E69" s="141"/>
      <c r="F69" s="141"/>
      <c r="G69" s="141"/>
      <c r="H69" s="141"/>
      <c r="I69" s="141"/>
      <c r="J69" s="141"/>
      <c r="K69" s="141"/>
      <c r="L69" s="141"/>
    </row>
    <row r="70">
      <c r="A70" s="141"/>
      <c r="B70" s="141"/>
      <c r="C70" s="141"/>
      <c r="D70" s="141"/>
      <c r="E70" s="141"/>
      <c r="F70" s="141"/>
      <c r="G70" s="141"/>
      <c r="H70" s="141"/>
      <c r="I70" s="141"/>
      <c r="J70" s="141"/>
      <c r="K70" s="141"/>
      <c r="L70" s="141"/>
    </row>
    <row r="71">
      <c r="A71" s="141"/>
      <c r="B71" s="141"/>
      <c r="C71" s="141"/>
      <c r="D71" s="141"/>
      <c r="E71" s="141"/>
      <c r="F71" s="141"/>
      <c r="G71" s="141"/>
      <c r="H71" s="141"/>
      <c r="I71" s="141"/>
      <c r="J71" s="141"/>
      <c r="K71" s="141"/>
      <c r="L71" s="141"/>
    </row>
    <row r="72">
      <c r="A72" s="141"/>
      <c r="B72" s="141"/>
      <c r="C72" s="141"/>
      <c r="D72" s="141"/>
      <c r="E72" s="141"/>
      <c r="F72" s="141"/>
      <c r="G72" s="141"/>
      <c r="H72" s="141"/>
      <c r="I72" s="141"/>
      <c r="J72" s="141"/>
      <c r="K72" s="141"/>
      <c r="L72" s="141"/>
    </row>
    <row r="73">
      <c r="A73" s="141"/>
      <c r="B73" s="141"/>
      <c r="C73" s="141"/>
      <c r="D73" s="141"/>
      <c r="E73" s="141"/>
      <c r="F73" s="141"/>
      <c r="G73" s="141"/>
      <c r="H73" s="141"/>
      <c r="I73" s="141"/>
      <c r="J73" s="141"/>
      <c r="K73" s="141"/>
      <c r="L73" s="141"/>
    </row>
    <row r="74">
      <c r="A74" s="141"/>
      <c r="B74" s="141"/>
      <c r="C74" s="141"/>
      <c r="D74" s="141"/>
      <c r="E74" s="141"/>
      <c r="F74" s="141"/>
      <c r="G74" s="141"/>
      <c r="H74" s="141"/>
      <c r="I74" s="141"/>
      <c r="J74" s="141"/>
      <c r="K74" s="141"/>
      <c r="L74" s="141"/>
    </row>
    <row r="75">
      <c r="A75" s="141"/>
      <c r="B75" s="141"/>
      <c r="C75" s="141"/>
      <c r="D75" s="141"/>
      <c r="E75" s="141"/>
      <c r="F75" s="141"/>
      <c r="G75" s="141"/>
      <c r="H75" s="141"/>
      <c r="I75" s="141"/>
      <c r="J75" s="141"/>
      <c r="K75" s="141"/>
      <c r="L75" s="141"/>
    </row>
    <row r="76">
      <c r="A76" s="141"/>
      <c r="B76" s="141"/>
      <c r="C76" s="141"/>
      <c r="D76" s="141"/>
      <c r="E76" s="141"/>
      <c r="F76" s="141"/>
      <c r="G76" s="141"/>
      <c r="H76" s="141"/>
      <c r="I76" s="141"/>
      <c r="J76" s="141"/>
      <c r="K76" s="141"/>
      <c r="L76" s="141"/>
    </row>
    <row r="77">
      <c r="A77" s="141"/>
      <c r="B77" s="141"/>
      <c r="C77" s="141"/>
      <c r="D77" s="141"/>
      <c r="E77" s="141"/>
      <c r="F77" s="141"/>
      <c r="G77" s="141"/>
      <c r="H77" s="141"/>
      <c r="I77" s="141"/>
      <c r="J77" s="141"/>
      <c r="K77" s="141"/>
      <c r="L77" s="141"/>
    </row>
    <row r="78">
      <c r="A78" s="141"/>
      <c r="B78" s="141"/>
      <c r="C78" s="141"/>
      <c r="D78" s="141"/>
      <c r="E78" s="141"/>
      <c r="F78" s="141"/>
      <c r="G78" s="141"/>
      <c r="H78" s="141"/>
      <c r="I78" s="141"/>
      <c r="J78" s="141"/>
      <c r="K78" s="141"/>
      <c r="L78" s="141"/>
    </row>
    <row r="79">
      <c r="A79" s="141"/>
      <c r="B79" s="141"/>
      <c r="C79" s="141"/>
      <c r="D79" s="141"/>
      <c r="E79" s="141"/>
      <c r="F79" s="141"/>
      <c r="G79" s="141"/>
      <c r="H79" s="141"/>
      <c r="I79" s="141"/>
      <c r="J79" s="141"/>
      <c r="K79" s="141"/>
      <c r="L79" s="141"/>
    </row>
    <row r="80">
      <c r="A80" s="141"/>
      <c r="B80" s="141"/>
      <c r="C80" s="141"/>
      <c r="D80" s="141"/>
      <c r="E80" s="141"/>
      <c r="F80" s="141"/>
      <c r="G80" s="141"/>
      <c r="H80" s="141"/>
      <c r="I80" s="141"/>
      <c r="J80" s="141"/>
      <c r="K80" s="141"/>
      <c r="L80" s="141"/>
    </row>
    <row r="81">
      <c r="A81" s="141"/>
      <c r="B81" s="141"/>
      <c r="C81" s="141"/>
      <c r="D81" s="141"/>
      <c r="E81" s="141"/>
      <c r="F81" s="141"/>
      <c r="G81" s="141"/>
      <c r="H81" s="141"/>
      <c r="I81" s="141"/>
      <c r="J81" s="141"/>
      <c r="K81" s="141"/>
      <c r="L81" s="141"/>
    </row>
    <row r="82">
      <c r="A82" s="141"/>
      <c r="B82" s="141"/>
      <c r="C82" s="141"/>
      <c r="D82" s="141"/>
      <c r="E82" s="141"/>
      <c r="F82" s="141"/>
      <c r="G82" s="141"/>
      <c r="H82" s="141"/>
      <c r="I82" s="141"/>
      <c r="J82" s="141"/>
      <c r="K82" s="141"/>
      <c r="L82" s="141"/>
    </row>
    <row r="83">
      <c r="A83" s="141"/>
      <c r="B83" s="141"/>
      <c r="C83" s="141"/>
      <c r="D83" s="141"/>
      <c r="E83" s="141"/>
      <c r="F83" s="141"/>
      <c r="G83" s="141"/>
      <c r="H83" s="141"/>
      <c r="I83" s="141"/>
      <c r="J83" s="141"/>
      <c r="K83" s="141"/>
      <c r="L83" s="141"/>
    </row>
    <row r="84">
      <c r="A84" s="141"/>
      <c r="B84" s="141"/>
      <c r="C84" s="141"/>
      <c r="D84" s="141"/>
      <c r="E84" s="141"/>
      <c r="F84" s="141"/>
      <c r="G84" s="141"/>
      <c r="H84" s="141"/>
      <c r="I84" s="141"/>
      <c r="J84" s="141"/>
      <c r="K84" s="141"/>
      <c r="L84" s="141"/>
    </row>
    <row r="85">
      <c r="A85" s="141"/>
      <c r="B85" s="141"/>
      <c r="C85" s="141"/>
      <c r="D85" s="141"/>
      <c r="E85" s="141"/>
      <c r="F85" s="141"/>
      <c r="G85" s="141"/>
      <c r="H85" s="141"/>
      <c r="I85" s="141"/>
      <c r="J85" s="141"/>
      <c r="K85" s="141"/>
      <c r="L85" s="141"/>
    </row>
    <row r="86">
      <c r="A86" s="141"/>
      <c r="B86" s="141"/>
      <c r="C86" s="141"/>
      <c r="D86" s="141"/>
      <c r="E86" s="141"/>
      <c r="F86" s="141"/>
      <c r="G86" s="141"/>
      <c r="H86" s="141"/>
      <c r="I86" s="141"/>
      <c r="J86" s="141"/>
      <c r="K86" s="141"/>
      <c r="L86" s="141"/>
    </row>
    <row r="87">
      <c r="A87" s="141"/>
      <c r="B87" s="141"/>
      <c r="C87" s="141"/>
      <c r="D87" s="141"/>
      <c r="E87" s="141"/>
      <c r="F87" s="141"/>
      <c r="G87" s="141"/>
      <c r="H87" s="141"/>
      <c r="I87" s="141"/>
      <c r="J87" s="141"/>
      <c r="K87" s="141"/>
      <c r="L87" s="141"/>
    </row>
    <row r="88">
      <c r="A88" s="141"/>
      <c r="B88" s="141"/>
      <c r="C88" s="141"/>
      <c r="D88" s="141"/>
      <c r="E88" s="141"/>
      <c r="F88" s="141"/>
      <c r="G88" s="141"/>
      <c r="H88" s="141"/>
      <c r="I88" s="141"/>
      <c r="J88" s="141"/>
      <c r="K88" s="141"/>
      <c r="L88" s="141"/>
    </row>
    <row r="89">
      <c r="A89" s="141"/>
      <c r="B89" s="141"/>
      <c r="C89" s="141"/>
      <c r="D89" s="141"/>
      <c r="E89" s="141"/>
      <c r="F89" s="141"/>
      <c r="G89" s="141"/>
      <c r="H89" s="141"/>
      <c r="I89" s="141"/>
      <c r="J89" s="141"/>
      <c r="K89" s="141"/>
      <c r="L89" s="141"/>
    </row>
    <row r="90">
      <c r="A90" s="141"/>
      <c r="B90" s="141"/>
      <c r="C90" s="141"/>
      <c r="D90" s="141"/>
      <c r="E90" s="141"/>
      <c r="F90" s="141"/>
      <c r="G90" s="141"/>
      <c r="H90" s="141"/>
      <c r="I90" s="141"/>
      <c r="J90" s="141"/>
      <c r="K90" s="141"/>
      <c r="L90" s="141"/>
    </row>
    <row r="91">
      <c r="A91" s="141"/>
      <c r="B91" s="141"/>
      <c r="C91" s="141"/>
      <c r="D91" s="141"/>
      <c r="E91" s="141"/>
      <c r="F91" s="141"/>
      <c r="G91" s="141"/>
      <c r="H91" s="141"/>
      <c r="I91" s="141"/>
      <c r="J91" s="141"/>
      <c r="K91" s="141"/>
      <c r="L91" s="141"/>
    </row>
    <row r="92">
      <c r="A92" s="141"/>
      <c r="B92" s="141"/>
      <c r="C92" s="141"/>
      <c r="D92" s="141"/>
      <c r="E92" s="141"/>
      <c r="F92" s="141"/>
      <c r="G92" s="141"/>
      <c r="H92" s="141"/>
      <c r="I92" s="141"/>
      <c r="J92" s="141"/>
      <c r="K92" s="141"/>
      <c r="L92" s="141"/>
    </row>
    <row r="93">
      <c r="A93" s="141"/>
      <c r="B93" s="141"/>
      <c r="C93" s="141"/>
      <c r="D93" s="141"/>
      <c r="E93" s="141"/>
      <c r="F93" s="141"/>
      <c r="G93" s="141"/>
      <c r="H93" s="141"/>
      <c r="I93" s="141"/>
      <c r="J93" s="141"/>
      <c r="K93" s="141"/>
      <c r="L93" s="141"/>
    </row>
    <row r="94">
      <c r="A94" s="141"/>
      <c r="B94" s="141"/>
      <c r="C94" s="141"/>
      <c r="D94" s="141"/>
      <c r="E94" s="141"/>
      <c r="F94" s="141"/>
      <c r="G94" s="141"/>
      <c r="H94" s="141"/>
      <c r="I94" s="141"/>
      <c r="J94" s="141"/>
      <c r="K94" s="141"/>
      <c r="L94" s="141"/>
    </row>
    <row r="95">
      <c r="A95" s="141"/>
      <c r="B95" s="141"/>
      <c r="C95" s="141"/>
      <c r="D95" s="141"/>
      <c r="E95" s="141"/>
      <c r="F95" s="141"/>
      <c r="G95" s="141"/>
      <c r="H95" s="141"/>
      <c r="I95" s="141"/>
      <c r="J95" s="141"/>
      <c r="K95" s="141"/>
      <c r="L95" s="141"/>
    </row>
    <row r="96">
      <c r="A96" s="141"/>
      <c r="B96" s="141"/>
      <c r="C96" s="141"/>
      <c r="D96" s="141"/>
      <c r="E96" s="141"/>
      <c r="F96" s="141"/>
      <c r="G96" s="141"/>
      <c r="H96" s="141"/>
      <c r="I96" s="141"/>
      <c r="J96" s="141"/>
      <c r="K96" s="141"/>
      <c r="L96" s="141"/>
    </row>
    <row r="97">
      <c r="A97" s="141"/>
      <c r="B97" s="141"/>
      <c r="C97" s="141"/>
      <c r="D97" s="141"/>
      <c r="E97" s="141"/>
      <c r="F97" s="141"/>
      <c r="G97" s="141"/>
      <c r="H97" s="141"/>
      <c r="I97" s="141"/>
      <c r="J97" s="141"/>
      <c r="K97" s="141"/>
      <c r="L97" s="141"/>
    </row>
    <row r="98">
      <c r="A98" s="141"/>
      <c r="B98" s="141"/>
      <c r="C98" s="141"/>
      <c r="D98" s="141"/>
      <c r="E98" s="141"/>
      <c r="F98" s="141"/>
      <c r="G98" s="141"/>
      <c r="H98" s="141"/>
      <c r="I98" s="141"/>
      <c r="J98" s="141"/>
      <c r="K98" s="141"/>
      <c r="L98" s="141"/>
    </row>
    <row r="99">
      <c r="A99" s="141"/>
      <c r="B99" s="141"/>
      <c r="C99" s="141"/>
      <c r="D99" s="141"/>
      <c r="E99" s="141"/>
      <c r="F99" s="141"/>
      <c r="G99" s="141"/>
      <c r="H99" s="141"/>
      <c r="I99" s="141"/>
      <c r="J99" s="141"/>
      <c r="K99" s="141"/>
      <c r="L99" s="141"/>
    </row>
    <row r="100">
      <c r="A100" s="141"/>
      <c r="B100" s="141"/>
      <c r="C100" s="141"/>
      <c r="D100" s="141"/>
      <c r="E100" s="141"/>
      <c r="F100" s="141"/>
      <c r="G100" s="141"/>
      <c r="H100" s="141"/>
      <c r="I100" s="141"/>
      <c r="J100" s="141"/>
      <c r="K100" s="141"/>
      <c r="L100" s="141"/>
    </row>
    <row r="101">
      <c r="A101" s="141"/>
      <c r="B101" s="141"/>
      <c r="C101" s="141"/>
      <c r="D101" s="141"/>
      <c r="E101" s="141"/>
      <c r="F101" s="141"/>
      <c r="G101" s="141"/>
      <c r="H101" s="141"/>
      <c r="I101" s="141"/>
      <c r="J101" s="141"/>
      <c r="K101" s="141"/>
      <c r="L101" s="141"/>
    </row>
    <row r="102">
      <c r="A102" s="141"/>
      <c r="B102" s="141"/>
      <c r="C102" s="141"/>
      <c r="D102" s="141"/>
      <c r="E102" s="141"/>
      <c r="F102" s="141"/>
      <c r="G102" s="141"/>
      <c r="H102" s="141"/>
      <c r="I102" s="141"/>
      <c r="J102" s="141"/>
      <c r="K102" s="141"/>
      <c r="L102" s="141"/>
    </row>
    <row r="103">
      <c r="A103" s="141"/>
      <c r="B103" s="141"/>
      <c r="C103" s="141"/>
      <c r="D103" s="141"/>
      <c r="E103" s="141"/>
      <c r="F103" s="141"/>
      <c r="G103" s="141"/>
      <c r="H103" s="141"/>
      <c r="I103" s="141"/>
      <c r="J103" s="141"/>
      <c r="K103" s="141"/>
      <c r="L103" s="141"/>
    </row>
    <row r="104">
      <c r="A104" s="141"/>
      <c r="B104" s="141"/>
      <c r="C104" s="141"/>
      <c r="D104" s="141"/>
      <c r="E104" s="141"/>
      <c r="F104" s="141"/>
      <c r="G104" s="141"/>
      <c r="H104" s="141"/>
      <c r="I104" s="141"/>
      <c r="J104" s="141"/>
      <c r="K104" s="141"/>
      <c r="L104" s="141"/>
    </row>
    <row r="105">
      <c r="A105" s="141"/>
      <c r="B105" s="141"/>
      <c r="C105" s="141"/>
      <c r="D105" s="141"/>
      <c r="E105" s="141"/>
      <c r="F105" s="141"/>
      <c r="G105" s="141"/>
      <c r="H105" s="141"/>
      <c r="I105" s="141"/>
      <c r="J105" s="141"/>
      <c r="K105" s="141"/>
      <c r="L105" s="141"/>
    </row>
    <row r="106">
      <c r="A106" s="141"/>
      <c r="B106" s="141"/>
      <c r="C106" s="141"/>
      <c r="D106" s="141"/>
      <c r="E106" s="141"/>
      <c r="F106" s="141"/>
      <c r="G106" s="141"/>
      <c r="H106" s="141"/>
      <c r="I106" s="141"/>
      <c r="J106" s="141"/>
      <c r="K106" s="141"/>
      <c r="L106" s="141"/>
    </row>
    <row r="107">
      <c r="A107" s="141"/>
      <c r="B107" s="141"/>
      <c r="C107" s="141"/>
      <c r="D107" s="141"/>
      <c r="E107" s="141"/>
      <c r="F107" s="141"/>
      <c r="G107" s="141"/>
      <c r="H107" s="141"/>
      <c r="I107" s="141"/>
      <c r="J107" s="141"/>
      <c r="K107" s="141"/>
      <c r="L107" s="141"/>
    </row>
    <row r="108">
      <c r="A108" s="141"/>
      <c r="B108" s="141"/>
      <c r="C108" s="141"/>
      <c r="D108" s="141"/>
      <c r="E108" s="141"/>
      <c r="F108" s="141"/>
      <c r="G108" s="141"/>
      <c r="H108" s="141"/>
      <c r="I108" s="141"/>
      <c r="J108" s="141"/>
      <c r="K108" s="141"/>
      <c r="L108" s="141"/>
    </row>
    <row r="109">
      <c r="A109" s="141"/>
      <c r="B109" s="141"/>
      <c r="C109" s="141"/>
      <c r="D109" s="141"/>
      <c r="E109" s="141"/>
      <c r="F109" s="141"/>
      <c r="G109" s="141"/>
      <c r="H109" s="141"/>
      <c r="I109" s="141"/>
      <c r="J109" s="141"/>
      <c r="K109" s="141"/>
      <c r="L109" s="141"/>
    </row>
    <row r="110">
      <c r="A110" s="141"/>
      <c r="B110" s="141"/>
      <c r="C110" s="141"/>
      <c r="D110" s="141"/>
      <c r="E110" s="141"/>
      <c r="F110" s="141"/>
      <c r="G110" s="141"/>
      <c r="H110" s="141"/>
      <c r="I110" s="141"/>
      <c r="J110" s="141"/>
      <c r="K110" s="141"/>
      <c r="L110" s="141"/>
    </row>
    <row r="111">
      <c r="A111" s="141"/>
      <c r="B111" s="141"/>
      <c r="C111" s="141"/>
      <c r="D111" s="141"/>
      <c r="E111" s="141"/>
      <c r="F111" s="141"/>
      <c r="G111" s="141"/>
      <c r="H111" s="141"/>
      <c r="I111" s="141"/>
      <c r="J111" s="141"/>
      <c r="K111" s="141"/>
      <c r="L111" s="141"/>
    </row>
    <row r="112">
      <c r="A112" s="141"/>
      <c r="B112" s="141"/>
      <c r="C112" s="141"/>
      <c r="D112" s="141"/>
      <c r="E112" s="141"/>
      <c r="F112" s="141"/>
      <c r="G112" s="141"/>
      <c r="H112" s="141"/>
      <c r="I112" s="141"/>
      <c r="J112" s="141"/>
      <c r="K112" s="141"/>
      <c r="L112" s="141"/>
    </row>
    <row r="113">
      <c r="A113" s="141"/>
      <c r="B113" s="141"/>
      <c r="C113" s="141"/>
      <c r="D113" s="141"/>
      <c r="E113" s="141"/>
      <c r="F113" s="141"/>
      <c r="G113" s="141"/>
      <c r="H113" s="141"/>
      <c r="I113" s="141"/>
      <c r="J113" s="141"/>
      <c r="K113" s="141"/>
      <c r="L113" s="141"/>
    </row>
    <row r="114">
      <c r="A114" s="141"/>
      <c r="B114" s="141"/>
      <c r="C114" s="141"/>
      <c r="D114" s="141"/>
      <c r="E114" s="141"/>
      <c r="F114" s="141"/>
      <c r="G114" s="141"/>
      <c r="H114" s="141"/>
      <c r="I114" s="141"/>
      <c r="J114" s="141"/>
      <c r="K114" s="141"/>
      <c r="L114" s="141"/>
    </row>
    <row r="115">
      <c r="A115" s="141"/>
      <c r="B115" s="141"/>
      <c r="C115" s="141"/>
      <c r="D115" s="141"/>
      <c r="E115" s="141"/>
      <c r="F115" s="141"/>
      <c r="G115" s="141"/>
      <c r="H115" s="141"/>
      <c r="I115" s="141"/>
      <c r="J115" s="141"/>
      <c r="K115" s="141"/>
      <c r="L115" s="141"/>
    </row>
    <row r="116">
      <c r="A116" s="141"/>
      <c r="B116" s="141"/>
      <c r="C116" s="141"/>
      <c r="D116" s="141"/>
      <c r="E116" s="141"/>
      <c r="F116" s="141"/>
      <c r="G116" s="141"/>
      <c r="H116" s="141"/>
      <c r="I116" s="141"/>
      <c r="J116" s="141"/>
      <c r="K116" s="141"/>
      <c r="L116" s="141"/>
    </row>
    <row r="117">
      <c r="A117" s="141"/>
      <c r="B117" s="141"/>
      <c r="C117" s="141"/>
      <c r="D117" s="141"/>
      <c r="E117" s="141"/>
      <c r="F117" s="141"/>
      <c r="G117" s="141"/>
      <c r="H117" s="141"/>
      <c r="I117" s="141"/>
      <c r="J117" s="141"/>
      <c r="K117" s="141"/>
      <c r="L117" s="141"/>
    </row>
    <row r="118">
      <c r="A118" s="141"/>
      <c r="B118" s="141"/>
      <c r="C118" s="141"/>
      <c r="D118" s="141"/>
      <c r="E118" s="141"/>
      <c r="F118" s="141"/>
      <c r="G118" s="141"/>
      <c r="H118" s="141"/>
      <c r="I118" s="141"/>
      <c r="J118" s="141"/>
      <c r="K118" s="141"/>
      <c r="L118" s="141"/>
    </row>
    <row r="119">
      <c r="A119" s="141"/>
      <c r="B119" s="141"/>
      <c r="C119" s="141"/>
      <c r="D119" s="141"/>
      <c r="E119" s="141"/>
      <c r="F119" s="141"/>
      <c r="G119" s="141"/>
      <c r="H119" s="141"/>
      <c r="I119" s="141"/>
      <c r="J119" s="141"/>
      <c r="K119" s="141"/>
      <c r="L119" s="141"/>
    </row>
    <row r="120">
      <c r="A120" s="141"/>
      <c r="B120" s="141"/>
      <c r="C120" s="141"/>
      <c r="D120" s="141"/>
      <c r="E120" s="141"/>
      <c r="F120" s="141"/>
      <c r="G120" s="141"/>
      <c r="H120" s="141"/>
      <c r="I120" s="141"/>
      <c r="J120" s="141"/>
      <c r="K120" s="141"/>
      <c r="L120" s="141"/>
    </row>
    <row r="121">
      <c r="A121" s="141"/>
      <c r="B121" s="141"/>
      <c r="C121" s="141"/>
      <c r="D121" s="141"/>
      <c r="E121" s="141"/>
      <c r="F121" s="141"/>
      <c r="G121" s="141"/>
      <c r="H121" s="141"/>
      <c r="I121" s="141"/>
      <c r="J121" s="141"/>
      <c r="K121" s="141"/>
      <c r="L121" s="141"/>
    </row>
    <row r="122">
      <c r="A122" s="141"/>
      <c r="B122" s="141"/>
      <c r="C122" s="141"/>
      <c r="D122" s="141"/>
      <c r="E122" s="141"/>
      <c r="F122" s="141"/>
      <c r="G122" s="141"/>
      <c r="H122" s="141"/>
      <c r="I122" s="141"/>
      <c r="J122" s="141"/>
      <c r="K122" s="141"/>
      <c r="L122" s="141"/>
    </row>
    <row r="123">
      <c r="A123" s="141"/>
      <c r="B123" s="141"/>
      <c r="C123" s="141"/>
      <c r="D123" s="141"/>
      <c r="E123" s="141"/>
      <c r="F123" s="141"/>
      <c r="G123" s="141"/>
      <c r="H123" s="141"/>
      <c r="I123" s="141"/>
      <c r="J123" s="141"/>
      <c r="K123" s="141"/>
      <c r="L123" s="141"/>
    </row>
    <row r="124">
      <c r="A124" s="141"/>
      <c r="B124" s="141"/>
      <c r="C124" s="141"/>
      <c r="D124" s="141"/>
      <c r="E124" s="141"/>
      <c r="F124" s="141"/>
      <c r="G124" s="141"/>
      <c r="H124" s="141"/>
      <c r="I124" s="141"/>
      <c r="J124" s="141"/>
      <c r="K124" s="141"/>
      <c r="L124" s="141"/>
    </row>
    <row r="125">
      <c r="A125" s="141"/>
      <c r="B125" s="141"/>
      <c r="C125" s="141"/>
      <c r="D125" s="141"/>
      <c r="E125" s="141"/>
      <c r="F125" s="141"/>
      <c r="G125" s="141"/>
      <c r="H125" s="141"/>
      <c r="I125" s="141"/>
      <c r="J125" s="141"/>
      <c r="K125" s="141"/>
      <c r="L125" s="141"/>
    </row>
    <row r="126">
      <c r="A126" s="141"/>
      <c r="B126" s="141"/>
      <c r="C126" s="141"/>
      <c r="D126" s="141"/>
      <c r="E126" s="141"/>
      <c r="F126" s="141"/>
      <c r="G126" s="141"/>
      <c r="H126" s="141"/>
      <c r="I126" s="141"/>
      <c r="J126" s="141"/>
      <c r="K126" s="141"/>
      <c r="L126" s="141"/>
    </row>
    <row r="127">
      <c r="A127" s="141"/>
      <c r="B127" s="141"/>
      <c r="C127" s="141"/>
      <c r="D127" s="141"/>
      <c r="E127" s="141"/>
      <c r="F127" s="141"/>
      <c r="G127" s="141"/>
      <c r="H127" s="141"/>
      <c r="I127" s="141"/>
      <c r="J127" s="141"/>
      <c r="K127" s="141"/>
      <c r="L127" s="141"/>
    </row>
    <row r="128">
      <c r="A128" s="141"/>
      <c r="B128" s="141"/>
      <c r="C128" s="141"/>
      <c r="D128" s="141"/>
      <c r="E128" s="141"/>
      <c r="F128" s="141"/>
      <c r="G128" s="141"/>
      <c r="H128" s="141"/>
      <c r="I128" s="141"/>
      <c r="J128" s="141"/>
      <c r="K128" s="141"/>
      <c r="L128" s="141"/>
    </row>
    <row r="129">
      <c r="A129" s="141"/>
      <c r="B129" s="141"/>
      <c r="C129" s="141"/>
      <c r="D129" s="141"/>
      <c r="E129" s="141"/>
      <c r="F129" s="141"/>
      <c r="G129" s="141"/>
      <c r="H129" s="141"/>
      <c r="I129" s="141"/>
      <c r="J129" s="141"/>
      <c r="K129" s="141"/>
      <c r="L129" s="141"/>
    </row>
    <row r="130">
      <c r="A130" s="141"/>
      <c r="B130" s="141"/>
      <c r="C130" s="141"/>
      <c r="D130" s="141"/>
      <c r="E130" s="141"/>
      <c r="F130" s="141"/>
      <c r="G130" s="141"/>
      <c r="H130" s="141"/>
      <c r="I130" s="141"/>
      <c r="J130" s="141"/>
      <c r="K130" s="141"/>
      <c r="L130" s="141"/>
    </row>
    <row r="131">
      <c r="A131" s="141"/>
      <c r="B131" s="141"/>
      <c r="C131" s="141"/>
      <c r="D131" s="141"/>
      <c r="E131" s="141"/>
      <c r="F131" s="141"/>
      <c r="G131" s="141"/>
      <c r="H131" s="141"/>
      <c r="I131" s="141"/>
      <c r="J131" s="141"/>
      <c r="K131" s="141"/>
      <c r="L131" s="141"/>
    </row>
    <row r="132">
      <c r="A132" s="141"/>
      <c r="B132" s="141"/>
      <c r="C132" s="141"/>
      <c r="D132" s="141"/>
      <c r="E132" s="141"/>
      <c r="F132" s="141"/>
      <c r="G132" s="141"/>
      <c r="H132" s="141"/>
      <c r="I132" s="141"/>
      <c r="J132" s="141"/>
      <c r="K132" s="141"/>
      <c r="L132" s="141"/>
    </row>
    <row r="133">
      <c r="A133" s="141"/>
      <c r="B133" s="141"/>
      <c r="C133" s="141"/>
      <c r="D133" s="141"/>
      <c r="E133" s="141"/>
      <c r="F133" s="141"/>
      <c r="G133" s="141"/>
      <c r="H133" s="141"/>
      <c r="I133" s="141"/>
      <c r="J133" s="141"/>
      <c r="K133" s="141"/>
      <c r="L133" s="141"/>
    </row>
    <row r="134">
      <c r="A134" s="141"/>
      <c r="B134" s="141"/>
      <c r="C134" s="141"/>
      <c r="D134" s="141"/>
      <c r="E134" s="141"/>
      <c r="F134" s="141"/>
      <c r="G134" s="141"/>
      <c r="H134" s="141"/>
      <c r="I134" s="141"/>
      <c r="J134" s="141"/>
      <c r="K134" s="141"/>
      <c r="L134" s="141"/>
    </row>
    <row r="135">
      <c r="A135" s="141"/>
      <c r="B135" s="141"/>
      <c r="C135" s="141"/>
      <c r="D135" s="141"/>
      <c r="E135" s="141"/>
      <c r="F135" s="141"/>
      <c r="G135" s="141"/>
      <c r="H135" s="141"/>
      <c r="I135" s="141"/>
      <c r="J135" s="141"/>
      <c r="K135" s="141"/>
      <c r="L135" s="141"/>
    </row>
    <row r="136">
      <c r="A136" s="141"/>
      <c r="B136" s="141"/>
      <c r="C136" s="141"/>
      <c r="D136" s="141"/>
      <c r="E136" s="141"/>
      <c r="F136" s="141"/>
      <c r="G136" s="141"/>
      <c r="H136" s="141"/>
      <c r="I136" s="141"/>
      <c r="J136" s="141"/>
      <c r="K136" s="141"/>
      <c r="L136" s="141"/>
    </row>
    <row r="137">
      <c r="A137" s="141"/>
      <c r="B137" s="141"/>
      <c r="C137" s="141"/>
      <c r="D137" s="141"/>
      <c r="E137" s="141"/>
      <c r="F137" s="141"/>
      <c r="G137" s="141"/>
      <c r="H137" s="141"/>
      <c r="I137" s="141"/>
      <c r="J137" s="141"/>
      <c r="K137" s="141"/>
      <c r="L137" s="141"/>
    </row>
    <row r="138">
      <c r="A138" s="141"/>
      <c r="B138" s="141"/>
      <c r="C138" s="141"/>
      <c r="D138" s="141"/>
      <c r="E138" s="141"/>
      <c r="F138" s="141"/>
      <c r="G138" s="141"/>
      <c r="H138" s="141"/>
      <c r="I138" s="141"/>
      <c r="J138" s="141"/>
      <c r="K138" s="141"/>
      <c r="L138" s="141"/>
    </row>
    <row r="139">
      <c r="A139" s="141"/>
      <c r="B139" s="141"/>
      <c r="C139" s="141"/>
      <c r="D139" s="141"/>
      <c r="E139" s="141"/>
      <c r="F139" s="141"/>
      <c r="G139" s="141"/>
      <c r="H139" s="141"/>
      <c r="I139" s="141"/>
      <c r="J139" s="141"/>
      <c r="K139" s="141"/>
      <c r="L139" s="141"/>
    </row>
    <row r="140">
      <c r="A140" s="141"/>
      <c r="B140" s="141"/>
      <c r="C140" s="141"/>
      <c r="D140" s="141"/>
      <c r="E140" s="141"/>
      <c r="F140" s="141"/>
      <c r="G140" s="141"/>
      <c r="H140" s="141"/>
      <c r="I140" s="141"/>
      <c r="J140" s="141"/>
      <c r="K140" s="141"/>
      <c r="L140" s="141"/>
    </row>
    <row r="141">
      <c r="A141" s="141"/>
      <c r="B141" s="141"/>
      <c r="C141" s="141"/>
      <c r="D141" s="141"/>
      <c r="E141" s="141"/>
      <c r="F141" s="141"/>
      <c r="G141" s="141"/>
      <c r="H141" s="141"/>
      <c r="I141" s="141"/>
      <c r="J141" s="141"/>
      <c r="K141" s="141"/>
      <c r="L141" s="141"/>
    </row>
    <row r="142">
      <c r="A142" s="141"/>
      <c r="B142" s="141"/>
      <c r="C142" s="141"/>
      <c r="D142" s="141"/>
      <c r="E142" s="141"/>
      <c r="F142" s="141"/>
      <c r="G142" s="141"/>
      <c r="H142" s="141"/>
      <c r="I142" s="141"/>
      <c r="J142" s="141"/>
      <c r="K142" s="141"/>
      <c r="L142" s="141"/>
    </row>
    <row r="143">
      <c r="A143" s="141"/>
      <c r="B143" s="141"/>
      <c r="C143" s="141"/>
      <c r="D143" s="141"/>
      <c r="E143" s="141"/>
      <c r="F143" s="141"/>
      <c r="G143" s="141"/>
      <c r="H143" s="141"/>
      <c r="I143" s="141"/>
      <c r="J143" s="141"/>
      <c r="K143" s="141"/>
      <c r="L143" s="141"/>
    </row>
    <row r="144">
      <c r="A144" s="141"/>
      <c r="B144" s="141"/>
      <c r="C144" s="141"/>
      <c r="D144" s="141"/>
      <c r="E144" s="141"/>
      <c r="F144" s="141"/>
      <c r="G144" s="141"/>
      <c r="H144" s="141"/>
      <c r="I144" s="141"/>
      <c r="J144" s="141"/>
      <c r="K144" s="141"/>
      <c r="L144" s="141"/>
    </row>
    <row r="145">
      <c r="A145" s="141"/>
      <c r="B145" s="141"/>
      <c r="C145" s="141"/>
      <c r="D145" s="141"/>
      <c r="E145" s="141"/>
      <c r="F145" s="141"/>
      <c r="G145" s="141"/>
      <c r="H145" s="141"/>
      <c r="I145" s="141"/>
      <c r="J145" s="141"/>
      <c r="K145" s="141"/>
      <c r="L145" s="141"/>
    </row>
    <row r="146">
      <c r="A146" s="141"/>
      <c r="B146" s="141"/>
      <c r="C146" s="141"/>
      <c r="D146" s="141"/>
      <c r="E146" s="141"/>
      <c r="F146" s="141"/>
      <c r="G146" s="141"/>
      <c r="H146" s="141"/>
      <c r="I146" s="141"/>
      <c r="J146" s="141"/>
      <c r="K146" s="141"/>
      <c r="L146" s="141"/>
    </row>
    <row r="147">
      <c r="A147" s="141"/>
      <c r="B147" s="141"/>
      <c r="C147" s="141"/>
      <c r="D147" s="141"/>
      <c r="E147" s="141"/>
      <c r="F147" s="141"/>
      <c r="G147" s="141"/>
      <c r="H147" s="141"/>
      <c r="I147" s="141"/>
      <c r="J147" s="141"/>
      <c r="K147" s="141"/>
      <c r="L147" s="141"/>
    </row>
    <row r="148">
      <c r="A148" s="141"/>
      <c r="B148" s="141"/>
      <c r="C148" s="141"/>
      <c r="D148" s="141"/>
      <c r="E148" s="141"/>
      <c r="F148" s="141"/>
      <c r="G148" s="141"/>
      <c r="H148" s="141"/>
      <c r="I148" s="141"/>
      <c r="J148" s="141"/>
      <c r="K148" s="141"/>
      <c r="L148" s="141"/>
    </row>
    <row r="149">
      <c r="A149" s="141"/>
      <c r="B149" s="141"/>
      <c r="C149" s="141"/>
      <c r="D149" s="141"/>
      <c r="E149" s="141"/>
      <c r="F149" s="141"/>
      <c r="G149" s="141"/>
      <c r="H149" s="141"/>
      <c r="I149" s="141"/>
      <c r="J149" s="141"/>
      <c r="K149" s="141"/>
      <c r="L149" s="141"/>
    </row>
    <row r="150">
      <c r="A150" s="141"/>
      <c r="B150" s="141"/>
      <c r="C150" s="141"/>
      <c r="D150" s="141"/>
      <c r="E150" s="141"/>
      <c r="F150" s="141"/>
      <c r="G150" s="141"/>
      <c r="H150" s="141"/>
      <c r="I150" s="141"/>
      <c r="J150" s="141"/>
      <c r="K150" s="141"/>
      <c r="L150" s="141"/>
    </row>
    <row r="151">
      <c r="A151" s="141"/>
      <c r="B151" s="141"/>
      <c r="C151" s="141"/>
      <c r="D151" s="141"/>
      <c r="E151" s="141"/>
      <c r="F151" s="141"/>
      <c r="G151" s="141"/>
      <c r="H151" s="141"/>
      <c r="I151" s="141"/>
      <c r="J151" s="141"/>
      <c r="K151" s="141"/>
      <c r="L151" s="141"/>
    </row>
    <row r="152">
      <c r="A152" s="141"/>
      <c r="B152" s="141"/>
      <c r="C152" s="141"/>
      <c r="D152" s="141"/>
      <c r="E152" s="141"/>
      <c r="F152" s="141"/>
      <c r="G152" s="141"/>
      <c r="H152" s="141"/>
      <c r="I152" s="141"/>
      <c r="J152" s="141"/>
      <c r="K152" s="141"/>
      <c r="L152" s="141"/>
    </row>
    <row r="153">
      <c r="A153" s="141"/>
      <c r="B153" s="141"/>
      <c r="C153" s="141"/>
      <c r="D153" s="141"/>
      <c r="E153" s="141"/>
      <c r="F153" s="141"/>
      <c r="G153" s="141"/>
      <c r="H153" s="141"/>
      <c r="I153" s="141"/>
      <c r="J153" s="141"/>
      <c r="K153" s="141"/>
      <c r="L153" s="141"/>
    </row>
    <row r="154">
      <c r="A154" s="141"/>
      <c r="B154" s="141"/>
      <c r="C154" s="141"/>
      <c r="D154" s="141"/>
      <c r="E154" s="141"/>
      <c r="F154" s="141"/>
      <c r="G154" s="141"/>
      <c r="H154" s="141"/>
      <c r="I154" s="141"/>
      <c r="J154" s="141"/>
      <c r="K154" s="141"/>
      <c r="L154" s="141"/>
    </row>
    <row r="155">
      <c r="A155" s="141"/>
      <c r="B155" s="141"/>
      <c r="C155" s="141"/>
      <c r="D155" s="141"/>
      <c r="E155" s="141"/>
      <c r="F155" s="141"/>
      <c r="G155" s="141"/>
      <c r="H155" s="141"/>
      <c r="I155" s="141"/>
      <c r="J155" s="141"/>
      <c r="K155" s="141"/>
      <c r="L155" s="141"/>
    </row>
    <row r="156">
      <c r="A156" s="141"/>
      <c r="B156" s="141"/>
      <c r="C156" s="141"/>
      <c r="D156" s="141"/>
      <c r="E156" s="141"/>
      <c r="F156" s="141"/>
      <c r="G156" s="141"/>
      <c r="H156" s="141"/>
      <c r="I156" s="141"/>
      <c r="J156" s="141"/>
      <c r="K156" s="141"/>
      <c r="L156" s="141"/>
    </row>
    <row r="157">
      <c r="A157" s="141"/>
      <c r="B157" s="141"/>
      <c r="C157" s="141"/>
      <c r="D157" s="141"/>
      <c r="E157" s="141"/>
      <c r="F157" s="141"/>
      <c r="G157" s="141"/>
      <c r="H157" s="141"/>
      <c r="I157" s="141"/>
      <c r="J157" s="141"/>
      <c r="K157" s="141"/>
      <c r="L157" s="141"/>
    </row>
    <row r="158">
      <c r="A158" s="141"/>
      <c r="B158" s="141"/>
      <c r="C158" s="141"/>
      <c r="D158" s="141"/>
      <c r="E158" s="141"/>
      <c r="F158" s="141"/>
      <c r="G158" s="141"/>
      <c r="H158" s="141"/>
      <c r="I158" s="141"/>
      <c r="J158" s="141"/>
      <c r="K158" s="141"/>
      <c r="L158" s="141"/>
    </row>
    <row r="159">
      <c r="A159" s="141"/>
      <c r="B159" s="141"/>
      <c r="C159" s="141"/>
      <c r="D159" s="141"/>
      <c r="E159" s="141"/>
      <c r="F159" s="141"/>
      <c r="G159" s="141"/>
      <c r="H159" s="141"/>
      <c r="I159" s="141"/>
      <c r="J159" s="141"/>
      <c r="K159" s="141"/>
      <c r="L159" s="141"/>
    </row>
    <row r="160">
      <c r="A160" s="141"/>
      <c r="B160" s="141"/>
      <c r="C160" s="141"/>
      <c r="D160" s="141"/>
      <c r="E160" s="141"/>
      <c r="F160" s="141"/>
      <c r="G160" s="141"/>
      <c r="H160" s="141"/>
      <c r="I160" s="141"/>
      <c r="J160" s="141"/>
      <c r="K160" s="141"/>
      <c r="L160" s="141"/>
    </row>
    <row r="161">
      <c r="A161" s="141"/>
      <c r="B161" s="141"/>
      <c r="C161" s="141"/>
      <c r="D161" s="141"/>
      <c r="E161" s="141"/>
      <c r="F161" s="141"/>
      <c r="G161" s="141"/>
      <c r="H161" s="141"/>
      <c r="I161" s="141"/>
      <c r="J161" s="141"/>
      <c r="K161" s="141"/>
      <c r="L161" s="141"/>
    </row>
    <row r="162">
      <c r="A162" s="141"/>
      <c r="B162" s="141"/>
      <c r="C162" s="141"/>
      <c r="D162" s="141"/>
      <c r="E162" s="141"/>
      <c r="F162" s="141"/>
      <c r="G162" s="141"/>
      <c r="H162" s="141"/>
      <c r="I162" s="141"/>
      <c r="J162" s="141"/>
      <c r="K162" s="141"/>
      <c r="L162" s="141"/>
    </row>
    <row r="163">
      <c r="A163" s="141"/>
      <c r="B163" s="141"/>
      <c r="C163" s="141"/>
      <c r="D163" s="141"/>
      <c r="E163" s="141"/>
      <c r="F163" s="141"/>
      <c r="G163" s="141"/>
      <c r="H163" s="141"/>
      <c r="I163" s="141"/>
      <c r="J163" s="141"/>
      <c r="K163" s="141"/>
      <c r="L163" s="141"/>
    </row>
    <row r="164">
      <c r="A164" s="141"/>
      <c r="B164" s="141"/>
      <c r="C164" s="141"/>
      <c r="D164" s="141"/>
      <c r="E164" s="141"/>
      <c r="F164" s="141"/>
      <c r="G164" s="141"/>
      <c r="H164" s="141"/>
      <c r="I164" s="141"/>
      <c r="J164" s="141"/>
      <c r="K164" s="141"/>
      <c r="L164" s="141"/>
    </row>
    <row r="165">
      <c r="A165" s="141"/>
      <c r="B165" s="141"/>
      <c r="C165" s="141"/>
      <c r="D165" s="141"/>
      <c r="E165" s="141"/>
      <c r="F165" s="141"/>
      <c r="G165" s="141"/>
      <c r="H165" s="141"/>
      <c r="I165" s="141"/>
      <c r="J165" s="141"/>
      <c r="K165" s="141"/>
      <c r="L165" s="141"/>
    </row>
    <row r="166">
      <c r="A166" s="141"/>
      <c r="B166" s="141"/>
      <c r="C166" s="141"/>
      <c r="D166" s="141"/>
      <c r="E166" s="141"/>
      <c r="F166" s="141"/>
      <c r="G166" s="141"/>
      <c r="H166" s="141"/>
      <c r="I166" s="141"/>
      <c r="J166" s="141"/>
      <c r="K166" s="141"/>
      <c r="L166" s="141"/>
    </row>
    <row r="167">
      <c r="A167" s="141"/>
      <c r="B167" s="141"/>
      <c r="C167" s="141"/>
      <c r="D167" s="141"/>
      <c r="E167" s="141"/>
      <c r="F167" s="141"/>
      <c r="G167" s="141"/>
      <c r="H167" s="141"/>
      <c r="I167" s="141"/>
      <c r="J167" s="141"/>
      <c r="K167" s="141"/>
      <c r="L167" s="141"/>
    </row>
    <row r="168">
      <c r="A168" s="141"/>
      <c r="B168" s="141"/>
      <c r="C168" s="141"/>
      <c r="D168" s="141"/>
      <c r="E168" s="141"/>
      <c r="F168" s="141"/>
      <c r="G168" s="141"/>
      <c r="H168" s="141"/>
      <c r="I168" s="141"/>
      <c r="J168" s="141"/>
      <c r="K168" s="141"/>
      <c r="L168" s="141"/>
    </row>
    <row r="169">
      <c r="A169" s="141"/>
      <c r="B169" s="141"/>
      <c r="C169" s="141"/>
      <c r="D169" s="141"/>
      <c r="E169" s="141"/>
      <c r="F169" s="141"/>
      <c r="G169" s="141"/>
      <c r="H169" s="141"/>
      <c r="I169" s="141"/>
      <c r="J169" s="141"/>
      <c r="K169" s="141"/>
      <c r="L169" s="141"/>
    </row>
    <row r="170">
      <c r="A170" s="141"/>
      <c r="B170" s="141"/>
      <c r="C170" s="141"/>
      <c r="D170" s="141"/>
      <c r="E170" s="141"/>
      <c r="F170" s="141"/>
      <c r="G170" s="141"/>
      <c r="H170" s="141"/>
      <c r="I170" s="141"/>
      <c r="J170" s="141"/>
      <c r="K170" s="141"/>
      <c r="L170" s="141"/>
    </row>
    <row r="171">
      <c r="A171" s="141"/>
      <c r="B171" s="141"/>
      <c r="C171" s="141"/>
      <c r="D171" s="141"/>
      <c r="E171" s="141"/>
      <c r="F171" s="141"/>
      <c r="G171" s="141"/>
      <c r="H171" s="141"/>
      <c r="I171" s="141"/>
      <c r="J171" s="141"/>
      <c r="K171" s="141"/>
      <c r="L171" s="141"/>
    </row>
    <row r="172">
      <c r="A172" s="141"/>
      <c r="B172" s="141"/>
      <c r="C172" s="141"/>
      <c r="D172" s="141"/>
      <c r="E172" s="141"/>
      <c r="F172" s="141"/>
      <c r="G172" s="141"/>
      <c r="H172" s="141"/>
      <c r="I172" s="141"/>
      <c r="J172" s="141"/>
      <c r="K172" s="141"/>
      <c r="L172" s="141"/>
    </row>
    <row r="173">
      <c r="A173" s="141"/>
      <c r="B173" s="141"/>
      <c r="C173" s="141"/>
      <c r="D173" s="141"/>
      <c r="E173" s="141"/>
      <c r="F173" s="141"/>
      <c r="G173" s="141"/>
      <c r="H173" s="141"/>
      <c r="I173" s="141"/>
      <c r="J173" s="141"/>
      <c r="K173" s="141"/>
      <c r="L173" s="141"/>
    </row>
    <row r="174">
      <c r="A174" s="141"/>
      <c r="B174" s="141"/>
      <c r="C174" s="141"/>
      <c r="D174" s="141"/>
      <c r="E174" s="141"/>
      <c r="F174" s="141"/>
      <c r="G174" s="141"/>
      <c r="H174" s="141"/>
      <c r="I174" s="141"/>
      <c r="J174" s="141"/>
      <c r="K174" s="141"/>
      <c r="L174" s="141"/>
    </row>
    <row r="175">
      <c r="A175" s="141"/>
      <c r="B175" s="141"/>
      <c r="C175" s="141"/>
      <c r="D175" s="141"/>
      <c r="E175" s="141"/>
      <c r="F175" s="141"/>
      <c r="G175" s="141"/>
      <c r="H175" s="141"/>
      <c r="I175" s="141"/>
      <c r="J175" s="141"/>
      <c r="K175" s="141"/>
      <c r="L175" s="141"/>
    </row>
    <row r="176">
      <c r="A176" s="141"/>
      <c r="B176" s="141"/>
      <c r="C176" s="141"/>
      <c r="D176" s="141"/>
      <c r="E176" s="141"/>
      <c r="F176" s="141"/>
      <c r="G176" s="141"/>
      <c r="H176" s="141"/>
      <c r="I176" s="141"/>
      <c r="J176" s="141"/>
      <c r="K176" s="141"/>
      <c r="L176" s="141"/>
    </row>
    <row r="177">
      <c r="A177" s="141"/>
      <c r="B177" s="141"/>
      <c r="C177" s="141"/>
      <c r="D177" s="141"/>
      <c r="E177" s="141"/>
      <c r="F177" s="141"/>
      <c r="G177" s="141"/>
      <c r="H177" s="141"/>
      <c r="I177" s="141"/>
      <c r="J177" s="141"/>
      <c r="K177" s="141"/>
      <c r="L177" s="141"/>
    </row>
    <row r="178">
      <c r="A178" s="141"/>
      <c r="B178" s="141"/>
      <c r="C178" s="141"/>
      <c r="D178" s="141"/>
      <c r="E178" s="141"/>
      <c r="F178" s="141"/>
      <c r="G178" s="141"/>
      <c r="H178" s="141"/>
      <c r="I178" s="141"/>
      <c r="J178" s="141"/>
      <c r="K178" s="141"/>
      <c r="L178" s="141"/>
    </row>
    <row r="179">
      <c r="A179" s="141"/>
      <c r="B179" s="141"/>
      <c r="C179" s="141"/>
      <c r="D179" s="141"/>
      <c r="E179" s="141"/>
      <c r="F179" s="141"/>
      <c r="G179" s="141"/>
      <c r="H179" s="141"/>
      <c r="I179" s="141"/>
      <c r="J179" s="141"/>
      <c r="K179" s="141"/>
      <c r="L179" s="141"/>
    </row>
    <row r="180">
      <c r="A180" s="141"/>
      <c r="B180" s="141"/>
      <c r="C180" s="141"/>
      <c r="D180" s="141"/>
      <c r="E180" s="141"/>
      <c r="F180" s="141"/>
      <c r="G180" s="141"/>
      <c r="H180" s="141"/>
      <c r="I180" s="141"/>
      <c r="J180" s="141"/>
      <c r="K180" s="141"/>
      <c r="L180" s="141"/>
    </row>
    <row r="181">
      <c r="A181" s="141"/>
      <c r="B181" s="141"/>
      <c r="C181" s="141"/>
      <c r="D181" s="141"/>
      <c r="E181" s="141"/>
      <c r="F181" s="141"/>
      <c r="G181" s="141"/>
      <c r="H181" s="141"/>
      <c r="I181" s="141"/>
      <c r="J181" s="141"/>
      <c r="K181" s="141"/>
      <c r="L181" s="141"/>
    </row>
    <row r="182">
      <c r="A182" s="141"/>
      <c r="B182" s="141"/>
      <c r="C182" s="141"/>
      <c r="D182" s="141"/>
      <c r="E182" s="141"/>
      <c r="F182" s="141"/>
      <c r="G182" s="141"/>
      <c r="H182" s="141"/>
      <c r="I182" s="141"/>
      <c r="J182" s="141"/>
      <c r="K182" s="141"/>
      <c r="L182" s="141"/>
    </row>
    <row r="183">
      <c r="A183" s="141"/>
      <c r="B183" s="141"/>
      <c r="C183" s="141"/>
      <c r="D183" s="141"/>
      <c r="E183" s="141"/>
      <c r="F183" s="141"/>
      <c r="G183" s="141"/>
      <c r="H183" s="141"/>
      <c r="I183" s="141"/>
      <c r="J183" s="141"/>
      <c r="K183" s="141"/>
      <c r="L183" s="141"/>
    </row>
    <row r="184">
      <c r="A184" s="141"/>
      <c r="B184" s="141"/>
      <c r="C184" s="141"/>
      <c r="D184" s="141"/>
      <c r="E184" s="141"/>
      <c r="F184" s="141"/>
      <c r="G184" s="141"/>
      <c r="H184" s="141"/>
      <c r="I184" s="141"/>
      <c r="J184" s="141"/>
      <c r="K184" s="141"/>
      <c r="L184" s="141"/>
    </row>
    <row r="185">
      <c r="A185" s="141"/>
      <c r="B185" s="141"/>
      <c r="C185" s="141"/>
      <c r="D185" s="141"/>
      <c r="E185" s="141"/>
      <c r="F185" s="141"/>
      <c r="G185" s="141"/>
      <c r="H185" s="141"/>
      <c r="I185" s="141"/>
      <c r="J185" s="141"/>
      <c r="K185" s="141"/>
      <c r="L185" s="141"/>
    </row>
    <row r="186">
      <c r="A186" s="141"/>
      <c r="B186" s="141"/>
      <c r="C186" s="141"/>
      <c r="D186" s="141"/>
      <c r="E186" s="141"/>
      <c r="F186" s="141"/>
      <c r="G186" s="141"/>
      <c r="H186" s="141"/>
      <c r="I186" s="141"/>
      <c r="J186" s="141"/>
      <c r="K186" s="141"/>
      <c r="L186" s="141"/>
    </row>
    <row r="187">
      <c r="A187" s="141"/>
      <c r="B187" s="141"/>
      <c r="C187" s="141"/>
      <c r="D187" s="141"/>
      <c r="E187" s="141"/>
      <c r="F187" s="141"/>
      <c r="G187" s="141"/>
      <c r="H187" s="141"/>
      <c r="I187" s="141"/>
      <c r="J187" s="141"/>
      <c r="K187" s="141"/>
      <c r="L187" s="141"/>
    </row>
    <row r="188">
      <c r="A188" s="141"/>
      <c r="B188" s="141"/>
      <c r="C188" s="141"/>
      <c r="D188" s="141"/>
      <c r="E188" s="141"/>
      <c r="F188" s="141"/>
      <c r="G188" s="141"/>
      <c r="H188" s="141"/>
      <c r="I188" s="141"/>
      <c r="J188" s="141"/>
      <c r="K188" s="141"/>
      <c r="L188" s="141"/>
    </row>
    <row r="189">
      <c r="A189" s="141"/>
      <c r="B189" s="141"/>
      <c r="C189" s="141"/>
      <c r="D189" s="141"/>
      <c r="E189" s="141"/>
      <c r="F189" s="141"/>
      <c r="G189" s="141"/>
      <c r="H189" s="141"/>
      <c r="I189" s="141"/>
      <c r="J189" s="141"/>
      <c r="K189" s="141"/>
      <c r="L189" s="141"/>
    </row>
    <row r="190">
      <c r="A190" s="141"/>
      <c r="B190" s="141"/>
      <c r="C190" s="141"/>
      <c r="D190" s="141"/>
      <c r="E190" s="141"/>
      <c r="F190" s="141"/>
      <c r="G190" s="141"/>
      <c r="H190" s="141"/>
      <c r="I190" s="141"/>
      <c r="J190" s="141"/>
      <c r="K190" s="141"/>
      <c r="L190" s="141"/>
    </row>
    <row r="191">
      <c r="A191" s="141"/>
      <c r="B191" s="141"/>
      <c r="C191" s="141"/>
      <c r="D191" s="141"/>
      <c r="E191" s="141"/>
      <c r="F191" s="141"/>
      <c r="G191" s="141"/>
      <c r="H191" s="141"/>
      <c r="I191" s="141"/>
      <c r="J191" s="141"/>
      <c r="K191" s="141"/>
      <c r="L191" s="141"/>
    </row>
    <row r="192">
      <c r="A192" s="141"/>
      <c r="B192" s="141"/>
      <c r="C192" s="141"/>
      <c r="D192" s="141"/>
      <c r="E192" s="141"/>
      <c r="F192" s="141"/>
      <c r="G192" s="141"/>
      <c r="H192" s="141"/>
      <c r="I192" s="141"/>
      <c r="J192" s="141"/>
      <c r="K192" s="141"/>
      <c r="L192" s="141"/>
    </row>
    <row r="193">
      <c r="A193" s="141"/>
      <c r="B193" s="141"/>
      <c r="C193" s="141"/>
      <c r="D193" s="141"/>
      <c r="E193" s="141"/>
      <c r="F193" s="141"/>
      <c r="G193" s="141"/>
      <c r="H193" s="141"/>
      <c r="I193" s="141"/>
      <c r="J193" s="141"/>
      <c r="K193" s="141"/>
      <c r="L193" s="141"/>
    </row>
    <row r="194">
      <c r="A194" s="141"/>
      <c r="B194" s="141"/>
      <c r="C194" s="141"/>
      <c r="D194" s="141"/>
      <c r="E194" s="141"/>
      <c r="F194" s="141"/>
      <c r="G194" s="141"/>
      <c r="H194" s="141"/>
      <c r="I194" s="141"/>
      <c r="J194" s="141"/>
      <c r="K194" s="141"/>
      <c r="L194" s="141"/>
    </row>
    <row r="195">
      <c r="A195" s="141"/>
      <c r="B195" s="141"/>
      <c r="C195" s="141"/>
      <c r="D195" s="141"/>
      <c r="E195" s="141"/>
      <c r="F195" s="141"/>
      <c r="G195" s="141"/>
      <c r="H195" s="141"/>
      <c r="I195" s="141"/>
      <c r="J195" s="141"/>
      <c r="K195" s="141"/>
      <c r="L195" s="141"/>
    </row>
    <row r="196">
      <c r="A196" s="141"/>
      <c r="B196" s="141"/>
      <c r="C196" s="141"/>
      <c r="D196" s="141"/>
      <c r="E196" s="141"/>
      <c r="F196" s="141"/>
      <c r="G196" s="141"/>
      <c r="H196" s="141"/>
      <c r="I196" s="141"/>
      <c r="J196" s="141"/>
      <c r="K196" s="141"/>
      <c r="L196" s="141"/>
    </row>
    <row r="197">
      <c r="A197" s="141"/>
      <c r="B197" s="141"/>
      <c r="C197" s="141"/>
      <c r="D197" s="141"/>
      <c r="E197" s="141"/>
      <c r="F197" s="141"/>
      <c r="G197" s="141"/>
      <c r="H197" s="141"/>
      <c r="I197" s="141"/>
      <c r="J197" s="141"/>
      <c r="K197" s="141"/>
      <c r="L197" s="141"/>
    </row>
    <row r="198">
      <c r="A198" s="141"/>
      <c r="B198" s="141"/>
      <c r="C198" s="141"/>
      <c r="D198" s="141"/>
      <c r="E198" s="141"/>
      <c r="F198" s="141"/>
      <c r="G198" s="141"/>
      <c r="H198" s="141"/>
      <c r="I198" s="141"/>
      <c r="J198" s="141"/>
      <c r="K198" s="141"/>
      <c r="L198" s="141"/>
    </row>
    <row r="199">
      <c r="A199" s="141"/>
      <c r="B199" s="141"/>
      <c r="C199" s="141"/>
      <c r="D199" s="141"/>
      <c r="E199" s="141"/>
      <c r="F199" s="141"/>
      <c r="G199" s="141"/>
      <c r="H199" s="141"/>
      <c r="I199" s="141"/>
      <c r="J199" s="141"/>
      <c r="K199" s="141"/>
      <c r="L199" s="141"/>
    </row>
    <row r="200">
      <c r="A200" s="141"/>
      <c r="B200" s="141"/>
      <c r="C200" s="141"/>
      <c r="D200" s="141"/>
      <c r="E200" s="141"/>
      <c r="F200" s="141"/>
      <c r="G200" s="141"/>
      <c r="H200" s="141"/>
      <c r="I200" s="141"/>
      <c r="J200" s="141"/>
      <c r="K200" s="141"/>
      <c r="L200" s="141"/>
    </row>
    <row r="201">
      <c r="A201" s="141"/>
      <c r="B201" s="141"/>
      <c r="C201" s="141"/>
      <c r="D201" s="141"/>
      <c r="E201" s="141"/>
      <c r="F201" s="141"/>
      <c r="G201" s="141"/>
      <c r="H201" s="141"/>
      <c r="I201" s="141"/>
      <c r="J201" s="141"/>
      <c r="K201" s="141"/>
      <c r="L201" s="141"/>
    </row>
    <row r="202">
      <c r="A202" s="141"/>
      <c r="B202" s="141"/>
      <c r="C202" s="141"/>
      <c r="D202" s="141"/>
      <c r="E202" s="141"/>
      <c r="F202" s="141"/>
      <c r="G202" s="141"/>
      <c r="H202" s="141"/>
      <c r="I202" s="141"/>
      <c r="J202" s="141"/>
      <c r="K202" s="141"/>
      <c r="L202" s="141"/>
    </row>
    <row r="203">
      <c r="A203" s="141"/>
      <c r="B203" s="141"/>
      <c r="C203" s="141"/>
      <c r="D203" s="141"/>
      <c r="E203" s="141"/>
      <c r="F203" s="141"/>
      <c r="G203" s="141"/>
      <c r="H203" s="141"/>
      <c r="I203" s="141"/>
      <c r="J203" s="141"/>
      <c r="K203" s="141"/>
      <c r="L203" s="141"/>
    </row>
    <row r="204">
      <c r="A204" s="141"/>
      <c r="B204" s="141"/>
      <c r="C204" s="141"/>
      <c r="D204" s="141"/>
      <c r="E204" s="141"/>
      <c r="F204" s="141"/>
      <c r="G204" s="141"/>
      <c r="H204" s="141"/>
      <c r="I204" s="141"/>
      <c r="J204" s="141"/>
      <c r="K204" s="141"/>
      <c r="L204" s="141"/>
    </row>
    <row r="205">
      <c r="A205" s="141"/>
      <c r="B205" s="141"/>
      <c r="C205" s="141"/>
      <c r="D205" s="141"/>
      <c r="E205" s="141"/>
      <c r="F205" s="141"/>
      <c r="G205" s="141"/>
      <c r="H205" s="141"/>
      <c r="I205" s="141"/>
      <c r="J205" s="141"/>
      <c r="K205" s="141"/>
      <c r="L205" s="141"/>
    </row>
    <row r="206">
      <c r="A206" s="141"/>
      <c r="B206" s="141"/>
      <c r="C206" s="141"/>
      <c r="D206" s="141"/>
      <c r="E206" s="141"/>
      <c r="F206" s="141"/>
      <c r="G206" s="141"/>
      <c r="H206" s="141"/>
      <c r="I206" s="141"/>
      <c r="J206" s="141"/>
      <c r="K206" s="141"/>
      <c r="L206" s="141"/>
    </row>
    <row r="207">
      <c r="A207" s="141"/>
      <c r="B207" s="141"/>
      <c r="C207" s="141"/>
      <c r="D207" s="141"/>
      <c r="E207" s="141"/>
      <c r="F207" s="141"/>
      <c r="G207" s="141"/>
      <c r="H207" s="141"/>
      <c r="I207" s="141"/>
      <c r="J207" s="141"/>
      <c r="K207" s="141"/>
      <c r="L207" s="141"/>
    </row>
    <row r="208">
      <c r="A208" s="141"/>
      <c r="B208" s="141"/>
      <c r="C208" s="141"/>
      <c r="D208" s="141"/>
      <c r="E208" s="141"/>
      <c r="F208" s="141"/>
      <c r="G208" s="141"/>
      <c r="H208" s="141"/>
      <c r="I208" s="141"/>
      <c r="J208" s="141"/>
      <c r="K208" s="141"/>
      <c r="L208" s="141"/>
    </row>
    <row r="209">
      <c r="A209" s="141"/>
      <c r="B209" s="141"/>
      <c r="C209" s="141"/>
      <c r="D209" s="141"/>
      <c r="E209" s="141"/>
      <c r="F209" s="141"/>
      <c r="G209" s="141"/>
      <c r="H209" s="141"/>
      <c r="I209" s="141"/>
      <c r="J209" s="141"/>
      <c r="K209" s="141"/>
      <c r="L209" s="141"/>
    </row>
    <row r="210">
      <c r="A210" s="141"/>
      <c r="B210" s="141"/>
      <c r="C210" s="141"/>
      <c r="D210" s="141"/>
      <c r="E210" s="141"/>
      <c r="F210" s="141"/>
      <c r="G210" s="141"/>
      <c r="H210" s="141"/>
      <c r="I210" s="141"/>
      <c r="J210" s="141"/>
      <c r="K210" s="141"/>
      <c r="L210" s="141"/>
    </row>
    <row r="211">
      <c r="A211" s="141"/>
      <c r="B211" s="141"/>
      <c r="C211" s="141"/>
      <c r="D211" s="141"/>
      <c r="E211" s="141"/>
      <c r="F211" s="141"/>
      <c r="G211" s="141"/>
      <c r="H211" s="141"/>
      <c r="I211" s="141"/>
      <c r="J211" s="141"/>
      <c r="K211" s="141"/>
      <c r="L211" s="141"/>
    </row>
    <row r="212">
      <c r="A212" s="141"/>
      <c r="B212" s="141"/>
      <c r="C212" s="141"/>
      <c r="D212" s="141"/>
      <c r="E212" s="141"/>
      <c r="F212" s="141"/>
      <c r="G212" s="141"/>
      <c r="H212" s="141"/>
      <c r="I212" s="141"/>
      <c r="J212" s="141"/>
      <c r="K212" s="141"/>
      <c r="L212" s="141"/>
    </row>
    <row r="213">
      <c r="A213" s="141"/>
      <c r="B213" s="141"/>
      <c r="C213" s="141"/>
      <c r="D213" s="141"/>
      <c r="E213" s="141"/>
      <c r="F213" s="141"/>
      <c r="G213" s="141"/>
      <c r="H213" s="141"/>
      <c r="I213" s="141"/>
      <c r="J213" s="141"/>
      <c r="K213" s="141"/>
      <c r="L213" s="141"/>
    </row>
    <row r="214">
      <c r="A214" s="141"/>
      <c r="B214" s="141"/>
      <c r="C214" s="141"/>
      <c r="D214" s="141"/>
      <c r="E214" s="141"/>
      <c r="F214" s="141"/>
      <c r="G214" s="141"/>
      <c r="H214" s="141"/>
      <c r="I214" s="141"/>
      <c r="J214" s="141"/>
      <c r="K214" s="141"/>
      <c r="L214" s="141"/>
    </row>
    <row r="215">
      <c r="A215" s="141"/>
      <c r="B215" s="141"/>
      <c r="C215" s="141"/>
      <c r="D215" s="141"/>
      <c r="E215" s="141"/>
      <c r="F215" s="141"/>
      <c r="G215" s="141"/>
      <c r="H215" s="141"/>
      <c r="I215" s="141"/>
      <c r="J215" s="141"/>
      <c r="K215" s="141"/>
      <c r="L215" s="141"/>
    </row>
    <row r="216">
      <c r="A216" s="141"/>
      <c r="B216" s="141"/>
      <c r="C216" s="141"/>
      <c r="D216" s="141"/>
      <c r="E216" s="141"/>
      <c r="F216" s="141"/>
      <c r="G216" s="141"/>
      <c r="H216" s="141"/>
      <c r="I216" s="141"/>
      <c r="J216" s="141"/>
      <c r="K216" s="141"/>
      <c r="L216" s="141"/>
    </row>
    <row r="217">
      <c r="A217" s="141"/>
      <c r="B217" s="141"/>
      <c r="C217" s="141"/>
      <c r="D217" s="141"/>
      <c r="E217" s="141"/>
      <c r="F217" s="141"/>
      <c r="G217" s="141"/>
      <c r="H217" s="141"/>
      <c r="I217" s="141"/>
      <c r="J217" s="141"/>
      <c r="K217" s="141"/>
      <c r="L217" s="141"/>
    </row>
    <row r="218">
      <c r="A218" s="141"/>
      <c r="B218" s="141"/>
      <c r="C218" s="141"/>
      <c r="D218" s="141"/>
      <c r="E218" s="141"/>
      <c r="F218" s="141"/>
      <c r="G218" s="141"/>
      <c r="H218" s="141"/>
      <c r="I218" s="141"/>
      <c r="J218" s="141"/>
      <c r="K218" s="141"/>
      <c r="L218" s="141"/>
    </row>
    <row r="219">
      <c r="A219" s="141"/>
      <c r="B219" s="141"/>
      <c r="C219" s="141"/>
      <c r="D219" s="141"/>
      <c r="E219" s="141"/>
      <c r="F219" s="141"/>
      <c r="G219" s="141"/>
      <c r="H219" s="141"/>
      <c r="I219" s="141"/>
      <c r="J219" s="141"/>
      <c r="K219" s="141"/>
      <c r="L219" s="141"/>
    </row>
    <row r="220">
      <c r="A220" s="141"/>
      <c r="B220" s="141"/>
      <c r="C220" s="141"/>
      <c r="D220" s="141"/>
      <c r="E220" s="141"/>
      <c r="F220" s="141"/>
      <c r="G220" s="141"/>
      <c r="H220" s="141"/>
      <c r="I220" s="141"/>
      <c r="J220" s="141"/>
      <c r="K220" s="141"/>
      <c r="L220" s="141"/>
    </row>
    <row r="221">
      <c r="A221" s="141"/>
      <c r="B221" s="141"/>
      <c r="C221" s="141"/>
      <c r="D221" s="141"/>
      <c r="E221" s="141"/>
      <c r="F221" s="141"/>
      <c r="G221" s="141"/>
      <c r="H221" s="141"/>
      <c r="I221" s="141"/>
      <c r="J221" s="141"/>
      <c r="K221" s="141"/>
      <c r="L221" s="141"/>
    </row>
    <row r="222">
      <c r="A222" s="141"/>
      <c r="B222" s="141"/>
      <c r="C222" s="141"/>
      <c r="D222" s="141"/>
      <c r="E222" s="141"/>
      <c r="F222" s="141"/>
      <c r="G222" s="141"/>
      <c r="H222" s="141"/>
      <c r="I222" s="141"/>
      <c r="J222" s="141"/>
      <c r="K222" s="141"/>
      <c r="L222" s="141"/>
    </row>
    <row r="223">
      <c r="A223" s="141"/>
      <c r="B223" s="141"/>
      <c r="C223" s="141"/>
      <c r="D223" s="141"/>
      <c r="E223" s="141"/>
      <c r="F223" s="141"/>
      <c r="G223" s="141"/>
      <c r="H223" s="141"/>
      <c r="I223" s="141"/>
      <c r="J223" s="141"/>
      <c r="K223" s="141"/>
      <c r="L223" s="141"/>
    </row>
    <row r="224">
      <c r="A224" s="141"/>
      <c r="B224" s="141"/>
      <c r="C224" s="141"/>
      <c r="D224" s="141"/>
      <c r="E224" s="141"/>
      <c r="F224" s="141"/>
      <c r="G224" s="141"/>
      <c r="H224" s="141"/>
      <c r="I224" s="141"/>
      <c r="J224" s="141"/>
      <c r="K224" s="141"/>
      <c r="L224" s="141"/>
    </row>
    <row r="225">
      <c r="A225" s="141"/>
      <c r="B225" s="141"/>
      <c r="C225" s="141"/>
      <c r="D225" s="141"/>
      <c r="E225" s="141"/>
      <c r="F225" s="141"/>
      <c r="G225" s="141"/>
      <c r="H225" s="141"/>
      <c r="I225" s="141"/>
      <c r="J225" s="141"/>
      <c r="K225" s="141"/>
      <c r="L225" s="141"/>
    </row>
    <row r="226">
      <c r="A226" s="141"/>
      <c r="B226" s="141"/>
      <c r="C226" s="141"/>
      <c r="D226" s="141"/>
      <c r="E226" s="141"/>
      <c r="F226" s="141"/>
      <c r="G226" s="141"/>
      <c r="H226" s="141"/>
      <c r="I226" s="141"/>
      <c r="J226" s="141"/>
      <c r="K226" s="141"/>
      <c r="L226" s="141"/>
    </row>
    <row r="227">
      <c r="A227" s="141"/>
      <c r="B227" s="141"/>
      <c r="C227" s="141"/>
      <c r="D227" s="141"/>
      <c r="E227" s="141"/>
      <c r="F227" s="141"/>
      <c r="G227" s="141"/>
      <c r="H227" s="141"/>
      <c r="I227" s="141"/>
      <c r="J227" s="141"/>
      <c r="K227" s="141"/>
      <c r="L227" s="141"/>
    </row>
    <row r="228">
      <c r="A228" s="141"/>
      <c r="B228" s="141"/>
      <c r="C228" s="141"/>
      <c r="D228" s="141"/>
      <c r="E228" s="141"/>
      <c r="F228" s="141"/>
      <c r="G228" s="141"/>
      <c r="H228" s="141"/>
      <c r="I228" s="141"/>
      <c r="J228" s="141"/>
      <c r="K228" s="141"/>
      <c r="L228" s="141"/>
    </row>
    <row r="229">
      <c r="A229" s="141"/>
      <c r="B229" s="141"/>
      <c r="C229" s="141"/>
      <c r="D229" s="141"/>
      <c r="E229" s="141"/>
      <c r="F229" s="141"/>
      <c r="G229" s="141"/>
      <c r="H229" s="141"/>
      <c r="I229" s="141"/>
      <c r="J229" s="141"/>
      <c r="K229" s="141"/>
      <c r="L229" s="141"/>
    </row>
    <row r="230">
      <c r="A230" s="141"/>
      <c r="B230" s="141"/>
      <c r="C230" s="141"/>
      <c r="D230" s="141"/>
      <c r="E230" s="141"/>
      <c r="F230" s="141"/>
      <c r="G230" s="141"/>
      <c r="H230" s="141"/>
      <c r="I230" s="141"/>
      <c r="J230" s="141"/>
      <c r="K230" s="141"/>
      <c r="L230" s="141"/>
    </row>
    <row r="231">
      <c r="A231" s="141"/>
      <c r="B231" s="141"/>
      <c r="C231" s="141"/>
      <c r="D231" s="141"/>
      <c r="E231" s="141"/>
      <c r="F231" s="141"/>
      <c r="G231" s="141"/>
      <c r="H231" s="141"/>
      <c r="I231" s="141"/>
      <c r="J231" s="141"/>
      <c r="K231" s="141"/>
      <c r="L231" s="141"/>
    </row>
    <row r="232">
      <c r="A232" s="141"/>
      <c r="B232" s="141"/>
      <c r="C232" s="141"/>
      <c r="D232" s="141"/>
      <c r="E232" s="141"/>
      <c r="F232" s="141"/>
      <c r="G232" s="141"/>
      <c r="H232" s="141"/>
      <c r="I232" s="141"/>
      <c r="J232" s="141"/>
      <c r="K232" s="141"/>
      <c r="L232" s="141"/>
    </row>
    <row r="233">
      <c r="A233" s="141"/>
      <c r="B233" s="141"/>
      <c r="C233" s="141"/>
      <c r="D233" s="141"/>
      <c r="E233" s="141"/>
      <c r="F233" s="141"/>
      <c r="G233" s="141"/>
      <c r="H233" s="141"/>
      <c r="I233" s="141"/>
      <c r="J233" s="141"/>
      <c r="K233" s="141"/>
      <c r="L233" s="141"/>
    </row>
    <row r="234">
      <c r="A234" s="141"/>
      <c r="B234" s="141"/>
      <c r="C234" s="141"/>
      <c r="D234" s="141"/>
      <c r="E234" s="141"/>
      <c r="F234" s="141"/>
      <c r="G234" s="141"/>
      <c r="H234" s="141"/>
      <c r="I234" s="141"/>
      <c r="J234" s="141"/>
      <c r="K234" s="141"/>
      <c r="L234" s="141"/>
    </row>
    <row r="235">
      <c r="A235" s="141"/>
      <c r="B235" s="141"/>
      <c r="C235" s="141"/>
      <c r="D235" s="141"/>
      <c r="E235" s="141"/>
      <c r="F235" s="141"/>
      <c r="G235" s="141"/>
      <c r="H235" s="141"/>
      <c r="I235" s="141"/>
      <c r="J235" s="141"/>
      <c r="K235" s="141"/>
      <c r="L235" s="141"/>
    </row>
    <row r="236">
      <c r="A236" s="141"/>
      <c r="B236" s="141"/>
      <c r="C236" s="141"/>
      <c r="D236" s="141"/>
      <c r="E236" s="141"/>
      <c r="F236" s="141"/>
      <c r="G236" s="141"/>
      <c r="H236" s="141"/>
      <c r="I236" s="141"/>
      <c r="J236" s="141"/>
      <c r="K236" s="141"/>
      <c r="L236" s="141"/>
    </row>
    <row r="237">
      <c r="A237" s="141"/>
      <c r="B237" s="141"/>
      <c r="C237" s="141"/>
      <c r="D237" s="141"/>
      <c r="E237" s="141"/>
      <c r="F237" s="141"/>
      <c r="G237" s="141"/>
      <c r="H237" s="141"/>
      <c r="I237" s="141"/>
      <c r="J237" s="141"/>
      <c r="K237" s="141"/>
      <c r="L237" s="141"/>
    </row>
    <row r="238">
      <c r="A238" s="141"/>
      <c r="B238" s="141"/>
      <c r="C238" s="141"/>
      <c r="D238" s="141"/>
      <c r="E238" s="141"/>
      <c r="F238" s="141"/>
      <c r="G238" s="141"/>
      <c r="H238" s="141"/>
      <c r="I238" s="141"/>
      <c r="J238" s="141"/>
      <c r="K238" s="141"/>
      <c r="L238" s="141"/>
    </row>
    <row r="239">
      <c r="A239" s="141"/>
      <c r="B239" s="141"/>
      <c r="C239" s="141"/>
      <c r="D239" s="141"/>
      <c r="E239" s="141"/>
      <c r="F239" s="141"/>
      <c r="G239" s="141"/>
      <c r="H239" s="141"/>
      <c r="I239" s="141"/>
      <c r="J239" s="141"/>
      <c r="K239" s="141"/>
      <c r="L239" s="141"/>
    </row>
    <row r="240">
      <c r="A240" s="141"/>
      <c r="B240" s="141"/>
      <c r="C240" s="141"/>
      <c r="D240" s="141"/>
      <c r="E240" s="141"/>
      <c r="F240" s="141"/>
      <c r="G240" s="141"/>
      <c r="H240" s="141"/>
      <c r="I240" s="141"/>
      <c r="J240" s="141"/>
      <c r="K240" s="141"/>
      <c r="L240" s="141"/>
    </row>
    <row r="241">
      <c r="A241" s="141"/>
      <c r="B241" s="141"/>
      <c r="C241" s="141"/>
      <c r="D241" s="141"/>
      <c r="E241" s="141"/>
      <c r="F241" s="141"/>
      <c r="G241" s="141"/>
      <c r="H241" s="141"/>
      <c r="I241" s="141"/>
      <c r="J241" s="141"/>
      <c r="K241" s="141"/>
      <c r="L241" s="141"/>
    </row>
    <row r="242">
      <c r="A242" s="141"/>
      <c r="B242" s="141"/>
      <c r="C242" s="141"/>
      <c r="D242" s="141"/>
      <c r="E242" s="141"/>
      <c r="F242" s="141"/>
      <c r="G242" s="141"/>
      <c r="H242" s="141"/>
      <c r="I242" s="141"/>
      <c r="J242" s="141"/>
      <c r="K242" s="141"/>
      <c r="L242" s="141"/>
    </row>
    <row r="243">
      <c r="A243" s="141"/>
      <c r="B243" s="141"/>
      <c r="C243" s="141"/>
      <c r="D243" s="141"/>
      <c r="E243" s="141"/>
      <c r="F243" s="141"/>
      <c r="G243" s="141"/>
      <c r="H243" s="141"/>
      <c r="I243" s="141"/>
      <c r="J243" s="141"/>
      <c r="K243" s="141"/>
      <c r="L243" s="141"/>
    </row>
    <row r="244">
      <c r="A244" s="141"/>
      <c r="B244" s="141"/>
      <c r="C244" s="141"/>
      <c r="D244" s="141"/>
      <c r="E244" s="141"/>
      <c r="F244" s="141"/>
      <c r="G244" s="141"/>
      <c r="H244" s="141"/>
      <c r="I244" s="141"/>
      <c r="J244" s="141"/>
      <c r="K244" s="141"/>
      <c r="L244" s="141"/>
    </row>
    <row r="245">
      <c r="A245" s="141"/>
      <c r="B245" s="141"/>
      <c r="C245" s="141"/>
      <c r="D245" s="141"/>
      <c r="E245" s="141"/>
      <c r="F245" s="141"/>
      <c r="G245" s="141"/>
      <c r="H245" s="141"/>
      <c r="I245" s="141"/>
      <c r="J245" s="141"/>
      <c r="K245" s="141"/>
      <c r="L245" s="141"/>
    </row>
    <row r="246">
      <c r="A246" s="141"/>
      <c r="B246" s="141"/>
      <c r="C246" s="141"/>
      <c r="D246" s="141"/>
      <c r="E246" s="141"/>
      <c r="F246" s="141"/>
      <c r="G246" s="141"/>
      <c r="H246" s="141"/>
      <c r="I246" s="141"/>
      <c r="J246" s="141"/>
      <c r="K246" s="141"/>
      <c r="L246" s="141"/>
    </row>
    <row r="247">
      <c r="A247" s="141"/>
      <c r="B247" s="141"/>
      <c r="C247" s="141"/>
      <c r="D247" s="141"/>
      <c r="E247" s="141"/>
      <c r="F247" s="141"/>
      <c r="G247" s="141"/>
      <c r="H247" s="141"/>
      <c r="I247" s="141"/>
      <c r="J247" s="141"/>
      <c r="K247" s="141"/>
      <c r="L247" s="141"/>
    </row>
    <row r="248">
      <c r="A248" s="141"/>
      <c r="B248" s="141"/>
      <c r="C248" s="141"/>
      <c r="D248" s="141"/>
      <c r="E248" s="141"/>
      <c r="F248" s="141"/>
      <c r="G248" s="141"/>
      <c r="H248" s="141"/>
      <c r="I248" s="141"/>
      <c r="J248" s="141"/>
      <c r="K248" s="141"/>
      <c r="L248" s="141"/>
    </row>
    <row r="249">
      <c r="A249" s="141"/>
      <c r="B249" s="141"/>
      <c r="C249" s="141"/>
      <c r="D249" s="141"/>
      <c r="E249" s="141"/>
      <c r="F249" s="141"/>
      <c r="G249" s="141"/>
      <c r="H249" s="141"/>
      <c r="I249" s="141"/>
      <c r="J249" s="141"/>
      <c r="K249" s="141"/>
      <c r="L249" s="141"/>
    </row>
    <row r="250">
      <c r="A250" s="141"/>
      <c r="B250" s="141"/>
      <c r="C250" s="141"/>
      <c r="D250" s="141"/>
      <c r="E250" s="141"/>
      <c r="F250" s="141"/>
      <c r="G250" s="141"/>
      <c r="H250" s="141"/>
      <c r="I250" s="141"/>
      <c r="J250" s="141"/>
      <c r="K250" s="141"/>
      <c r="L250" s="141"/>
    </row>
    <row r="251">
      <c r="A251" s="141"/>
      <c r="B251" s="141"/>
      <c r="C251" s="141"/>
      <c r="D251" s="141"/>
      <c r="E251" s="141"/>
      <c r="F251" s="141"/>
      <c r="G251" s="141"/>
      <c r="H251" s="141"/>
      <c r="I251" s="141"/>
      <c r="J251" s="141"/>
      <c r="K251" s="141"/>
      <c r="L251" s="141"/>
    </row>
    <row r="252">
      <c r="A252" s="141"/>
      <c r="B252" s="141"/>
      <c r="C252" s="141"/>
      <c r="D252" s="141"/>
      <c r="E252" s="141"/>
      <c r="F252" s="141"/>
      <c r="G252" s="141"/>
      <c r="H252" s="141"/>
      <c r="I252" s="141"/>
      <c r="J252" s="141"/>
      <c r="K252" s="141"/>
      <c r="L252" s="141"/>
    </row>
    <row r="253">
      <c r="A253" s="141"/>
      <c r="B253" s="141"/>
      <c r="C253" s="141"/>
      <c r="D253" s="141"/>
      <c r="E253" s="141"/>
      <c r="F253" s="141"/>
      <c r="G253" s="141"/>
      <c r="H253" s="141"/>
      <c r="I253" s="141"/>
      <c r="J253" s="141"/>
      <c r="K253" s="141"/>
      <c r="L253" s="141"/>
    </row>
    <row r="254">
      <c r="A254" s="141"/>
      <c r="B254" s="141"/>
      <c r="C254" s="141"/>
      <c r="D254" s="141"/>
      <c r="E254" s="141"/>
      <c r="F254" s="141"/>
      <c r="G254" s="141"/>
      <c r="H254" s="141"/>
      <c r="I254" s="141"/>
      <c r="J254" s="141"/>
      <c r="K254" s="141"/>
      <c r="L254" s="141"/>
    </row>
    <row r="255">
      <c r="A255" s="141"/>
      <c r="B255" s="141"/>
      <c r="C255" s="141"/>
      <c r="D255" s="141"/>
      <c r="E255" s="141"/>
      <c r="F255" s="141"/>
      <c r="G255" s="141"/>
      <c r="H255" s="141"/>
      <c r="I255" s="141"/>
      <c r="J255" s="141"/>
      <c r="K255" s="141"/>
      <c r="L255" s="141"/>
    </row>
    <row r="256">
      <c r="A256" s="141"/>
      <c r="B256" s="141"/>
      <c r="C256" s="141"/>
      <c r="D256" s="141"/>
      <c r="E256" s="141"/>
      <c r="F256" s="141"/>
      <c r="G256" s="141"/>
      <c r="H256" s="141"/>
      <c r="I256" s="141"/>
      <c r="J256" s="141"/>
      <c r="K256" s="141"/>
      <c r="L256" s="141"/>
    </row>
    <row r="257">
      <c r="A257" s="141"/>
      <c r="B257" s="141"/>
      <c r="C257" s="141"/>
      <c r="D257" s="141"/>
      <c r="E257" s="141"/>
      <c r="F257" s="141"/>
      <c r="G257" s="141"/>
      <c r="H257" s="141"/>
      <c r="I257" s="141"/>
      <c r="J257" s="141"/>
      <c r="K257" s="141"/>
      <c r="L257" s="141"/>
    </row>
    <row r="258">
      <c r="A258" s="141"/>
      <c r="B258" s="141"/>
      <c r="C258" s="141"/>
      <c r="D258" s="141"/>
      <c r="E258" s="141"/>
      <c r="F258" s="141"/>
      <c r="G258" s="141"/>
      <c r="H258" s="141"/>
      <c r="I258" s="141"/>
      <c r="J258" s="141"/>
      <c r="K258" s="141"/>
      <c r="L258" s="141"/>
    </row>
    <row r="259">
      <c r="A259" s="141"/>
      <c r="B259" s="141"/>
      <c r="C259" s="141"/>
      <c r="D259" s="141"/>
      <c r="E259" s="141"/>
      <c r="F259" s="141"/>
      <c r="G259" s="141"/>
      <c r="H259" s="141"/>
      <c r="I259" s="141"/>
      <c r="J259" s="141"/>
      <c r="K259" s="141"/>
      <c r="L259" s="141"/>
    </row>
    <row r="260">
      <c r="A260" s="141"/>
      <c r="B260" s="141"/>
      <c r="C260" s="141"/>
      <c r="D260" s="141"/>
      <c r="E260" s="141"/>
      <c r="F260" s="141"/>
      <c r="G260" s="141"/>
      <c r="H260" s="141"/>
      <c r="I260" s="141"/>
      <c r="J260" s="141"/>
      <c r="K260" s="141"/>
      <c r="L260" s="141"/>
    </row>
    <row r="261">
      <c r="A261" s="141"/>
      <c r="B261" s="141"/>
      <c r="C261" s="141"/>
      <c r="D261" s="141"/>
      <c r="E261" s="141"/>
      <c r="F261" s="141"/>
      <c r="G261" s="141"/>
      <c r="H261" s="141"/>
      <c r="I261" s="141"/>
      <c r="J261" s="141"/>
      <c r="K261" s="141"/>
      <c r="L261" s="141"/>
    </row>
    <row r="262">
      <c r="A262" s="141"/>
      <c r="B262" s="141"/>
      <c r="C262" s="141"/>
      <c r="D262" s="141"/>
      <c r="E262" s="141"/>
      <c r="F262" s="141"/>
      <c r="G262" s="141"/>
      <c r="H262" s="141"/>
      <c r="I262" s="141"/>
      <c r="J262" s="141"/>
      <c r="K262" s="141"/>
      <c r="L262" s="141"/>
    </row>
    <row r="263">
      <c r="A263" s="141"/>
      <c r="B263" s="141"/>
      <c r="C263" s="141"/>
      <c r="D263" s="141"/>
      <c r="E263" s="141"/>
      <c r="F263" s="141"/>
      <c r="G263" s="141"/>
      <c r="H263" s="141"/>
      <c r="I263" s="141"/>
      <c r="J263" s="141"/>
      <c r="K263" s="141"/>
      <c r="L263" s="141"/>
    </row>
    <row r="264">
      <c r="A264" s="141"/>
      <c r="B264" s="141"/>
      <c r="C264" s="141"/>
      <c r="D264" s="141"/>
      <c r="E264" s="141"/>
      <c r="F264" s="141"/>
      <c r="G264" s="141"/>
      <c r="H264" s="141"/>
      <c r="I264" s="141"/>
      <c r="J264" s="141"/>
      <c r="K264" s="141"/>
      <c r="L264" s="141"/>
    </row>
    <row r="265">
      <c r="A265" s="141"/>
      <c r="B265" s="141"/>
      <c r="C265" s="141"/>
      <c r="D265" s="141"/>
      <c r="E265" s="141"/>
      <c r="F265" s="141"/>
      <c r="G265" s="141"/>
      <c r="H265" s="141"/>
      <c r="I265" s="141"/>
      <c r="J265" s="141"/>
      <c r="K265" s="141"/>
      <c r="L265" s="141"/>
    </row>
    <row r="266">
      <c r="A266" s="141"/>
      <c r="B266" s="141"/>
      <c r="C266" s="141"/>
      <c r="D266" s="141"/>
      <c r="E266" s="141"/>
      <c r="F266" s="141"/>
      <c r="G266" s="141"/>
      <c r="H266" s="141"/>
      <c r="I266" s="141"/>
      <c r="J266" s="141"/>
      <c r="K266" s="141"/>
      <c r="L266" s="141"/>
    </row>
    <row r="267">
      <c r="A267" s="141"/>
      <c r="B267" s="141"/>
      <c r="C267" s="141"/>
      <c r="D267" s="141"/>
      <c r="E267" s="141"/>
      <c r="F267" s="141"/>
      <c r="G267" s="141"/>
      <c r="H267" s="141"/>
      <c r="I267" s="141"/>
      <c r="J267" s="141"/>
      <c r="K267" s="141"/>
      <c r="L267" s="141"/>
    </row>
    <row r="268">
      <c r="A268" s="141"/>
      <c r="B268" s="141"/>
      <c r="C268" s="141"/>
      <c r="D268" s="141"/>
      <c r="E268" s="141"/>
      <c r="F268" s="141"/>
      <c r="G268" s="141"/>
      <c r="H268" s="141"/>
      <c r="I268" s="141"/>
      <c r="J268" s="141"/>
      <c r="K268" s="141"/>
      <c r="L268" s="141"/>
    </row>
    <row r="269">
      <c r="A269" s="141"/>
      <c r="B269" s="141"/>
      <c r="C269" s="141"/>
      <c r="D269" s="141"/>
      <c r="E269" s="141"/>
      <c r="F269" s="141"/>
      <c r="G269" s="141"/>
      <c r="H269" s="141"/>
      <c r="I269" s="141"/>
      <c r="J269" s="141"/>
      <c r="K269" s="141"/>
      <c r="L269" s="141"/>
    </row>
    <row r="270">
      <c r="A270" s="141"/>
      <c r="B270" s="141"/>
      <c r="C270" s="141"/>
      <c r="D270" s="141"/>
      <c r="E270" s="141"/>
      <c r="F270" s="141"/>
      <c r="G270" s="141"/>
      <c r="H270" s="141"/>
      <c r="I270" s="141"/>
      <c r="J270" s="141"/>
      <c r="K270" s="141"/>
      <c r="L270" s="141"/>
    </row>
    <row r="271">
      <c r="A271" s="141"/>
      <c r="B271" s="141"/>
      <c r="C271" s="141"/>
      <c r="D271" s="141"/>
      <c r="E271" s="141"/>
      <c r="F271" s="141"/>
      <c r="G271" s="141"/>
      <c r="H271" s="141"/>
      <c r="I271" s="141"/>
      <c r="J271" s="141"/>
      <c r="K271" s="141"/>
      <c r="L271" s="141"/>
    </row>
    <row r="272">
      <c r="A272" s="141"/>
      <c r="B272" s="141"/>
      <c r="C272" s="141"/>
      <c r="D272" s="141"/>
      <c r="E272" s="141"/>
      <c r="F272" s="141"/>
      <c r="G272" s="141"/>
      <c r="H272" s="141"/>
      <c r="I272" s="141"/>
      <c r="J272" s="141"/>
      <c r="K272" s="141"/>
      <c r="L272" s="141"/>
    </row>
    <row r="273">
      <c r="A273" s="141"/>
      <c r="B273" s="141"/>
      <c r="C273" s="141"/>
      <c r="D273" s="141"/>
      <c r="E273" s="141"/>
      <c r="F273" s="141"/>
      <c r="G273" s="141"/>
      <c r="H273" s="141"/>
      <c r="I273" s="141"/>
      <c r="J273" s="141"/>
      <c r="K273" s="141"/>
      <c r="L273" s="141"/>
    </row>
    <row r="274">
      <c r="A274" s="141"/>
      <c r="B274" s="141"/>
      <c r="C274" s="141"/>
      <c r="D274" s="141"/>
      <c r="E274" s="141"/>
      <c r="F274" s="141"/>
      <c r="G274" s="141"/>
      <c r="H274" s="141"/>
      <c r="I274" s="141"/>
      <c r="J274" s="141"/>
      <c r="K274" s="141"/>
      <c r="L274" s="141"/>
    </row>
    <row r="275">
      <c r="A275" s="141"/>
      <c r="B275" s="141"/>
      <c r="C275" s="141"/>
      <c r="D275" s="141"/>
      <c r="E275" s="141"/>
      <c r="F275" s="141"/>
      <c r="G275" s="141"/>
      <c r="H275" s="141"/>
      <c r="I275" s="141"/>
      <c r="J275" s="141"/>
      <c r="K275" s="141"/>
      <c r="L275" s="141"/>
    </row>
    <row r="276">
      <c r="A276" s="141"/>
      <c r="B276" s="141"/>
      <c r="C276" s="141"/>
      <c r="D276" s="141"/>
      <c r="E276" s="141"/>
      <c r="F276" s="141"/>
      <c r="G276" s="141"/>
      <c r="H276" s="141"/>
      <c r="I276" s="141"/>
      <c r="J276" s="141"/>
      <c r="K276" s="141"/>
      <c r="L276" s="141"/>
    </row>
    <row r="277">
      <c r="A277" s="141"/>
      <c r="B277" s="141"/>
      <c r="C277" s="141"/>
      <c r="D277" s="141"/>
      <c r="E277" s="141"/>
      <c r="F277" s="141"/>
      <c r="G277" s="141"/>
      <c r="H277" s="141"/>
      <c r="I277" s="141"/>
      <c r="J277" s="141"/>
      <c r="K277" s="141"/>
      <c r="L277" s="141"/>
    </row>
    <row r="278">
      <c r="A278" s="141"/>
      <c r="B278" s="141"/>
      <c r="C278" s="141"/>
      <c r="D278" s="141"/>
      <c r="E278" s="141"/>
      <c r="F278" s="141"/>
      <c r="G278" s="141"/>
      <c r="H278" s="141"/>
      <c r="I278" s="141"/>
      <c r="J278" s="141"/>
      <c r="K278" s="141"/>
      <c r="L278" s="141"/>
    </row>
    <row r="279">
      <c r="A279" s="141"/>
      <c r="B279" s="141"/>
      <c r="C279" s="141"/>
      <c r="D279" s="141"/>
      <c r="E279" s="141"/>
      <c r="F279" s="141"/>
      <c r="G279" s="141"/>
      <c r="H279" s="141"/>
      <c r="I279" s="141"/>
      <c r="J279" s="141"/>
      <c r="K279" s="141"/>
      <c r="L279" s="141"/>
    </row>
    <row r="280">
      <c r="A280" s="141"/>
      <c r="B280" s="141"/>
      <c r="C280" s="141"/>
      <c r="D280" s="141"/>
      <c r="E280" s="141"/>
      <c r="F280" s="141"/>
      <c r="G280" s="141"/>
      <c r="H280" s="141"/>
      <c r="I280" s="141"/>
      <c r="J280" s="141"/>
      <c r="K280" s="141"/>
      <c r="L280" s="141"/>
    </row>
    <row r="281">
      <c r="A281" s="141"/>
      <c r="B281" s="141"/>
      <c r="C281" s="141"/>
      <c r="D281" s="141"/>
      <c r="E281" s="141"/>
      <c r="F281" s="141"/>
      <c r="G281" s="141"/>
      <c r="H281" s="141"/>
      <c r="I281" s="141"/>
      <c r="J281" s="141"/>
      <c r="K281" s="141"/>
      <c r="L281" s="141"/>
    </row>
    <row r="282">
      <c r="A282" s="141"/>
      <c r="B282" s="141"/>
      <c r="C282" s="141"/>
      <c r="D282" s="141"/>
      <c r="E282" s="141"/>
      <c r="F282" s="141"/>
      <c r="G282" s="141"/>
      <c r="H282" s="141"/>
      <c r="I282" s="141"/>
      <c r="J282" s="141"/>
      <c r="K282" s="141"/>
      <c r="L282" s="141"/>
    </row>
    <row r="283">
      <c r="A283" s="141"/>
      <c r="B283" s="141"/>
      <c r="C283" s="141"/>
      <c r="D283" s="141"/>
      <c r="E283" s="141"/>
      <c r="F283" s="141"/>
      <c r="G283" s="141"/>
      <c r="H283" s="141"/>
      <c r="I283" s="141"/>
      <c r="J283" s="141"/>
      <c r="K283" s="141"/>
      <c r="L283" s="141"/>
    </row>
    <row r="284">
      <c r="A284" s="141"/>
      <c r="B284" s="141"/>
      <c r="C284" s="141"/>
      <c r="D284" s="141"/>
      <c r="E284" s="141"/>
      <c r="F284" s="141"/>
      <c r="G284" s="141"/>
      <c r="H284" s="141"/>
      <c r="I284" s="141"/>
      <c r="J284" s="141"/>
      <c r="K284" s="141"/>
      <c r="L284" s="141"/>
    </row>
    <row r="285">
      <c r="A285" s="141"/>
      <c r="B285" s="141"/>
      <c r="C285" s="141"/>
      <c r="D285" s="141"/>
      <c r="E285" s="141"/>
      <c r="F285" s="141"/>
      <c r="G285" s="141"/>
      <c r="H285" s="141"/>
      <c r="I285" s="141"/>
      <c r="J285" s="141"/>
      <c r="K285" s="141"/>
      <c r="L285" s="141"/>
    </row>
    <row r="286">
      <c r="A286" s="141"/>
      <c r="B286" s="141"/>
      <c r="C286" s="141"/>
      <c r="D286" s="141"/>
      <c r="E286" s="141"/>
      <c r="F286" s="141"/>
      <c r="G286" s="141"/>
      <c r="H286" s="141"/>
      <c r="I286" s="141"/>
      <c r="J286" s="141"/>
      <c r="K286" s="141"/>
      <c r="L286" s="141"/>
    </row>
    <row r="287">
      <c r="A287" s="141"/>
      <c r="B287" s="141"/>
      <c r="C287" s="141"/>
      <c r="D287" s="141"/>
      <c r="E287" s="141"/>
      <c r="F287" s="141"/>
      <c r="G287" s="141"/>
      <c r="H287" s="141"/>
      <c r="I287" s="141"/>
      <c r="J287" s="141"/>
      <c r="K287" s="141"/>
      <c r="L287" s="141"/>
    </row>
    <row r="288">
      <c r="A288" s="141"/>
      <c r="B288" s="141"/>
      <c r="C288" s="141"/>
      <c r="D288" s="141"/>
      <c r="E288" s="141"/>
      <c r="F288" s="141"/>
      <c r="G288" s="141"/>
      <c r="H288" s="141"/>
      <c r="I288" s="141"/>
      <c r="J288" s="141"/>
      <c r="K288" s="141"/>
      <c r="L288" s="141"/>
    </row>
    <row r="289">
      <c r="A289" s="141"/>
      <c r="B289" s="141"/>
      <c r="C289" s="141"/>
      <c r="D289" s="141"/>
      <c r="E289" s="141"/>
      <c r="F289" s="141"/>
      <c r="G289" s="141"/>
      <c r="H289" s="141"/>
      <c r="I289" s="141"/>
      <c r="J289" s="141"/>
      <c r="K289" s="141"/>
      <c r="L289" s="141"/>
    </row>
    <row r="290">
      <c r="A290" s="141"/>
      <c r="B290" s="141"/>
      <c r="C290" s="141"/>
      <c r="D290" s="141"/>
      <c r="E290" s="141"/>
      <c r="F290" s="141"/>
      <c r="G290" s="141"/>
      <c r="H290" s="141"/>
      <c r="I290" s="141"/>
      <c r="J290" s="141"/>
      <c r="K290" s="141"/>
      <c r="L290" s="141"/>
    </row>
    <row r="291">
      <c r="A291" s="141"/>
      <c r="B291" s="141"/>
      <c r="C291" s="141"/>
      <c r="D291" s="141"/>
      <c r="E291" s="141"/>
      <c r="F291" s="141"/>
      <c r="G291" s="141"/>
      <c r="H291" s="141"/>
      <c r="I291" s="141"/>
      <c r="J291" s="141"/>
      <c r="K291" s="141"/>
      <c r="L291" s="141"/>
    </row>
    <row r="292">
      <c r="A292" s="141"/>
      <c r="B292" s="141"/>
      <c r="C292" s="141"/>
      <c r="D292" s="141"/>
      <c r="E292" s="141"/>
      <c r="F292" s="141"/>
      <c r="G292" s="141"/>
      <c r="H292" s="141"/>
      <c r="I292" s="141"/>
      <c r="J292" s="141"/>
      <c r="K292" s="141"/>
      <c r="L292" s="141"/>
    </row>
    <row r="293">
      <c r="A293" s="141"/>
      <c r="B293" s="141"/>
      <c r="C293" s="141"/>
      <c r="D293" s="141"/>
      <c r="E293" s="141"/>
      <c r="F293" s="141"/>
      <c r="G293" s="141"/>
      <c r="H293" s="141"/>
      <c r="I293" s="141"/>
      <c r="J293" s="141"/>
      <c r="K293" s="141"/>
      <c r="L293" s="141"/>
    </row>
    <row r="294">
      <c r="A294" s="141"/>
      <c r="B294" s="141"/>
      <c r="C294" s="141"/>
      <c r="D294" s="141"/>
      <c r="E294" s="141"/>
      <c r="F294" s="141"/>
      <c r="G294" s="141"/>
      <c r="H294" s="141"/>
      <c r="I294" s="141"/>
      <c r="J294" s="141"/>
      <c r="K294" s="141"/>
      <c r="L294" s="141"/>
    </row>
    <row r="295">
      <c r="A295" s="141"/>
      <c r="B295" s="141"/>
      <c r="C295" s="141"/>
      <c r="D295" s="141"/>
      <c r="E295" s="141"/>
      <c r="F295" s="141"/>
      <c r="G295" s="141"/>
      <c r="H295" s="141"/>
      <c r="I295" s="141"/>
      <c r="J295" s="141"/>
      <c r="K295" s="141"/>
      <c r="L295" s="141"/>
    </row>
    <row r="296">
      <c r="A296" s="141"/>
      <c r="B296" s="141"/>
      <c r="C296" s="141"/>
      <c r="D296" s="141"/>
      <c r="E296" s="141"/>
      <c r="F296" s="141"/>
      <c r="G296" s="141"/>
      <c r="H296" s="141"/>
      <c r="I296" s="141"/>
      <c r="J296" s="141"/>
      <c r="K296" s="141"/>
      <c r="L296" s="141"/>
    </row>
    <row r="297">
      <c r="A297" s="141"/>
      <c r="B297" s="141"/>
      <c r="C297" s="141"/>
      <c r="D297" s="141"/>
      <c r="E297" s="141"/>
      <c r="F297" s="141"/>
      <c r="G297" s="141"/>
      <c r="H297" s="141"/>
      <c r="I297" s="141"/>
      <c r="J297" s="141"/>
      <c r="K297" s="141"/>
      <c r="L297" s="141"/>
    </row>
    <row r="298">
      <c r="A298" s="141"/>
      <c r="B298" s="141"/>
      <c r="C298" s="141"/>
      <c r="D298" s="141"/>
      <c r="E298" s="141"/>
      <c r="F298" s="141"/>
      <c r="G298" s="141"/>
      <c r="H298" s="141"/>
      <c r="I298" s="141"/>
      <c r="J298" s="141"/>
      <c r="K298" s="141"/>
      <c r="L298" s="141"/>
    </row>
    <row r="299">
      <c r="A299" s="141"/>
      <c r="B299" s="141"/>
      <c r="C299" s="141"/>
      <c r="D299" s="141"/>
      <c r="E299" s="141"/>
      <c r="F299" s="141"/>
      <c r="G299" s="141"/>
      <c r="H299" s="141"/>
      <c r="I299" s="141"/>
      <c r="J299" s="141"/>
      <c r="K299" s="141"/>
      <c r="L299" s="141"/>
    </row>
    <row r="300">
      <c r="A300" s="141"/>
      <c r="B300" s="141"/>
      <c r="C300" s="141"/>
      <c r="D300" s="141"/>
      <c r="E300" s="141"/>
      <c r="F300" s="141"/>
      <c r="G300" s="141"/>
      <c r="H300" s="141"/>
      <c r="I300" s="141"/>
      <c r="J300" s="141"/>
      <c r="K300" s="141"/>
      <c r="L300" s="141"/>
    </row>
    <row r="301">
      <c r="A301" s="141"/>
      <c r="B301" s="141"/>
      <c r="C301" s="141"/>
      <c r="D301" s="141"/>
      <c r="E301" s="141"/>
      <c r="F301" s="141"/>
      <c r="G301" s="141"/>
      <c r="H301" s="141"/>
      <c r="I301" s="141"/>
      <c r="J301" s="141"/>
      <c r="K301" s="141"/>
      <c r="L301" s="141"/>
    </row>
    <row r="302">
      <c r="A302" s="141"/>
      <c r="B302" s="141"/>
      <c r="C302" s="141"/>
      <c r="D302" s="141"/>
      <c r="E302" s="141"/>
      <c r="F302" s="141"/>
      <c r="G302" s="141"/>
      <c r="H302" s="141"/>
      <c r="I302" s="141"/>
      <c r="J302" s="141"/>
      <c r="K302" s="141"/>
      <c r="L302" s="141"/>
    </row>
    <row r="303">
      <c r="A303" s="141"/>
      <c r="B303" s="141"/>
      <c r="C303" s="141"/>
      <c r="D303" s="141"/>
      <c r="E303" s="141"/>
      <c r="F303" s="141"/>
      <c r="G303" s="141"/>
      <c r="H303" s="141"/>
      <c r="I303" s="141"/>
      <c r="J303" s="141"/>
      <c r="K303" s="141"/>
      <c r="L303" s="141"/>
    </row>
    <row r="304">
      <c r="A304" s="141"/>
      <c r="B304" s="141"/>
      <c r="C304" s="141"/>
      <c r="D304" s="141"/>
      <c r="E304" s="141"/>
      <c r="F304" s="141"/>
      <c r="G304" s="141"/>
      <c r="H304" s="141"/>
      <c r="I304" s="141"/>
      <c r="J304" s="141"/>
      <c r="K304" s="141"/>
      <c r="L304" s="141"/>
    </row>
    <row r="305">
      <c r="A305" s="141"/>
      <c r="B305" s="141"/>
      <c r="C305" s="141"/>
      <c r="D305" s="141"/>
      <c r="E305" s="141"/>
      <c r="F305" s="141"/>
      <c r="G305" s="141"/>
      <c r="H305" s="141"/>
      <c r="I305" s="141"/>
      <c r="J305" s="141"/>
      <c r="K305" s="141"/>
      <c r="L305" s="141"/>
    </row>
    <row r="306">
      <c r="A306" s="141"/>
      <c r="B306" s="141"/>
      <c r="C306" s="141"/>
      <c r="D306" s="141"/>
      <c r="E306" s="141"/>
      <c r="F306" s="141"/>
      <c r="G306" s="141"/>
      <c r="H306" s="141"/>
      <c r="I306" s="141"/>
      <c r="J306" s="141"/>
      <c r="K306" s="141"/>
      <c r="L306" s="141"/>
    </row>
    <row r="307">
      <c r="A307" s="141"/>
      <c r="B307" s="141"/>
      <c r="C307" s="141"/>
      <c r="D307" s="141"/>
      <c r="E307" s="141"/>
      <c r="F307" s="141"/>
      <c r="G307" s="141"/>
      <c r="H307" s="141"/>
      <c r="I307" s="141"/>
      <c r="J307" s="141"/>
      <c r="K307" s="141"/>
      <c r="L307" s="141"/>
    </row>
    <row r="308">
      <c r="A308" s="141"/>
      <c r="B308" s="141"/>
      <c r="C308" s="141"/>
      <c r="D308" s="141"/>
      <c r="E308" s="141"/>
      <c r="F308" s="141"/>
      <c r="G308" s="141"/>
      <c r="H308" s="141"/>
      <c r="I308" s="141"/>
      <c r="J308" s="141"/>
      <c r="K308" s="141"/>
      <c r="L308" s="141"/>
    </row>
    <row r="309">
      <c r="A309" s="141"/>
      <c r="B309" s="141"/>
      <c r="C309" s="141"/>
      <c r="D309" s="141"/>
      <c r="E309" s="141"/>
      <c r="F309" s="141"/>
      <c r="G309" s="141"/>
      <c r="H309" s="141"/>
      <c r="I309" s="141"/>
      <c r="J309" s="141"/>
      <c r="K309" s="141"/>
      <c r="L309" s="141"/>
    </row>
    <row r="310">
      <c r="A310" s="141"/>
      <c r="B310" s="141"/>
      <c r="C310" s="141"/>
      <c r="D310" s="141"/>
      <c r="E310" s="141"/>
      <c r="F310" s="141"/>
      <c r="G310" s="141"/>
      <c r="H310" s="141"/>
      <c r="I310" s="141"/>
      <c r="J310" s="141"/>
      <c r="K310" s="141"/>
      <c r="L310" s="141"/>
    </row>
    <row r="311">
      <c r="A311" s="141"/>
      <c r="B311" s="141"/>
      <c r="C311" s="141"/>
      <c r="D311" s="141"/>
      <c r="E311" s="141"/>
      <c r="F311" s="141"/>
      <c r="G311" s="141"/>
      <c r="H311" s="141"/>
      <c r="I311" s="141"/>
      <c r="J311" s="141"/>
      <c r="K311" s="141"/>
      <c r="L311" s="141"/>
    </row>
    <row r="312">
      <c r="A312" s="141"/>
      <c r="B312" s="141"/>
      <c r="C312" s="141"/>
      <c r="D312" s="141"/>
      <c r="E312" s="141"/>
      <c r="F312" s="141"/>
      <c r="G312" s="141"/>
      <c r="H312" s="141"/>
      <c r="I312" s="141"/>
      <c r="J312" s="141"/>
      <c r="K312" s="141"/>
      <c r="L312" s="141"/>
    </row>
    <row r="313">
      <c r="A313" s="141"/>
      <c r="B313" s="141"/>
      <c r="C313" s="141"/>
      <c r="D313" s="141"/>
      <c r="E313" s="141"/>
      <c r="F313" s="141"/>
      <c r="G313" s="141"/>
      <c r="H313" s="141"/>
      <c r="I313" s="141"/>
      <c r="J313" s="141"/>
      <c r="K313" s="141"/>
      <c r="L313" s="141"/>
    </row>
    <row r="314">
      <c r="A314" s="141"/>
      <c r="B314" s="141"/>
      <c r="C314" s="141"/>
      <c r="D314" s="141"/>
      <c r="E314" s="141"/>
      <c r="F314" s="141"/>
      <c r="G314" s="141"/>
      <c r="H314" s="141"/>
      <c r="I314" s="141"/>
      <c r="J314" s="141"/>
      <c r="K314" s="141"/>
      <c r="L314" s="141"/>
    </row>
    <row r="315">
      <c r="A315" s="141"/>
      <c r="B315" s="141"/>
      <c r="C315" s="141"/>
      <c r="D315" s="141"/>
      <c r="E315" s="141"/>
      <c r="F315" s="141"/>
      <c r="G315" s="141"/>
      <c r="H315" s="141"/>
      <c r="I315" s="141"/>
      <c r="J315" s="141"/>
      <c r="K315" s="141"/>
      <c r="L315" s="141"/>
    </row>
    <row r="316">
      <c r="A316" s="141"/>
      <c r="B316" s="141"/>
      <c r="C316" s="141"/>
      <c r="D316" s="141"/>
      <c r="E316" s="141"/>
      <c r="F316" s="141"/>
      <c r="G316" s="141"/>
      <c r="H316" s="141"/>
      <c r="I316" s="141"/>
      <c r="J316" s="141"/>
      <c r="K316" s="141"/>
      <c r="L316" s="141"/>
    </row>
    <row r="317">
      <c r="A317" s="141"/>
      <c r="B317" s="141"/>
      <c r="C317" s="141"/>
      <c r="D317" s="141"/>
      <c r="E317" s="141"/>
      <c r="F317" s="141"/>
      <c r="G317" s="141"/>
      <c r="H317" s="141"/>
      <c r="I317" s="141"/>
      <c r="J317" s="141"/>
      <c r="K317" s="141"/>
      <c r="L317" s="141"/>
    </row>
    <row r="318">
      <c r="A318" s="141"/>
      <c r="B318" s="141"/>
      <c r="C318" s="141"/>
      <c r="D318" s="141"/>
      <c r="E318" s="141"/>
      <c r="F318" s="141"/>
      <c r="G318" s="141"/>
      <c r="H318" s="141"/>
      <c r="I318" s="141"/>
      <c r="J318" s="141"/>
      <c r="K318" s="141"/>
      <c r="L318" s="141"/>
    </row>
    <row r="319">
      <c r="A319" s="141"/>
      <c r="B319" s="141"/>
      <c r="C319" s="141"/>
      <c r="D319" s="141"/>
      <c r="E319" s="141"/>
      <c r="F319" s="141"/>
      <c r="G319" s="141"/>
      <c r="H319" s="141"/>
      <c r="I319" s="141"/>
      <c r="J319" s="141"/>
      <c r="K319" s="141"/>
      <c r="L319" s="141"/>
    </row>
    <row r="320">
      <c r="A320" s="141"/>
      <c r="B320" s="141"/>
      <c r="C320" s="141"/>
      <c r="D320" s="141"/>
      <c r="E320" s="141"/>
      <c r="F320" s="141"/>
      <c r="G320" s="141"/>
      <c r="H320" s="141"/>
      <c r="I320" s="141"/>
      <c r="J320" s="141"/>
      <c r="K320" s="141"/>
      <c r="L320" s="141"/>
    </row>
    <row r="321">
      <c r="A321" s="141"/>
      <c r="B321" s="141"/>
      <c r="C321" s="141"/>
      <c r="D321" s="141"/>
      <c r="E321" s="141"/>
      <c r="F321" s="141"/>
      <c r="G321" s="141"/>
      <c r="H321" s="141"/>
      <c r="I321" s="141"/>
      <c r="J321" s="141"/>
      <c r="K321" s="141"/>
      <c r="L321" s="141"/>
    </row>
    <row r="322">
      <c r="A322" s="141"/>
      <c r="B322" s="141"/>
      <c r="C322" s="141"/>
      <c r="D322" s="141"/>
      <c r="E322" s="141"/>
      <c r="F322" s="141"/>
      <c r="G322" s="141"/>
      <c r="H322" s="141"/>
      <c r="I322" s="141"/>
      <c r="J322" s="141"/>
      <c r="K322" s="141"/>
      <c r="L322" s="141"/>
    </row>
    <row r="323">
      <c r="A323" s="141"/>
      <c r="B323" s="141"/>
      <c r="C323" s="141"/>
      <c r="D323" s="141"/>
      <c r="E323" s="141"/>
      <c r="F323" s="141"/>
      <c r="G323" s="141"/>
      <c r="H323" s="141"/>
      <c r="I323" s="141"/>
      <c r="J323" s="141"/>
      <c r="K323" s="141"/>
      <c r="L323" s="141"/>
    </row>
    <row r="324">
      <c r="A324" s="141"/>
      <c r="B324" s="141"/>
      <c r="C324" s="141"/>
      <c r="D324" s="141"/>
      <c r="E324" s="141"/>
      <c r="F324" s="141"/>
      <c r="G324" s="141"/>
      <c r="H324" s="141"/>
      <c r="I324" s="141"/>
      <c r="J324" s="141"/>
      <c r="K324" s="141"/>
      <c r="L324" s="141"/>
    </row>
    <row r="325">
      <c r="A325" s="141"/>
      <c r="B325" s="141"/>
      <c r="C325" s="141"/>
      <c r="D325" s="141"/>
      <c r="E325" s="141"/>
      <c r="F325" s="141"/>
      <c r="G325" s="141"/>
      <c r="H325" s="141"/>
      <c r="I325" s="141"/>
      <c r="J325" s="141"/>
      <c r="K325" s="141"/>
      <c r="L325" s="141"/>
    </row>
    <row r="326">
      <c r="A326" s="141"/>
      <c r="B326" s="141"/>
      <c r="C326" s="141"/>
      <c r="D326" s="141"/>
      <c r="E326" s="141"/>
      <c r="F326" s="141"/>
      <c r="G326" s="141"/>
      <c r="H326" s="141"/>
      <c r="I326" s="141"/>
      <c r="J326" s="141"/>
      <c r="K326" s="141"/>
      <c r="L326" s="141"/>
    </row>
    <row r="327">
      <c r="A327" s="141"/>
      <c r="B327" s="141"/>
      <c r="C327" s="141"/>
      <c r="D327" s="141"/>
      <c r="E327" s="141"/>
      <c r="F327" s="141"/>
      <c r="G327" s="141"/>
      <c r="H327" s="141"/>
      <c r="I327" s="141"/>
      <c r="J327" s="141"/>
      <c r="K327" s="141"/>
      <c r="L327" s="141"/>
    </row>
    <row r="328">
      <c r="A328" s="141"/>
      <c r="B328" s="141"/>
      <c r="C328" s="141"/>
      <c r="D328" s="141"/>
      <c r="E328" s="141"/>
      <c r="F328" s="141"/>
      <c r="G328" s="141"/>
      <c r="H328" s="141"/>
      <c r="I328" s="141"/>
      <c r="J328" s="141"/>
      <c r="K328" s="141"/>
      <c r="L328" s="141"/>
    </row>
    <row r="329">
      <c r="A329" s="141"/>
      <c r="B329" s="141"/>
      <c r="C329" s="141"/>
      <c r="D329" s="141"/>
      <c r="E329" s="141"/>
      <c r="F329" s="141"/>
      <c r="G329" s="141"/>
      <c r="H329" s="141"/>
      <c r="I329" s="141"/>
      <c r="J329" s="141"/>
      <c r="K329" s="141"/>
      <c r="L329" s="141"/>
    </row>
    <row r="330">
      <c r="A330" s="141"/>
      <c r="B330" s="141"/>
      <c r="C330" s="141"/>
      <c r="D330" s="141"/>
      <c r="E330" s="141"/>
      <c r="F330" s="141"/>
      <c r="G330" s="141"/>
      <c r="H330" s="141"/>
      <c r="I330" s="141"/>
      <c r="J330" s="141"/>
      <c r="K330" s="141"/>
      <c r="L330" s="141"/>
    </row>
    <row r="331">
      <c r="A331" s="141"/>
      <c r="B331" s="141"/>
      <c r="C331" s="141"/>
      <c r="D331" s="141"/>
      <c r="E331" s="141"/>
      <c r="F331" s="141"/>
      <c r="G331" s="141"/>
      <c r="H331" s="141"/>
      <c r="I331" s="141"/>
      <c r="J331" s="141"/>
      <c r="K331" s="141"/>
      <c r="L331" s="141"/>
    </row>
    <row r="332">
      <c r="A332" s="141"/>
      <c r="B332" s="141"/>
      <c r="C332" s="141"/>
      <c r="D332" s="141"/>
      <c r="E332" s="141"/>
      <c r="F332" s="141"/>
      <c r="G332" s="141"/>
      <c r="H332" s="141"/>
      <c r="I332" s="141"/>
      <c r="J332" s="141"/>
      <c r="K332" s="141"/>
      <c r="L332" s="141"/>
    </row>
    <row r="333">
      <c r="A333" s="141"/>
      <c r="B333" s="141"/>
      <c r="C333" s="141"/>
      <c r="D333" s="141"/>
      <c r="E333" s="141"/>
      <c r="F333" s="141"/>
      <c r="G333" s="141"/>
      <c r="H333" s="141"/>
      <c r="I333" s="141"/>
      <c r="J333" s="141"/>
      <c r="K333" s="141"/>
      <c r="L333" s="141"/>
    </row>
    <row r="334">
      <c r="A334" s="141"/>
      <c r="B334" s="141"/>
      <c r="C334" s="141"/>
      <c r="D334" s="141"/>
      <c r="E334" s="141"/>
      <c r="F334" s="141"/>
      <c r="G334" s="141"/>
      <c r="H334" s="141"/>
      <c r="I334" s="141"/>
      <c r="J334" s="141"/>
      <c r="K334" s="141"/>
      <c r="L334" s="141"/>
    </row>
    <row r="335">
      <c r="A335" s="141"/>
      <c r="B335" s="141"/>
      <c r="C335" s="141"/>
      <c r="D335" s="141"/>
      <c r="E335" s="141"/>
      <c r="F335" s="141"/>
      <c r="G335" s="141"/>
      <c r="H335" s="141"/>
      <c r="I335" s="141"/>
      <c r="J335" s="141"/>
      <c r="K335" s="141"/>
      <c r="L335" s="141"/>
    </row>
    <row r="336">
      <c r="A336" s="141"/>
      <c r="B336" s="141"/>
      <c r="C336" s="141"/>
      <c r="D336" s="141"/>
      <c r="E336" s="141"/>
      <c r="F336" s="141"/>
      <c r="G336" s="141"/>
      <c r="H336" s="141"/>
      <c r="I336" s="141"/>
      <c r="J336" s="141"/>
      <c r="K336" s="141"/>
      <c r="L336" s="141"/>
    </row>
    <row r="337">
      <c r="A337" s="141"/>
      <c r="B337" s="141"/>
      <c r="C337" s="141"/>
      <c r="D337" s="141"/>
      <c r="E337" s="141"/>
      <c r="F337" s="141"/>
      <c r="G337" s="141"/>
      <c r="H337" s="141"/>
      <c r="I337" s="141"/>
      <c r="J337" s="141"/>
      <c r="K337" s="141"/>
      <c r="L337" s="141"/>
    </row>
    <row r="338">
      <c r="A338" s="141"/>
      <c r="B338" s="141"/>
      <c r="C338" s="141"/>
      <c r="D338" s="141"/>
      <c r="E338" s="141"/>
      <c r="F338" s="141"/>
      <c r="G338" s="141"/>
      <c r="H338" s="141"/>
      <c r="I338" s="141"/>
      <c r="J338" s="141"/>
      <c r="K338" s="141"/>
      <c r="L338" s="141"/>
    </row>
    <row r="339">
      <c r="A339" s="141"/>
      <c r="B339" s="141"/>
      <c r="C339" s="141"/>
      <c r="D339" s="141"/>
      <c r="E339" s="141"/>
      <c r="F339" s="141"/>
      <c r="G339" s="141"/>
      <c r="H339" s="141"/>
      <c r="I339" s="141"/>
      <c r="J339" s="141"/>
      <c r="K339" s="141"/>
      <c r="L339" s="141"/>
    </row>
    <row r="340">
      <c r="A340" s="141"/>
      <c r="B340" s="141"/>
      <c r="C340" s="141"/>
      <c r="D340" s="141"/>
      <c r="E340" s="141"/>
      <c r="F340" s="141"/>
      <c r="G340" s="141"/>
      <c r="H340" s="141"/>
      <c r="I340" s="141"/>
      <c r="J340" s="141"/>
      <c r="K340" s="141"/>
      <c r="L340" s="141"/>
    </row>
    <row r="341">
      <c r="A341" s="141"/>
      <c r="B341" s="141"/>
      <c r="C341" s="141"/>
      <c r="D341" s="141"/>
      <c r="E341" s="141"/>
      <c r="F341" s="141"/>
      <c r="G341" s="141"/>
      <c r="H341" s="141"/>
      <c r="I341" s="141"/>
      <c r="J341" s="141"/>
      <c r="K341" s="141"/>
      <c r="L341" s="141"/>
    </row>
    <row r="342">
      <c r="A342" s="141"/>
      <c r="B342" s="141"/>
      <c r="C342" s="141"/>
      <c r="D342" s="141"/>
      <c r="E342" s="141"/>
      <c r="F342" s="141"/>
      <c r="G342" s="141"/>
      <c r="H342" s="141"/>
      <c r="I342" s="141"/>
      <c r="J342" s="141"/>
      <c r="K342" s="141"/>
      <c r="L342" s="141"/>
    </row>
    <row r="343">
      <c r="A343" s="141"/>
      <c r="B343" s="141"/>
      <c r="C343" s="141"/>
      <c r="D343" s="141"/>
      <c r="E343" s="141"/>
      <c r="F343" s="141"/>
      <c r="G343" s="141"/>
      <c r="H343" s="141"/>
      <c r="I343" s="141"/>
      <c r="J343" s="141"/>
      <c r="K343" s="141"/>
      <c r="L343" s="141"/>
    </row>
    <row r="344">
      <c r="A344" s="141"/>
      <c r="B344" s="141"/>
      <c r="C344" s="141"/>
      <c r="D344" s="141"/>
      <c r="E344" s="141"/>
      <c r="F344" s="141"/>
      <c r="G344" s="141"/>
      <c r="H344" s="141"/>
      <c r="I344" s="141"/>
      <c r="J344" s="141"/>
      <c r="K344" s="141"/>
      <c r="L344" s="141"/>
    </row>
    <row r="345">
      <c r="A345" s="141"/>
      <c r="B345" s="141"/>
      <c r="C345" s="141"/>
      <c r="D345" s="141"/>
      <c r="E345" s="141"/>
      <c r="F345" s="141"/>
      <c r="G345" s="141"/>
      <c r="H345" s="141"/>
      <c r="I345" s="141"/>
      <c r="J345" s="141"/>
      <c r="K345" s="141"/>
      <c r="L345" s="141"/>
    </row>
    <row r="346">
      <c r="A346" s="141"/>
      <c r="B346" s="141"/>
      <c r="C346" s="141"/>
      <c r="D346" s="141"/>
      <c r="E346" s="141"/>
      <c r="F346" s="141"/>
      <c r="G346" s="141"/>
      <c r="H346" s="141"/>
      <c r="I346" s="141"/>
      <c r="J346" s="141"/>
      <c r="K346" s="141"/>
      <c r="L346" s="141"/>
    </row>
    <row r="347">
      <c r="A347" s="141"/>
      <c r="B347" s="141"/>
      <c r="C347" s="141"/>
      <c r="D347" s="141"/>
      <c r="E347" s="141"/>
      <c r="F347" s="141"/>
      <c r="G347" s="141"/>
      <c r="H347" s="141"/>
      <c r="I347" s="141"/>
      <c r="J347" s="141"/>
      <c r="K347" s="141"/>
      <c r="L347" s="141"/>
    </row>
    <row r="348">
      <c r="A348" s="141"/>
      <c r="B348" s="141"/>
      <c r="C348" s="141"/>
      <c r="D348" s="141"/>
      <c r="E348" s="141"/>
      <c r="F348" s="141"/>
      <c r="G348" s="141"/>
      <c r="H348" s="141"/>
      <c r="I348" s="141"/>
      <c r="J348" s="141"/>
      <c r="K348" s="141"/>
      <c r="L348" s="141"/>
    </row>
    <row r="349">
      <c r="A349" s="141"/>
      <c r="B349" s="141"/>
      <c r="C349" s="141"/>
      <c r="D349" s="141"/>
      <c r="E349" s="141"/>
      <c r="F349" s="141"/>
      <c r="G349" s="141"/>
      <c r="H349" s="141"/>
      <c r="I349" s="141"/>
      <c r="J349" s="141"/>
      <c r="K349" s="141"/>
      <c r="L349" s="141"/>
    </row>
    <row r="350">
      <c r="A350" s="141"/>
      <c r="B350" s="141"/>
      <c r="C350" s="141"/>
      <c r="D350" s="141"/>
      <c r="E350" s="141"/>
      <c r="F350" s="141"/>
      <c r="G350" s="141"/>
      <c r="H350" s="141"/>
      <c r="I350" s="141"/>
      <c r="J350" s="141"/>
      <c r="K350" s="141"/>
      <c r="L350" s="141"/>
    </row>
    <row r="351">
      <c r="A351" s="141"/>
      <c r="B351" s="141"/>
      <c r="C351" s="141"/>
      <c r="D351" s="141"/>
      <c r="E351" s="141"/>
      <c r="F351" s="141"/>
      <c r="G351" s="141"/>
      <c r="H351" s="141"/>
      <c r="I351" s="141"/>
      <c r="J351" s="141"/>
      <c r="K351" s="141"/>
      <c r="L351" s="141"/>
    </row>
    <row r="352">
      <c r="A352" s="141"/>
      <c r="B352" s="141"/>
      <c r="C352" s="141"/>
      <c r="D352" s="141"/>
      <c r="E352" s="141"/>
      <c r="F352" s="141"/>
      <c r="G352" s="141"/>
      <c r="H352" s="141"/>
      <c r="I352" s="141"/>
      <c r="J352" s="141"/>
      <c r="K352" s="141"/>
      <c r="L352" s="141"/>
    </row>
    <row r="353">
      <c r="A353" s="141"/>
      <c r="B353" s="141"/>
      <c r="C353" s="141"/>
      <c r="D353" s="141"/>
      <c r="E353" s="141"/>
      <c r="F353" s="141"/>
      <c r="G353" s="141"/>
      <c r="H353" s="141"/>
      <c r="I353" s="141"/>
      <c r="J353" s="141"/>
      <c r="K353" s="141"/>
      <c r="L353" s="141"/>
    </row>
    <row r="354">
      <c r="A354" s="141"/>
      <c r="B354" s="141"/>
      <c r="C354" s="141"/>
      <c r="D354" s="141"/>
      <c r="E354" s="141"/>
      <c r="F354" s="141"/>
      <c r="G354" s="141"/>
      <c r="H354" s="141"/>
      <c r="I354" s="141"/>
      <c r="J354" s="141"/>
      <c r="K354" s="141"/>
      <c r="L354" s="141"/>
    </row>
    <row r="355">
      <c r="A355" s="141"/>
      <c r="B355" s="141"/>
      <c r="C355" s="141"/>
      <c r="D355" s="141"/>
      <c r="E355" s="141"/>
      <c r="F355" s="141"/>
      <c r="G355" s="141"/>
      <c r="H355" s="141"/>
      <c r="I355" s="141"/>
      <c r="J355" s="141"/>
      <c r="K355" s="141"/>
      <c r="L355" s="141"/>
    </row>
    <row r="356">
      <c r="A356" s="141"/>
      <c r="B356" s="141"/>
      <c r="C356" s="141"/>
      <c r="D356" s="141"/>
      <c r="E356" s="141"/>
      <c r="F356" s="141"/>
      <c r="G356" s="141"/>
      <c r="H356" s="141"/>
      <c r="I356" s="141"/>
      <c r="J356" s="141"/>
      <c r="K356" s="141"/>
      <c r="L356" s="141"/>
    </row>
    <row r="357">
      <c r="A357" s="141"/>
      <c r="B357" s="141"/>
      <c r="C357" s="141"/>
      <c r="D357" s="141"/>
      <c r="E357" s="141"/>
      <c r="F357" s="141"/>
      <c r="G357" s="141"/>
      <c r="H357" s="141"/>
      <c r="I357" s="141"/>
      <c r="J357" s="141"/>
      <c r="K357" s="141"/>
      <c r="L357" s="141"/>
    </row>
    <row r="358">
      <c r="A358" s="141"/>
      <c r="B358" s="141"/>
      <c r="C358" s="141"/>
      <c r="D358" s="141"/>
      <c r="E358" s="141"/>
      <c r="F358" s="141"/>
      <c r="G358" s="141"/>
      <c r="H358" s="141"/>
      <c r="I358" s="141"/>
      <c r="J358" s="141"/>
      <c r="K358" s="141"/>
      <c r="L358" s="141"/>
    </row>
    <row r="359">
      <c r="A359" s="141"/>
      <c r="B359" s="141"/>
      <c r="C359" s="141"/>
      <c r="D359" s="141"/>
      <c r="E359" s="141"/>
      <c r="F359" s="141"/>
      <c r="G359" s="141"/>
      <c r="H359" s="141"/>
      <c r="I359" s="141"/>
      <c r="J359" s="141"/>
      <c r="K359" s="141"/>
      <c r="L359" s="141"/>
    </row>
    <row r="360">
      <c r="A360" s="141"/>
      <c r="B360" s="141"/>
      <c r="C360" s="141"/>
      <c r="D360" s="141"/>
      <c r="E360" s="141"/>
      <c r="F360" s="141"/>
      <c r="G360" s="141"/>
      <c r="H360" s="141"/>
      <c r="I360" s="141"/>
      <c r="J360" s="141"/>
      <c r="K360" s="141"/>
      <c r="L360" s="141"/>
    </row>
    <row r="361">
      <c r="A361" s="141"/>
      <c r="B361" s="141"/>
      <c r="C361" s="141"/>
      <c r="D361" s="141"/>
      <c r="E361" s="141"/>
      <c r="F361" s="141"/>
      <c r="G361" s="141"/>
      <c r="H361" s="141"/>
      <c r="I361" s="141"/>
      <c r="J361" s="141"/>
      <c r="K361" s="141"/>
      <c r="L361" s="141"/>
    </row>
    <row r="362">
      <c r="A362" s="141"/>
      <c r="B362" s="141"/>
      <c r="C362" s="141"/>
      <c r="D362" s="141"/>
      <c r="E362" s="141"/>
      <c r="F362" s="141"/>
      <c r="G362" s="141"/>
      <c r="H362" s="141"/>
      <c r="I362" s="141"/>
      <c r="J362" s="141"/>
      <c r="K362" s="141"/>
      <c r="L362" s="141"/>
    </row>
    <row r="363">
      <c r="A363" s="141"/>
      <c r="B363" s="141"/>
      <c r="C363" s="141"/>
      <c r="D363" s="141"/>
      <c r="E363" s="141"/>
      <c r="F363" s="141"/>
      <c r="G363" s="141"/>
      <c r="H363" s="141"/>
      <c r="I363" s="141"/>
      <c r="J363" s="141"/>
      <c r="K363" s="141"/>
      <c r="L363" s="141"/>
    </row>
    <row r="364">
      <c r="A364" s="141"/>
      <c r="B364" s="141"/>
      <c r="C364" s="141"/>
      <c r="D364" s="141"/>
      <c r="E364" s="141"/>
      <c r="F364" s="141"/>
      <c r="G364" s="141"/>
      <c r="H364" s="141"/>
      <c r="I364" s="141"/>
      <c r="J364" s="141"/>
      <c r="K364" s="141"/>
      <c r="L364" s="141"/>
    </row>
    <row r="365">
      <c r="A365" s="141"/>
      <c r="B365" s="141"/>
      <c r="C365" s="141"/>
      <c r="D365" s="141"/>
      <c r="E365" s="141"/>
      <c r="F365" s="141"/>
      <c r="G365" s="141"/>
      <c r="H365" s="141"/>
      <c r="I365" s="141"/>
      <c r="J365" s="141"/>
      <c r="K365" s="141"/>
      <c r="L365" s="141"/>
    </row>
    <row r="366">
      <c r="A366" s="141"/>
      <c r="B366" s="141"/>
      <c r="C366" s="141"/>
      <c r="D366" s="141"/>
      <c r="E366" s="141"/>
      <c r="F366" s="141"/>
      <c r="G366" s="141"/>
      <c r="H366" s="141"/>
      <c r="I366" s="141"/>
      <c r="J366" s="141"/>
      <c r="K366" s="141"/>
      <c r="L366" s="141"/>
    </row>
    <row r="367">
      <c r="A367" s="141"/>
      <c r="B367" s="141"/>
      <c r="C367" s="141"/>
      <c r="D367" s="141"/>
      <c r="E367" s="141"/>
      <c r="F367" s="141"/>
      <c r="G367" s="141"/>
      <c r="H367" s="141"/>
      <c r="I367" s="141"/>
      <c r="J367" s="141"/>
      <c r="K367" s="141"/>
      <c r="L367" s="141"/>
    </row>
    <row r="368">
      <c r="A368" s="141"/>
      <c r="B368" s="141"/>
      <c r="C368" s="141"/>
      <c r="D368" s="141"/>
      <c r="E368" s="141"/>
      <c r="F368" s="141"/>
      <c r="G368" s="141"/>
      <c r="H368" s="141"/>
      <c r="I368" s="141"/>
      <c r="J368" s="141"/>
      <c r="K368" s="141"/>
      <c r="L368" s="141"/>
    </row>
    <row r="369">
      <c r="A369" s="141"/>
      <c r="B369" s="141"/>
      <c r="C369" s="141"/>
      <c r="D369" s="141"/>
      <c r="E369" s="141"/>
      <c r="F369" s="141"/>
      <c r="G369" s="141"/>
      <c r="H369" s="141"/>
      <c r="I369" s="141"/>
      <c r="J369" s="141"/>
      <c r="K369" s="141"/>
      <c r="L369" s="141"/>
    </row>
    <row r="370">
      <c r="A370" s="141"/>
      <c r="B370" s="141"/>
      <c r="C370" s="141"/>
      <c r="D370" s="141"/>
      <c r="E370" s="141"/>
      <c r="F370" s="141"/>
      <c r="G370" s="141"/>
      <c r="H370" s="141"/>
      <c r="I370" s="141"/>
      <c r="J370" s="141"/>
      <c r="K370" s="141"/>
      <c r="L370" s="141"/>
    </row>
    <row r="371">
      <c r="A371" s="141"/>
      <c r="B371" s="141"/>
      <c r="C371" s="141"/>
      <c r="D371" s="141"/>
      <c r="E371" s="141"/>
      <c r="F371" s="141"/>
      <c r="G371" s="141"/>
      <c r="H371" s="141"/>
      <c r="I371" s="141"/>
      <c r="J371" s="141"/>
      <c r="K371" s="141"/>
      <c r="L371" s="141"/>
    </row>
    <row r="372">
      <c r="A372" s="141"/>
      <c r="B372" s="141"/>
      <c r="C372" s="141"/>
      <c r="D372" s="141"/>
      <c r="E372" s="141"/>
      <c r="F372" s="141"/>
      <c r="G372" s="141"/>
      <c r="H372" s="141"/>
      <c r="I372" s="141"/>
      <c r="J372" s="141"/>
      <c r="K372" s="141"/>
      <c r="L372" s="141"/>
    </row>
    <row r="373">
      <c r="A373" s="141"/>
      <c r="B373" s="141"/>
      <c r="C373" s="141"/>
      <c r="D373" s="141"/>
      <c r="E373" s="141"/>
      <c r="F373" s="141"/>
      <c r="G373" s="141"/>
      <c r="H373" s="141"/>
      <c r="I373" s="141"/>
      <c r="J373" s="141"/>
      <c r="K373" s="141"/>
      <c r="L373" s="141"/>
    </row>
    <row r="374">
      <c r="A374" s="141"/>
      <c r="B374" s="141"/>
      <c r="C374" s="141"/>
      <c r="D374" s="141"/>
      <c r="E374" s="141"/>
      <c r="F374" s="141"/>
      <c r="G374" s="141"/>
      <c r="H374" s="141"/>
      <c r="I374" s="141"/>
      <c r="J374" s="141"/>
      <c r="K374" s="141"/>
      <c r="L374" s="141"/>
    </row>
    <row r="375">
      <c r="A375" s="141"/>
      <c r="B375" s="141"/>
      <c r="C375" s="141"/>
      <c r="D375" s="141"/>
      <c r="E375" s="141"/>
      <c r="F375" s="141"/>
      <c r="G375" s="141"/>
      <c r="H375" s="141"/>
      <c r="I375" s="141"/>
      <c r="J375" s="141"/>
      <c r="K375" s="141"/>
      <c r="L375" s="141"/>
    </row>
    <row r="376">
      <c r="A376" s="141"/>
      <c r="B376" s="141"/>
      <c r="C376" s="141"/>
      <c r="D376" s="141"/>
      <c r="E376" s="141"/>
      <c r="F376" s="141"/>
      <c r="G376" s="141"/>
      <c r="H376" s="141"/>
      <c r="I376" s="141"/>
      <c r="J376" s="141"/>
      <c r="K376" s="141"/>
      <c r="L376" s="141"/>
    </row>
    <row r="377">
      <c r="A377" s="141"/>
      <c r="B377" s="141"/>
      <c r="C377" s="141"/>
      <c r="D377" s="141"/>
      <c r="E377" s="141"/>
      <c r="F377" s="141"/>
      <c r="G377" s="141"/>
      <c r="H377" s="141"/>
      <c r="I377" s="141"/>
      <c r="J377" s="141"/>
      <c r="K377" s="141"/>
      <c r="L377" s="141"/>
    </row>
    <row r="378">
      <c r="A378" s="141"/>
      <c r="B378" s="141"/>
      <c r="C378" s="141"/>
      <c r="D378" s="141"/>
      <c r="E378" s="141"/>
      <c r="F378" s="141"/>
      <c r="G378" s="141"/>
      <c r="H378" s="141"/>
      <c r="I378" s="141"/>
      <c r="J378" s="141"/>
      <c r="K378" s="141"/>
      <c r="L378" s="141"/>
    </row>
    <row r="379">
      <c r="A379" s="141"/>
      <c r="B379" s="141"/>
      <c r="C379" s="141"/>
      <c r="D379" s="141"/>
      <c r="E379" s="141"/>
      <c r="F379" s="141"/>
      <c r="G379" s="141"/>
      <c r="H379" s="141"/>
      <c r="I379" s="141"/>
      <c r="J379" s="141"/>
      <c r="K379" s="141"/>
      <c r="L379" s="141"/>
    </row>
    <row r="380">
      <c r="A380" s="141"/>
      <c r="B380" s="141"/>
      <c r="C380" s="141"/>
      <c r="D380" s="141"/>
      <c r="E380" s="141"/>
      <c r="F380" s="141"/>
      <c r="G380" s="141"/>
      <c r="H380" s="141"/>
      <c r="I380" s="141"/>
      <c r="J380" s="141"/>
      <c r="K380" s="141"/>
      <c r="L380" s="141"/>
    </row>
    <row r="381">
      <c r="A381" s="141"/>
      <c r="B381" s="141"/>
      <c r="C381" s="141"/>
      <c r="D381" s="141"/>
      <c r="E381" s="141"/>
      <c r="F381" s="141"/>
      <c r="G381" s="141"/>
      <c r="H381" s="141"/>
      <c r="I381" s="141"/>
      <c r="J381" s="141"/>
      <c r="K381" s="141"/>
      <c r="L381" s="141"/>
    </row>
    <row r="382">
      <c r="A382" s="141"/>
      <c r="B382" s="141"/>
      <c r="C382" s="141"/>
      <c r="D382" s="141"/>
      <c r="E382" s="141"/>
      <c r="F382" s="141"/>
      <c r="G382" s="141"/>
      <c r="H382" s="141"/>
      <c r="I382" s="141"/>
      <c r="J382" s="141"/>
      <c r="K382" s="141"/>
      <c r="L382" s="141"/>
    </row>
    <row r="383">
      <c r="A383" s="141"/>
      <c r="B383" s="141"/>
      <c r="C383" s="141"/>
      <c r="D383" s="141"/>
      <c r="E383" s="141"/>
      <c r="F383" s="141"/>
      <c r="G383" s="141"/>
      <c r="H383" s="141"/>
      <c r="I383" s="141"/>
      <c r="J383" s="141"/>
      <c r="K383" s="141"/>
      <c r="L383" s="141"/>
    </row>
    <row r="384">
      <c r="A384" s="141"/>
      <c r="B384" s="141"/>
      <c r="C384" s="141"/>
      <c r="D384" s="141"/>
      <c r="E384" s="141"/>
      <c r="F384" s="141"/>
      <c r="G384" s="141"/>
      <c r="H384" s="141"/>
      <c r="I384" s="141"/>
      <c r="J384" s="141"/>
      <c r="K384" s="141"/>
      <c r="L384" s="141"/>
    </row>
    <row r="385">
      <c r="A385" s="141"/>
      <c r="B385" s="141"/>
      <c r="C385" s="141"/>
      <c r="D385" s="141"/>
      <c r="E385" s="141"/>
      <c r="F385" s="141"/>
      <c r="G385" s="141"/>
      <c r="H385" s="141"/>
      <c r="I385" s="141"/>
      <c r="J385" s="141"/>
      <c r="K385" s="141"/>
      <c r="L385" s="141"/>
    </row>
    <row r="386">
      <c r="A386" s="141"/>
      <c r="B386" s="141"/>
      <c r="C386" s="141"/>
      <c r="D386" s="141"/>
      <c r="E386" s="141"/>
      <c r="F386" s="141"/>
      <c r="G386" s="141"/>
      <c r="H386" s="141"/>
      <c r="I386" s="141"/>
      <c r="J386" s="141"/>
      <c r="K386" s="141"/>
      <c r="L386" s="141"/>
    </row>
    <row r="387">
      <c r="A387" s="141"/>
      <c r="B387" s="141"/>
      <c r="C387" s="141"/>
      <c r="D387" s="141"/>
      <c r="E387" s="141"/>
      <c r="F387" s="141"/>
      <c r="G387" s="141"/>
      <c r="H387" s="141"/>
      <c r="I387" s="141"/>
      <c r="J387" s="141"/>
      <c r="K387" s="141"/>
      <c r="L387" s="141"/>
    </row>
    <row r="388">
      <c r="A388" s="141"/>
      <c r="B388" s="141"/>
      <c r="C388" s="141"/>
      <c r="D388" s="141"/>
      <c r="E388" s="141"/>
      <c r="F388" s="141"/>
      <c r="G388" s="141"/>
      <c r="H388" s="141"/>
      <c r="I388" s="141"/>
      <c r="J388" s="141"/>
      <c r="K388" s="141"/>
      <c r="L388" s="141"/>
    </row>
    <row r="389">
      <c r="A389" s="141"/>
      <c r="B389" s="141"/>
      <c r="C389" s="141"/>
      <c r="D389" s="141"/>
      <c r="E389" s="141"/>
      <c r="F389" s="141"/>
      <c r="G389" s="141"/>
      <c r="H389" s="141"/>
      <c r="I389" s="141"/>
      <c r="J389" s="141"/>
      <c r="K389" s="141"/>
      <c r="L389" s="141"/>
    </row>
    <row r="390">
      <c r="A390" s="141"/>
      <c r="B390" s="141"/>
      <c r="C390" s="141"/>
      <c r="D390" s="141"/>
      <c r="E390" s="141"/>
      <c r="F390" s="141"/>
      <c r="G390" s="141"/>
      <c r="H390" s="141"/>
      <c r="I390" s="141"/>
      <c r="J390" s="141"/>
      <c r="K390" s="141"/>
      <c r="L390" s="141"/>
    </row>
    <row r="391">
      <c r="A391" s="141"/>
      <c r="B391" s="141"/>
      <c r="C391" s="141"/>
      <c r="D391" s="141"/>
      <c r="E391" s="141"/>
      <c r="F391" s="141"/>
      <c r="G391" s="141"/>
      <c r="H391" s="141"/>
      <c r="I391" s="141"/>
      <c r="J391" s="141"/>
      <c r="K391" s="141"/>
      <c r="L391" s="141"/>
    </row>
    <row r="392">
      <c r="A392" s="141"/>
      <c r="B392" s="141"/>
      <c r="C392" s="141"/>
      <c r="D392" s="141"/>
      <c r="E392" s="141"/>
      <c r="F392" s="141"/>
      <c r="G392" s="141"/>
      <c r="H392" s="141"/>
      <c r="I392" s="141"/>
      <c r="J392" s="141"/>
      <c r="K392" s="141"/>
      <c r="L392" s="141"/>
    </row>
    <row r="393">
      <c r="A393" s="141"/>
      <c r="B393" s="141"/>
      <c r="C393" s="141"/>
      <c r="D393" s="141"/>
      <c r="E393" s="141"/>
      <c r="F393" s="141"/>
      <c r="G393" s="141"/>
      <c r="H393" s="141"/>
      <c r="I393" s="141"/>
      <c r="J393" s="141"/>
      <c r="K393" s="141"/>
      <c r="L393" s="141"/>
    </row>
    <row r="394">
      <c r="A394" s="141"/>
      <c r="B394" s="141"/>
      <c r="C394" s="141"/>
      <c r="D394" s="141"/>
      <c r="E394" s="141"/>
      <c r="F394" s="141"/>
      <c r="G394" s="141"/>
      <c r="H394" s="141"/>
      <c r="I394" s="141"/>
      <c r="J394" s="141"/>
      <c r="K394" s="141"/>
      <c r="L394" s="141"/>
    </row>
    <row r="395">
      <c r="A395" s="141"/>
      <c r="B395" s="141"/>
      <c r="C395" s="141"/>
      <c r="D395" s="141"/>
      <c r="E395" s="141"/>
      <c r="F395" s="141"/>
      <c r="G395" s="141"/>
      <c r="H395" s="141"/>
      <c r="I395" s="141"/>
      <c r="J395" s="141"/>
      <c r="K395" s="141"/>
      <c r="L395" s="141"/>
    </row>
    <row r="396">
      <c r="A396" s="141"/>
      <c r="B396" s="141"/>
      <c r="C396" s="141"/>
      <c r="D396" s="141"/>
      <c r="E396" s="141"/>
      <c r="F396" s="141"/>
      <c r="G396" s="141"/>
      <c r="H396" s="141"/>
      <c r="I396" s="141"/>
      <c r="J396" s="141"/>
      <c r="K396" s="141"/>
      <c r="L396" s="141"/>
    </row>
    <row r="397">
      <c r="A397" s="141"/>
      <c r="B397" s="141"/>
      <c r="C397" s="141"/>
      <c r="D397" s="141"/>
      <c r="E397" s="141"/>
      <c r="F397" s="141"/>
      <c r="G397" s="141"/>
      <c r="H397" s="141"/>
      <c r="I397" s="141"/>
      <c r="J397" s="141"/>
      <c r="K397" s="141"/>
      <c r="L397" s="141"/>
    </row>
    <row r="398">
      <c r="A398" s="141"/>
      <c r="B398" s="141"/>
      <c r="C398" s="141"/>
      <c r="D398" s="141"/>
      <c r="E398" s="141"/>
      <c r="F398" s="141"/>
      <c r="G398" s="141"/>
      <c r="H398" s="141"/>
      <c r="I398" s="141"/>
      <c r="J398" s="141"/>
      <c r="K398" s="141"/>
      <c r="L398" s="141"/>
    </row>
    <row r="399">
      <c r="A399" s="141"/>
      <c r="B399" s="141"/>
      <c r="C399" s="141"/>
      <c r="D399" s="141"/>
      <c r="E399" s="141"/>
      <c r="F399" s="141"/>
      <c r="G399" s="141"/>
      <c r="H399" s="141"/>
      <c r="I399" s="141"/>
      <c r="J399" s="141"/>
      <c r="K399" s="141"/>
      <c r="L399" s="141"/>
    </row>
    <row r="400">
      <c r="A400" s="141"/>
      <c r="B400" s="141"/>
      <c r="C400" s="141"/>
      <c r="D400" s="141"/>
      <c r="E400" s="141"/>
      <c r="F400" s="141"/>
      <c r="G400" s="141"/>
      <c r="H400" s="141"/>
      <c r="I400" s="141"/>
      <c r="J400" s="141"/>
      <c r="K400" s="141"/>
      <c r="L400" s="141"/>
    </row>
    <row r="401">
      <c r="A401" s="141"/>
      <c r="B401" s="141"/>
      <c r="C401" s="141"/>
      <c r="D401" s="141"/>
      <c r="E401" s="141"/>
      <c r="F401" s="141"/>
      <c r="G401" s="141"/>
      <c r="H401" s="141"/>
      <c r="I401" s="141"/>
      <c r="J401" s="141"/>
      <c r="K401" s="141"/>
      <c r="L401" s="141"/>
    </row>
    <row r="402">
      <c r="A402" s="141"/>
      <c r="B402" s="141"/>
      <c r="C402" s="141"/>
      <c r="D402" s="141"/>
      <c r="E402" s="141"/>
      <c r="F402" s="141"/>
      <c r="G402" s="141"/>
      <c r="H402" s="141"/>
      <c r="I402" s="141"/>
      <c r="J402" s="141"/>
      <c r="K402" s="141"/>
      <c r="L402" s="141"/>
    </row>
    <row r="403">
      <c r="A403" s="141"/>
      <c r="B403" s="141"/>
      <c r="C403" s="141"/>
      <c r="D403" s="141"/>
      <c r="E403" s="141"/>
      <c r="F403" s="141"/>
      <c r="G403" s="141"/>
      <c r="H403" s="141"/>
      <c r="I403" s="141"/>
      <c r="J403" s="141"/>
      <c r="K403" s="141"/>
      <c r="L403" s="141"/>
    </row>
    <row r="404">
      <c r="A404" s="141"/>
      <c r="B404" s="141"/>
      <c r="C404" s="141"/>
      <c r="D404" s="141"/>
      <c r="E404" s="141"/>
      <c r="F404" s="141"/>
      <c r="G404" s="141"/>
      <c r="H404" s="141"/>
      <c r="I404" s="141"/>
      <c r="J404" s="141"/>
      <c r="K404" s="141"/>
      <c r="L404" s="141"/>
    </row>
    <row r="405">
      <c r="A405" s="141"/>
      <c r="B405" s="141"/>
      <c r="C405" s="141"/>
      <c r="D405" s="141"/>
      <c r="E405" s="141"/>
      <c r="F405" s="141"/>
      <c r="G405" s="141"/>
      <c r="H405" s="141"/>
      <c r="I405" s="141"/>
      <c r="J405" s="141"/>
      <c r="K405" s="141"/>
      <c r="L405" s="141"/>
    </row>
    <row r="406">
      <c r="A406" s="141"/>
      <c r="B406" s="141"/>
      <c r="C406" s="141"/>
      <c r="D406" s="141"/>
      <c r="E406" s="141"/>
      <c r="F406" s="141"/>
      <c r="G406" s="141"/>
      <c r="H406" s="141"/>
      <c r="I406" s="141"/>
      <c r="J406" s="141"/>
      <c r="K406" s="141"/>
      <c r="L406" s="141"/>
    </row>
    <row r="407">
      <c r="A407" s="141"/>
      <c r="B407" s="141"/>
      <c r="C407" s="141"/>
      <c r="D407" s="141"/>
      <c r="E407" s="141"/>
      <c r="F407" s="141"/>
      <c r="G407" s="141"/>
      <c r="H407" s="141"/>
      <c r="I407" s="141"/>
      <c r="J407" s="141"/>
      <c r="K407" s="141"/>
      <c r="L407" s="141"/>
    </row>
    <row r="408">
      <c r="A408" s="141"/>
      <c r="B408" s="141"/>
      <c r="C408" s="141"/>
      <c r="D408" s="141"/>
      <c r="E408" s="141"/>
      <c r="F408" s="141"/>
      <c r="G408" s="141"/>
      <c r="H408" s="141"/>
      <c r="I408" s="141"/>
      <c r="J408" s="141"/>
      <c r="K408" s="141"/>
      <c r="L408" s="141"/>
    </row>
    <row r="409">
      <c r="A409" s="141"/>
      <c r="B409" s="141"/>
      <c r="C409" s="141"/>
      <c r="D409" s="141"/>
      <c r="E409" s="141"/>
      <c r="F409" s="141"/>
      <c r="G409" s="141"/>
      <c r="H409" s="141"/>
      <c r="I409" s="141"/>
      <c r="J409" s="141"/>
      <c r="K409" s="141"/>
      <c r="L409" s="141"/>
    </row>
    <row r="410">
      <c r="A410" s="141"/>
      <c r="B410" s="141"/>
      <c r="C410" s="141"/>
      <c r="D410" s="141"/>
      <c r="E410" s="141"/>
      <c r="F410" s="141"/>
      <c r="G410" s="141"/>
      <c r="H410" s="141"/>
      <c r="I410" s="141"/>
      <c r="J410" s="141"/>
      <c r="K410" s="141"/>
      <c r="L410" s="141"/>
    </row>
    <row r="411">
      <c r="A411" s="141"/>
      <c r="B411" s="141"/>
      <c r="C411" s="141"/>
      <c r="D411" s="141"/>
      <c r="E411" s="141"/>
      <c r="F411" s="141"/>
      <c r="G411" s="141"/>
      <c r="H411" s="141"/>
      <c r="I411" s="141"/>
      <c r="J411" s="141"/>
      <c r="K411" s="141"/>
      <c r="L411" s="141"/>
    </row>
    <row r="412">
      <c r="A412" s="141"/>
      <c r="B412" s="141"/>
      <c r="C412" s="141"/>
      <c r="D412" s="141"/>
      <c r="E412" s="141"/>
      <c r="F412" s="141"/>
      <c r="G412" s="141"/>
      <c r="H412" s="141"/>
      <c r="I412" s="141"/>
      <c r="J412" s="141"/>
      <c r="K412" s="141"/>
      <c r="L412" s="141"/>
    </row>
    <row r="413">
      <c r="A413" s="141"/>
      <c r="B413" s="141"/>
      <c r="C413" s="141"/>
      <c r="D413" s="141"/>
      <c r="E413" s="141"/>
      <c r="F413" s="141"/>
      <c r="G413" s="141"/>
      <c r="H413" s="141"/>
      <c r="I413" s="141"/>
      <c r="J413" s="141"/>
      <c r="K413" s="141"/>
      <c r="L413" s="141"/>
    </row>
    <row r="414">
      <c r="A414" s="141"/>
      <c r="B414" s="141"/>
      <c r="C414" s="141"/>
      <c r="D414" s="141"/>
      <c r="E414" s="141"/>
      <c r="F414" s="141"/>
      <c r="G414" s="141"/>
      <c r="H414" s="141"/>
      <c r="I414" s="141"/>
      <c r="J414" s="141"/>
      <c r="K414" s="141"/>
      <c r="L414" s="141"/>
    </row>
    <row r="415">
      <c r="A415" s="141"/>
      <c r="B415" s="141"/>
      <c r="C415" s="141"/>
      <c r="D415" s="141"/>
      <c r="E415" s="141"/>
      <c r="F415" s="141"/>
      <c r="G415" s="141"/>
      <c r="H415" s="141"/>
      <c r="I415" s="141"/>
      <c r="J415" s="141"/>
      <c r="K415" s="141"/>
      <c r="L415" s="141"/>
    </row>
    <row r="416">
      <c r="A416" s="141"/>
      <c r="B416" s="141"/>
      <c r="C416" s="141"/>
      <c r="D416" s="141"/>
      <c r="E416" s="141"/>
      <c r="F416" s="141"/>
      <c r="G416" s="141"/>
      <c r="H416" s="141"/>
      <c r="I416" s="141"/>
      <c r="J416" s="141"/>
      <c r="K416" s="141"/>
      <c r="L416" s="141"/>
    </row>
    <row r="417">
      <c r="A417" s="141"/>
      <c r="B417" s="141"/>
      <c r="C417" s="141"/>
      <c r="D417" s="141"/>
      <c r="E417" s="141"/>
      <c r="F417" s="141"/>
      <c r="G417" s="141"/>
      <c r="H417" s="141"/>
      <c r="I417" s="141"/>
      <c r="J417" s="141"/>
      <c r="K417" s="141"/>
      <c r="L417" s="141"/>
    </row>
    <row r="418">
      <c r="A418" s="141"/>
      <c r="B418" s="141"/>
      <c r="C418" s="141"/>
      <c r="D418" s="141"/>
      <c r="E418" s="141"/>
      <c r="F418" s="141"/>
      <c r="G418" s="141"/>
      <c r="H418" s="141"/>
      <c r="I418" s="141"/>
      <c r="J418" s="141"/>
      <c r="K418" s="141"/>
      <c r="L418" s="141"/>
    </row>
    <row r="419">
      <c r="A419" s="141"/>
      <c r="B419" s="141"/>
      <c r="C419" s="141"/>
      <c r="D419" s="141"/>
      <c r="E419" s="141"/>
      <c r="F419" s="141"/>
      <c r="G419" s="141"/>
      <c r="H419" s="141"/>
      <c r="I419" s="141"/>
      <c r="J419" s="141"/>
      <c r="K419" s="141"/>
      <c r="L419" s="141"/>
    </row>
    <row r="420">
      <c r="A420" s="141"/>
      <c r="B420" s="141"/>
      <c r="C420" s="141"/>
      <c r="D420" s="141"/>
      <c r="E420" s="141"/>
      <c r="F420" s="141"/>
      <c r="G420" s="141"/>
      <c r="H420" s="141"/>
      <c r="I420" s="141"/>
      <c r="J420" s="141"/>
      <c r="K420" s="141"/>
      <c r="L420" s="141"/>
    </row>
    <row r="421">
      <c r="A421" s="141"/>
      <c r="B421" s="141"/>
      <c r="C421" s="141"/>
      <c r="D421" s="141"/>
      <c r="E421" s="141"/>
      <c r="F421" s="141"/>
      <c r="G421" s="141"/>
      <c r="H421" s="141"/>
      <c r="I421" s="141"/>
      <c r="J421" s="141"/>
      <c r="K421" s="141"/>
      <c r="L421" s="141"/>
    </row>
    <row r="422">
      <c r="A422" s="141"/>
      <c r="B422" s="141"/>
      <c r="C422" s="141"/>
      <c r="D422" s="141"/>
      <c r="E422" s="141"/>
      <c r="F422" s="141"/>
      <c r="G422" s="141"/>
      <c r="H422" s="141"/>
      <c r="I422" s="141"/>
      <c r="J422" s="141"/>
      <c r="K422" s="141"/>
      <c r="L422" s="141"/>
    </row>
    <row r="423">
      <c r="A423" s="141"/>
      <c r="B423" s="141"/>
      <c r="C423" s="141"/>
      <c r="D423" s="141"/>
      <c r="E423" s="141"/>
      <c r="F423" s="141"/>
      <c r="G423" s="141"/>
      <c r="H423" s="141"/>
      <c r="I423" s="141"/>
      <c r="J423" s="141"/>
      <c r="K423" s="141"/>
      <c r="L423" s="141"/>
    </row>
    <row r="424">
      <c r="A424" s="141"/>
      <c r="B424" s="141"/>
      <c r="C424" s="141"/>
      <c r="D424" s="141"/>
      <c r="E424" s="141"/>
      <c r="F424" s="141"/>
      <c r="G424" s="141"/>
      <c r="H424" s="141"/>
      <c r="I424" s="141"/>
      <c r="J424" s="141"/>
      <c r="K424" s="141"/>
      <c r="L424" s="141"/>
    </row>
    <row r="425">
      <c r="A425" s="141"/>
      <c r="B425" s="141"/>
      <c r="C425" s="141"/>
      <c r="D425" s="141"/>
      <c r="E425" s="141"/>
      <c r="F425" s="141"/>
      <c r="G425" s="141"/>
      <c r="H425" s="141"/>
      <c r="I425" s="141"/>
      <c r="J425" s="141"/>
      <c r="K425" s="141"/>
      <c r="L425" s="141"/>
    </row>
    <row r="426">
      <c r="A426" s="141"/>
      <c r="B426" s="141"/>
      <c r="C426" s="141"/>
      <c r="D426" s="141"/>
      <c r="E426" s="141"/>
      <c r="F426" s="141"/>
      <c r="G426" s="141"/>
      <c r="H426" s="141"/>
      <c r="I426" s="141"/>
      <c r="J426" s="141"/>
      <c r="K426" s="141"/>
      <c r="L426" s="141"/>
    </row>
    <row r="427">
      <c r="A427" s="141"/>
      <c r="B427" s="141"/>
      <c r="C427" s="141"/>
      <c r="D427" s="141"/>
      <c r="E427" s="141"/>
      <c r="F427" s="141"/>
      <c r="G427" s="141"/>
      <c r="H427" s="141"/>
      <c r="I427" s="141"/>
      <c r="J427" s="141"/>
      <c r="K427" s="141"/>
      <c r="L427" s="141"/>
    </row>
    <row r="428">
      <c r="A428" s="141"/>
      <c r="B428" s="141"/>
      <c r="C428" s="141"/>
      <c r="D428" s="141"/>
      <c r="E428" s="141"/>
      <c r="F428" s="141"/>
      <c r="G428" s="141"/>
      <c r="H428" s="141"/>
      <c r="I428" s="141"/>
      <c r="J428" s="141"/>
      <c r="K428" s="141"/>
      <c r="L428" s="141"/>
    </row>
    <row r="429">
      <c r="A429" s="141"/>
      <c r="B429" s="141"/>
      <c r="C429" s="141"/>
      <c r="D429" s="141"/>
      <c r="E429" s="141"/>
      <c r="F429" s="141"/>
      <c r="G429" s="141"/>
      <c r="H429" s="141"/>
      <c r="I429" s="141"/>
      <c r="J429" s="141"/>
      <c r="K429" s="141"/>
      <c r="L429" s="141"/>
    </row>
    <row r="430">
      <c r="A430" s="141"/>
      <c r="B430" s="141"/>
      <c r="C430" s="141"/>
      <c r="D430" s="141"/>
      <c r="E430" s="141"/>
      <c r="F430" s="141"/>
      <c r="G430" s="141"/>
      <c r="H430" s="141"/>
      <c r="I430" s="141"/>
      <c r="J430" s="141"/>
      <c r="K430" s="141"/>
      <c r="L430" s="141"/>
    </row>
    <row r="431">
      <c r="A431" s="141"/>
      <c r="B431" s="141"/>
      <c r="C431" s="141"/>
      <c r="D431" s="141"/>
      <c r="E431" s="141"/>
      <c r="F431" s="141"/>
      <c r="G431" s="141"/>
      <c r="H431" s="141"/>
      <c r="I431" s="141"/>
      <c r="J431" s="141"/>
      <c r="K431" s="141"/>
      <c r="L431" s="141"/>
    </row>
    <row r="432">
      <c r="A432" s="141"/>
      <c r="B432" s="141"/>
      <c r="C432" s="141"/>
      <c r="D432" s="141"/>
      <c r="E432" s="141"/>
      <c r="F432" s="141"/>
      <c r="G432" s="141"/>
      <c r="H432" s="141"/>
      <c r="I432" s="141"/>
      <c r="J432" s="141"/>
      <c r="K432" s="141"/>
      <c r="L432" s="141"/>
    </row>
    <row r="433">
      <c r="A433" s="141"/>
      <c r="B433" s="141"/>
      <c r="C433" s="141"/>
      <c r="D433" s="141"/>
      <c r="E433" s="141"/>
      <c r="F433" s="141"/>
      <c r="G433" s="141"/>
      <c r="H433" s="141"/>
      <c r="I433" s="141"/>
      <c r="J433" s="141"/>
      <c r="K433" s="141"/>
      <c r="L433" s="141"/>
    </row>
    <row r="434">
      <c r="A434" s="141"/>
      <c r="B434" s="141"/>
      <c r="C434" s="141"/>
      <c r="D434" s="141"/>
      <c r="E434" s="141"/>
      <c r="F434" s="141"/>
      <c r="G434" s="141"/>
      <c r="H434" s="141"/>
      <c r="I434" s="141"/>
      <c r="J434" s="141"/>
      <c r="K434" s="141"/>
      <c r="L434" s="141"/>
    </row>
    <row r="435">
      <c r="A435" s="141"/>
      <c r="B435" s="141"/>
      <c r="C435" s="141"/>
      <c r="D435" s="141"/>
      <c r="E435" s="141"/>
      <c r="F435" s="141"/>
      <c r="G435" s="141"/>
      <c r="H435" s="141"/>
      <c r="I435" s="141"/>
      <c r="J435" s="141"/>
      <c r="K435" s="141"/>
      <c r="L435" s="141"/>
    </row>
    <row r="436">
      <c r="A436" s="141"/>
      <c r="B436" s="141"/>
      <c r="C436" s="141"/>
      <c r="D436" s="141"/>
      <c r="E436" s="141"/>
      <c r="F436" s="141"/>
      <c r="G436" s="141"/>
      <c r="H436" s="141"/>
      <c r="I436" s="141"/>
      <c r="J436" s="141"/>
      <c r="K436" s="141"/>
      <c r="L436" s="141"/>
    </row>
    <row r="437">
      <c r="A437" s="141"/>
      <c r="B437" s="141"/>
      <c r="C437" s="141"/>
      <c r="D437" s="141"/>
      <c r="E437" s="141"/>
      <c r="F437" s="141"/>
      <c r="G437" s="141"/>
      <c r="H437" s="141"/>
      <c r="I437" s="141"/>
      <c r="J437" s="141"/>
      <c r="K437" s="141"/>
      <c r="L437" s="141"/>
    </row>
    <row r="438">
      <c r="A438" s="141"/>
      <c r="B438" s="141"/>
      <c r="C438" s="141"/>
      <c r="D438" s="141"/>
      <c r="E438" s="141"/>
      <c r="F438" s="141"/>
      <c r="G438" s="141"/>
      <c r="H438" s="141"/>
      <c r="I438" s="141"/>
      <c r="J438" s="141"/>
      <c r="K438" s="141"/>
      <c r="L438" s="141"/>
    </row>
    <row r="439">
      <c r="A439" s="141"/>
      <c r="B439" s="141"/>
      <c r="C439" s="141"/>
      <c r="D439" s="141"/>
      <c r="E439" s="141"/>
      <c r="F439" s="141"/>
      <c r="G439" s="141"/>
      <c r="H439" s="141"/>
      <c r="I439" s="141"/>
      <c r="J439" s="141"/>
      <c r="K439" s="141"/>
      <c r="L439" s="141"/>
    </row>
    <row r="440">
      <c r="A440" s="141"/>
      <c r="B440" s="141"/>
      <c r="C440" s="141"/>
      <c r="D440" s="141"/>
      <c r="E440" s="141"/>
      <c r="F440" s="141"/>
      <c r="G440" s="141"/>
      <c r="H440" s="141"/>
      <c r="I440" s="141"/>
      <c r="J440" s="141"/>
      <c r="K440" s="141"/>
      <c r="L440" s="141"/>
    </row>
    <row r="441">
      <c r="A441" s="141"/>
      <c r="B441" s="141"/>
      <c r="C441" s="141"/>
      <c r="D441" s="141"/>
      <c r="E441" s="141"/>
      <c r="F441" s="141"/>
      <c r="G441" s="141"/>
      <c r="H441" s="141"/>
      <c r="I441" s="141"/>
      <c r="J441" s="141"/>
      <c r="K441" s="141"/>
      <c r="L441" s="141"/>
    </row>
    <row r="442">
      <c r="A442" s="141"/>
      <c r="B442" s="141"/>
      <c r="C442" s="141"/>
      <c r="D442" s="141"/>
      <c r="E442" s="141"/>
      <c r="F442" s="141"/>
      <c r="G442" s="141"/>
      <c r="H442" s="141"/>
      <c r="I442" s="141"/>
      <c r="J442" s="141"/>
      <c r="K442" s="141"/>
      <c r="L442" s="141"/>
    </row>
    <row r="443">
      <c r="A443" s="141"/>
      <c r="B443" s="141"/>
      <c r="C443" s="141"/>
      <c r="D443" s="141"/>
      <c r="E443" s="141"/>
      <c r="F443" s="141"/>
      <c r="G443" s="141"/>
      <c r="H443" s="141"/>
      <c r="I443" s="141"/>
      <c r="J443" s="141"/>
      <c r="K443" s="141"/>
      <c r="L443" s="141"/>
    </row>
    <row r="444">
      <c r="A444" s="141"/>
      <c r="B444" s="141"/>
      <c r="C444" s="141"/>
      <c r="D444" s="141"/>
      <c r="E444" s="141"/>
      <c r="F444" s="141"/>
      <c r="G444" s="141"/>
      <c r="H444" s="141"/>
      <c r="I444" s="141"/>
      <c r="J444" s="141"/>
      <c r="K444" s="141"/>
      <c r="L444" s="141"/>
    </row>
    <row r="445">
      <c r="A445" s="141"/>
      <c r="B445" s="141"/>
      <c r="C445" s="141"/>
      <c r="D445" s="141"/>
      <c r="E445" s="141"/>
      <c r="F445" s="141"/>
      <c r="G445" s="141"/>
      <c r="H445" s="141"/>
      <c r="I445" s="141"/>
      <c r="J445" s="141"/>
      <c r="K445" s="141"/>
      <c r="L445" s="141"/>
    </row>
    <row r="446">
      <c r="A446" s="141"/>
      <c r="B446" s="141"/>
      <c r="C446" s="141"/>
      <c r="D446" s="141"/>
      <c r="E446" s="141"/>
      <c r="F446" s="141"/>
      <c r="G446" s="141"/>
      <c r="H446" s="141"/>
      <c r="I446" s="141"/>
      <c r="J446" s="141"/>
      <c r="K446" s="141"/>
      <c r="L446" s="141"/>
    </row>
    <row r="447">
      <c r="A447" s="141"/>
      <c r="B447" s="141"/>
      <c r="C447" s="141"/>
      <c r="D447" s="141"/>
      <c r="E447" s="141"/>
      <c r="F447" s="141"/>
      <c r="G447" s="141"/>
      <c r="H447" s="141"/>
      <c r="I447" s="141"/>
      <c r="J447" s="141"/>
      <c r="K447" s="141"/>
      <c r="L447" s="141"/>
    </row>
    <row r="448">
      <c r="A448" s="141"/>
      <c r="B448" s="141"/>
      <c r="C448" s="141"/>
      <c r="D448" s="141"/>
      <c r="E448" s="141"/>
      <c r="F448" s="141"/>
      <c r="G448" s="141"/>
      <c r="H448" s="141"/>
      <c r="I448" s="141"/>
      <c r="J448" s="141"/>
      <c r="K448" s="141"/>
      <c r="L448" s="141"/>
    </row>
    <row r="449">
      <c r="A449" s="141"/>
      <c r="B449" s="141"/>
      <c r="C449" s="141"/>
      <c r="D449" s="141"/>
      <c r="E449" s="141"/>
      <c r="F449" s="141"/>
      <c r="G449" s="141"/>
      <c r="H449" s="141"/>
      <c r="I449" s="141"/>
      <c r="J449" s="141"/>
      <c r="K449" s="141"/>
      <c r="L449" s="141"/>
    </row>
    <row r="450">
      <c r="A450" s="141"/>
      <c r="B450" s="141"/>
      <c r="C450" s="141"/>
      <c r="D450" s="141"/>
      <c r="E450" s="141"/>
      <c r="F450" s="141"/>
      <c r="G450" s="141"/>
      <c r="H450" s="141"/>
      <c r="I450" s="141"/>
      <c r="J450" s="141"/>
      <c r="K450" s="141"/>
      <c r="L450" s="141"/>
    </row>
    <row r="451">
      <c r="A451" s="141"/>
      <c r="B451" s="141"/>
      <c r="C451" s="141"/>
      <c r="D451" s="141"/>
      <c r="E451" s="141"/>
      <c r="F451" s="141"/>
      <c r="G451" s="141"/>
      <c r="H451" s="141"/>
      <c r="I451" s="141"/>
      <c r="J451" s="141"/>
      <c r="K451" s="141"/>
      <c r="L451" s="141"/>
    </row>
    <row r="452">
      <c r="A452" s="141"/>
      <c r="B452" s="141"/>
      <c r="C452" s="141"/>
      <c r="D452" s="141"/>
      <c r="E452" s="141"/>
      <c r="F452" s="141"/>
      <c r="G452" s="141"/>
      <c r="H452" s="141"/>
      <c r="I452" s="141"/>
      <c r="J452" s="141"/>
      <c r="K452" s="141"/>
      <c r="L452" s="141"/>
    </row>
    <row r="453">
      <c r="A453" s="141"/>
      <c r="B453" s="141"/>
      <c r="C453" s="141"/>
      <c r="D453" s="141"/>
      <c r="E453" s="141"/>
      <c r="F453" s="141"/>
      <c r="G453" s="141"/>
      <c r="H453" s="141"/>
      <c r="I453" s="141"/>
      <c r="J453" s="141"/>
      <c r="K453" s="141"/>
      <c r="L453" s="141"/>
    </row>
    <row r="454">
      <c r="A454" s="141"/>
      <c r="B454" s="141"/>
      <c r="C454" s="141"/>
      <c r="D454" s="141"/>
      <c r="E454" s="141"/>
      <c r="F454" s="141"/>
      <c r="G454" s="141"/>
      <c r="H454" s="141"/>
      <c r="I454" s="141"/>
      <c r="J454" s="141"/>
      <c r="K454" s="141"/>
      <c r="L454" s="141"/>
    </row>
    <row r="455">
      <c r="A455" s="141"/>
      <c r="B455" s="141"/>
      <c r="C455" s="141"/>
      <c r="D455" s="141"/>
      <c r="E455" s="141"/>
      <c r="F455" s="141"/>
      <c r="G455" s="141"/>
      <c r="H455" s="141"/>
      <c r="I455" s="141"/>
      <c r="J455" s="141"/>
      <c r="K455" s="141"/>
      <c r="L455" s="141"/>
    </row>
    <row r="456">
      <c r="A456" s="141"/>
      <c r="B456" s="141"/>
      <c r="C456" s="141"/>
      <c r="D456" s="141"/>
      <c r="E456" s="141"/>
      <c r="F456" s="141"/>
      <c r="G456" s="141"/>
      <c r="H456" s="141"/>
      <c r="I456" s="141"/>
      <c r="J456" s="141"/>
      <c r="K456" s="141"/>
      <c r="L456" s="141"/>
    </row>
    <row r="457">
      <c r="A457" s="141"/>
      <c r="B457" s="141"/>
      <c r="C457" s="141"/>
      <c r="D457" s="141"/>
      <c r="E457" s="141"/>
      <c r="F457" s="141"/>
      <c r="G457" s="141"/>
      <c r="H457" s="141"/>
      <c r="I457" s="141"/>
      <c r="J457" s="141"/>
      <c r="K457" s="141"/>
      <c r="L457" s="141"/>
    </row>
    <row r="458">
      <c r="A458" s="141"/>
      <c r="B458" s="141"/>
      <c r="C458" s="141"/>
      <c r="D458" s="141"/>
      <c r="E458" s="141"/>
      <c r="F458" s="141"/>
      <c r="G458" s="141"/>
      <c r="H458" s="141"/>
      <c r="I458" s="141"/>
      <c r="J458" s="141"/>
      <c r="K458" s="141"/>
      <c r="L458" s="141"/>
    </row>
    <row r="459">
      <c r="A459" s="141"/>
      <c r="B459" s="141"/>
      <c r="C459" s="141"/>
      <c r="D459" s="141"/>
      <c r="E459" s="141"/>
      <c r="F459" s="141"/>
      <c r="G459" s="141"/>
      <c r="H459" s="141"/>
      <c r="I459" s="141"/>
      <c r="J459" s="141"/>
      <c r="K459" s="141"/>
      <c r="L459" s="141"/>
    </row>
    <row r="460">
      <c r="A460" s="141"/>
      <c r="B460" s="141"/>
      <c r="C460" s="141"/>
      <c r="D460" s="141"/>
      <c r="E460" s="141"/>
      <c r="F460" s="141"/>
      <c r="G460" s="141"/>
      <c r="H460" s="141"/>
      <c r="I460" s="141"/>
      <c r="J460" s="141"/>
      <c r="K460" s="141"/>
      <c r="L460" s="141"/>
    </row>
    <row r="461">
      <c r="A461" s="141"/>
      <c r="B461" s="141"/>
      <c r="C461" s="141"/>
      <c r="D461" s="141"/>
      <c r="E461" s="141"/>
      <c r="F461" s="141"/>
      <c r="G461" s="141"/>
      <c r="H461" s="141"/>
      <c r="I461" s="141"/>
      <c r="J461" s="141"/>
      <c r="K461" s="141"/>
      <c r="L461" s="141"/>
    </row>
    <row r="462">
      <c r="A462" s="141"/>
      <c r="B462" s="141"/>
      <c r="C462" s="141"/>
      <c r="D462" s="141"/>
      <c r="E462" s="141"/>
      <c r="F462" s="141"/>
      <c r="G462" s="141"/>
      <c r="H462" s="141"/>
      <c r="I462" s="141"/>
      <c r="J462" s="141"/>
      <c r="K462" s="141"/>
      <c r="L462" s="141"/>
    </row>
    <row r="463">
      <c r="A463" s="141"/>
      <c r="B463" s="141"/>
      <c r="C463" s="141"/>
      <c r="D463" s="141"/>
      <c r="E463" s="141"/>
      <c r="F463" s="141"/>
      <c r="G463" s="141"/>
      <c r="H463" s="141"/>
      <c r="I463" s="141"/>
      <c r="J463" s="141"/>
      <c r="K463" s="141"/>
      <c r="L463" s="141"/>
    </row>
    <row r="464">
      <c r="A464" s="141"/>
      <c r="B464" s="141"/>
      <c r="C464" s="141"/>
      <c r="D464" s="141"/>
      <c r="E464" s="141"/>
      <c r="F464" s="141"/>
      <c r="G464" s="141"/>
      <c r="H464" s="141"/>
      <c r="I464" s="141"/>
      <c r="J464" s="141"/>
      <c r="K464" s="141"/>
      <c r="L464" s="141"/>
    </row>
    <row r="465">
      <c r="A465" s="141"/>
      <c r="B465" s="141"/>
      <c r="C465" s="141"/>
      <c r="D465" s="141"/>
      <c r="E465" s="141"/>
      <c r="F465" s="141"/>
      <c r="G465" s="141"/>
      <c r="H465" s="141"/>
      <c r="I465" s="141"/>
      <c r="J465" s="141"/>
      <c r="K465" s="141"/>
      <c r="L465" s="141"/>
    </row>
    <row r="466">
      <c r="A466" s="141"/>
      <c r="B466" s="141"/>
      <c r="C466" s="141"/>
      <c r="D466" s="141"/>
      <c r="E466" s="141"/>
      <c r="F466" s="141"/>
      <c r="G466" s="141"/>
      <c r="H466" s="141"/>
      <c r="I466" s="141"/>
      <c r="J466" s="141"/>
      <c r="K466" s="141"/>
      <c r="L466" s="141"/>
    </row>
    <row r="467">
      <c r="A467" s="141"/>
      <c r="B467" s="141"/>
      <c r="C467" s="141"/>
      <c r="D467" s="141"/>
      <c r="E467" s="141"/>
      <c r="F467" s="141"/>
      <c r="G467" s="141"/>
      <c r="H467" s="141"/>
      <c r="I467" s="141"/>
      <c r="J467" s="141"/>
      <c r="K467" s="141"/>
      <c r="L467" s="141"/>
    </row>
    <row r="468">
      <c r="A468" s="141"/>
      <c r="B468" s="141"/>
      <c r="C468" s="141"/>
      <c r="D468" s="141"/>
      <c r="E468" s="141"/>
      <c r="F468" s="141"/>
      <c r="G468" s="141"/>
      <c r="H468" s="141"/>
      <c r="I468" s="141"/>
      <c r="J468" s="141"/>
      <c r="K468" s="141"/>
      <c r="L468" s="141"/>
    </row>
    <row r="469">
      <c r="A469" s="141"/>
      <c r="B469" s="141"/>
      <c r="C469" s="141"/>
      <c r="D469" s="141"/>
      <c r="E469" s="141"/>
      <c r="F469" s="141"/>
      <c r="G469" s="141"/>
      <c r="H469" s="141"/>
      <c r="I469" s="141"/>
      <c r="J469" s="141"/>
      <c r="K469" s="141"/>
      <c r="L469" s="141"/>
    </row>
    <row r="470">
      <c r="A470" s="141"/>
      <c r="B470" s="141"/>
      <c r="C470" s="141"/>
      <c r="D470" s="141"/>
      <c r="E470" s="141"/>
      <c r="F470" s="141"/>
      <c r="G470" s="141"/>
      <c r="H470" s="141"/>
      <c r="I470" s="141"/>
      <c r="J470" s="141"/>
      <c r="K470" s="141"/>
      <c r="L470" s="141"/>
    </row>
    <row r="471">
      <c r="A471" s="141"/>
      <c r="B471" s="141"/>
      <c r="C471" s="141"/>
      <c r="D471" s="141"/>
      <c r="E471" s="141"/>
      <c r="F471" s="141"/>
      <c r="G471" s="141"/>
      <c r="H471" s="141"/>
      <c r="I471" s="141"/>
      <c r="J471" s="141"/>
      <c r="K471" s="141"/>
      <c r="L471" s="141"/>
    </row>
    <row r="472">
      <c r="A472" s="141"/>
      <c r="B472" s="141"/>
      <c r="C472" s="141"/>
      <c r="D472" s="141"/>
      <c r="E472" s="141"/>
      <c r="F472" s="141"/>
      <c r="G472" s="141"/>
      <c r="H472" s="141"/>
      <c r="I472" s="141"/>
      <c r="J472" s="141"/>
      <c r="K472" s="141"/>
      <c r="L472" s="141"/>
    </row>
    <row r="473">
      <c r="A473" s="141"/>
      <c r="B473" s="141"/>
      <c r="C473" s="141"/>
      <c r="D473" s="141"/>
      <c r="E473" s="141"/>
      <c r="F473" s="141"/>
      <c r="G473" s="141"/>
      <c r="H473" s="141"/>
      <c r="I473" s="141"/>
      <c r="J473" s="141"/>
      <c r="K473" s="141"/>
      <c r="L473" s="141"/>
    </row>
    <row r="474">
      <c r="A474" s="141"/>
      <c r="B474" s="141"/>
      <c r="C474" s="141"/>
      <c r="D474" s="141"/>
      <c r="E474" s="141"/>
      <c r="F474" s="141"/>
      <c r="G474" s="141"/>
      <c r="H474" s="141"/>
      <c r="I474" s="141"/>
      <c r="J474" s="141"/>
      <c r="K474" s="141"/>
      <c r="L474" s="141"/>
    </row>
    <row r="475">
      <c r="A475" s="141"/>
      <c r="B475" s="141"/>
      <c r="C475" s="141"/>
      <c r="D475" s="141"/>
      <c r="E475" s="141"/>
      <c r="F475" s="141"/>
      <c r="G475" s="141"/>
      <c r="H475" s="141"/>
      <c r="I475" s="141"/>
      <c r="J475" s="141"/>
      <c r="K475" s="141"/>
      <c r="L475" s="141"/>
    </row>
    <row r="476">
      <c r="A476" s="141"/>
      <c r="B476" s="141"/>
      <c r="C476" s="141"/>
      <c r="D476" s="141"/>
      <c r="E476" s="141"/>
      <c r="F476" s="141"/>
      <c r="G476" s="141"/>
      <c r="H476" s="141"/>
      <c r="I476" s="141"/>
      <c r="J476" s="141"/>
      <c r="K476" s="141"/>
      <c r="L476" s="141"/>
    </row>
    <row r="477">
      <c r="A477" s="141"/>
      <c r="B477" s="141"/>
      <c r="C477" s="141"/>
      <c r="D477" s="141"/>
      <c r="E477" s="141"/>
      <c r="F477" s="141"/>
      <c r="G477" s="141"/>
      <c r="H477" s="141"/>
      <c r="I477" s="141"/>
      <c r="J477" s="141"/>
      <c r="K477" s="141"/>
      <c r="L477" s="141"/>
    </row>
    <row r="478">
      <c r="A478" s="141"/>
      <c r="B478" s="141"/>
      <c r="C478" s="141"/>
      <c r="D478" s="141"/>
      <c r="E478" s="141"/>
      <c r="F478" s="141"/>
      <c r="G478" s="141"/>
      <c r="H478" s="141"/>
      <c r="I478" s="141"/>
      <c r="J478" s="141"/>
      <c r="K478" s="141"/>
      <c r="L478" s="141"/>
    </row>
    <row r="479">
      <c r="A479" s="141"/>
      <c r="B479" s="141"/>
      <c r="C479" s="141"/>
      <c r="D479" s="141"/>
      <c r="E479" s="141"/>
      <c r="F479" s="141"/>
      <c r="G479" s="141"/>
      <c r="H479" s="141"/>
      <c r="I479" s="141"/>
      <c r="J479" s="141"/>
      <c r="K479" s="141"/>
      <c r="L479" s="141"/>
    </row>
    <row r="480">
      <c r="A480" s="141"/>
      <c r="B480" s="141"/>
      <c r="C480" s="141"/>
      <c r="D480" s="141"/>
      <c r="E480" s="141"/>
      <c r="F480" s="141"/>
      <c r="G480" s="141"/>
      <c r="H480" s="141"/>
      <c r="I480" s="141"/>
      <c r="J480" s="141"/>
      <c r="K480" s="141"/>
      <c r="L480" s="141"/>
    </row>
    <row r="481">
      <c r="A481" s="141"/>
      <c r="B481" s="141"/>
      <c r="C481" s="141"/>
      <c r="D481" s="141"/>
      <c r="E481" s="141"/>
      <c r="F481" s="141"/>
      <c r="G481" s="141"/>
      <c r="H481" s="141"/>
      <c r="I481" s="141"/>
      <c r="J481" s="141"/>
      <c r="K481" s="141"/>
      <c r="L481" s="141"/>
    </row>
    <row r="482">
      <c r="A482" s="141"/>
      <c r="B482" s="141"/>
      <c r="C482" s="141"/>
      <c r="D482" s="141"/>
      <c r="E482" s="141"/>
      <c r="F482" s="141"/>
      <c r="G482" s="141"/>
      <c r="H482" s="141"/>
      <c r="I482" s="141"/>
      <c r="J482" s="141"/>
      <c r="K482" s="141"/>
      <c r="L482" s="141"/>
    </row>
    <row r="483">
      <c r="A483" s="141"/>
      <c r="B483" s="141"/>
      <c r="C483" s="141"/>
      <c r="D483" s="141"/>
      <c r="E483" s="141"/>
      <c r="F483" s="141"/>
      <c r="G483" s="141"/>
      <c r="H483" s="141"/>
      <c r="I483" s="141"/>
      <c r="J483" s="141"/>
      <c r="K483" s="141"/>
      <c r="L483" s="141"/>
    </row>
    <row r="484">
      <c r="A484" s="141"/>
      <c r="B484" s="141"/>
      <c r="C484" s="141"/>
      <c r="D484" s="141"/>
      <c r="E484" s="141"/>
      <c r="F484" s="141"/>
      <c r="G484" s="141"/>
      <c r="H484" s="141"/>
      <c r="I484" s="141"/>
      <c r="J484" s="141"/>
      <c r="K484" s="141"/>
      <c r="L484" s="141"/>
    </row>
    <row r="485">
      <c r="A485" s="141"/>
      <c r="B485" s="141"/>
      <c r="C485" s="141"/>
      <c r="D485" s="141"/>
      <c r="E485" s="141"/>
      <c r="F485" s="141"/>
      <c r="G485" s="141"/>
      <c r="H485" s="141"/>
      <c r="I485" s="141"/>
      <c r="J485" s="141"/>
      <c r="K485" s="141"/>
      <c r="L485" s="141"/>
    </row>
    <row r="486">
      <c r="A486" s="141"/>
      <c r="B486" s="141"/>
      <c r="C486" s="141"/>
      <c r="D486" s="141"/>
      <c r="E486" s="141"/>
      <c r="F486" s="141"/>
      <c r="G486" s="141"/>
      <c r="H486" s="141"/>
      <c r="I486" s="141"/>
      <c r="J486" s="141"/>
      <c r="K486" s="141"/>
      <c r="L486" s="141"/>
    </row>
    <row r="487">
      <c r="A487" s="141"/>
      <c r="B487" s="141"/>
      <c r="C487" s="141"/>
      <c r="D487" s="141"/>
      <c r="E487" s="141"/>
      <c r="F487" s="141"/>
      <c r="G487" s="141"/>
      <c r="H487" s="141"/>
      <c r="I487" s="141"/>
      <c r="J487" s="141"/>
      <c r="K487" s="141"/>
      <c r="L487" s="141"/>
    </row>
    <row r="488">
      <c r="A488" s="141"/>
      <c r="B488" s="141"/>
      <c r="C488" s="141"/>
      <c r="D488" s="141"/>
      <c r="E488" s="141"/>
      <c r="F488" s="141"/>
      <c r="G488" s="141"/>
      <c r="H488" s="141"/>
      <c r="I488" s="141"/>
      <c r="J488" s="141"/>
      <c r="K488" s="141"/>
      <c r="L488" s="141"/>
    </row>
    <row r="489">
      <c r="A489" s="141"/>
      <c r="B489" s="141"/>
      <c r="C489" s="141"/>
      <c r="D489" s="141"/>
      <c r="E489" s="141"/>
      <c r="F489" s="141"/>
      <c r="G489" s="141"/>
      <c r="H489" s="141"/>
      <c r="I489" s="141"/>
      <c r="J489" s="141"/>
      <c r="K489" s="141"/>
      <c r="L489" s="141"/>
    </row>
    <row r="490">
      <c r="A490" s="141"/>
      <c r="B490" s="141"/>
      <c r="C490" s="141"/>
      <c r="D490" s="141"/>
      <c r="E490" s="141"/>
      <c r="F490" s="141"/>
      <c r="G490" s="141"/>
      <c r="H490" s="141"/>
      <c r="I490" s="141"/>
      <c r="J490" s="141"/>
      <c r="K490" s="141"/>
      <c r="L490" s="141"/>
    </row>
    <row r="491">
      <c r="A491" s="141"/>
      <c r="B491" s="141"/>
      <c r="C491" s="141"/>
      <c r="D491" s="141"/>
      <c r="E491" s="141"/>
      <c r="F491" s="141"/>
      <c r="G491" s="141"/>
      <c r="H491" s="141"/>
      <c r="I491" s="141"/>
      <c r="J491" s="141"/>
      <c r="K491" s="141"/>
      <c r="L491" s="141"/>
    </row>
    <row r="492">
      <c r="A492" s="141"/>
      <c r="B492" s="141"/>
      <c r="C492" s="141"/>
      <c r="D492" s="141"/>
      <c r="E492" s="141"/>
      <c r="F492" s="141"/>
      <c r="G492" s="141"/>
      <c r="H492" s="141"/>
      <c r="I492" s="141"/>
      <c r="J492" s="141"/>
      <c r="K492" s="141"/>
      <c r="L492" s="141"/>
    </row>
    <row r="493">
      <c r="A493" s="141"/>
      <c r="B493" s="141"/>
      <c r="C493" s="141"/>
      <c r="D493" s="141"/>
      <c r="E493" s="141"/>
      <c r="F493" s="141"/>
      <c r="G493" s="141"/>
      <c r="H493" s="141"/>
      <c r="I493" s="141"/>
      <c r="J493" s="141"/>
      <c r="K493" s="141"/>
      <c r="L493" s="141"/>
    </row>
    <row r="494">
      <c r="A494" s="141"/>
      <c r="B494" s="141"/>
      <c r="C494" s="141"/>
      <c r="D494" s="141"/>
      <c r="E494" s="141"/>
      <c r="F494" s="141"/>
      <c r="G494" s="141"/>
      <c r="H494" s="141"/>
      <c r="I494" s="141"/>
      <c r="J494" s="141"/>
      <c r="K494" s="141"/>
      <c r="L494" s="141"/>
    </row>
    <row r="495">
      <c r="A495" s="141"/>
      <c r="B495" s="141"/>
      <c r="C495" s="141"/>
      <c r="D495" s="141"/>
      <c r="E495" s="141"/>
      <c r="F495" s="141"/>
      <c r="G495" s="141"/>
      <c r="H495" s="141"/>
      <c r="I495" s="141"/>
      <c r="J495" s="141"/>
      <c r="K495" s="141"/>
      <c r="L495" s="141"/>
    </row>
    <row r="496">
      <c r="A496" s="141"/>
      <c r="B496" s="141"/>
      <c r="C496" s="141"/>
      <c r="D496" s="141"/>
      <c r="E496" s="141"/>
      <c r="F496" s="141"/>
      <c r="G496" s="141"/>
      <c r="H496" s="141"/>
      <c r="I496" s="141"/>
      <c r="J496" s="141"/>
      <c r="K496" s="141"/>
      <c r="L496" s="141"/>
    </row>
    <row r="497">
      <c r="A497" s="141"/>
      <c r="B497" s="141"/>
      <c r="C497" s="141"/>
      <c r="D497" s="141"/>
      <c r="E497" s="141"/>
      <c r="F497" s="141"/>
      <c r="G497" s="141"/>
      <c r="H497" s="141"/>
      <c r="I497" s="141"/>
      <c r="J497" s="141"/>
      <c r="K497" s="141"/>
      <c r="L497" s="141"/>
    </row>
    <row r="498">
      <c r="A498" s="141"/>
      <c r="B498" s="141"/>
      <c r="C498" s="141"/>
      <c r="D498" s="141"/>
      <c r="E498" s="141"/>
      <c r="F498" s="141"/>
      <c r="G498" s="141"/>
      <c r="H498" s="141"/>
      <c r="I498" s="141"/>
      <c r="J498" s="141"/>
      <c r="K498" s="141"/>
      <c r="L498" s="141"/>
    </row>
    <row r="499">
      <c r="A499" s="141"/>
      <c r="B499" s="141"/>
      <c r="C499" s="141"/>
      <c r="D499" s="141"/>
      <c r="E499" s="141"/>
      <c r="F499" s="141"/>
      <c r="G499" s="141"/>
      <c r="H499" s="141"/>
      <c r="I499" s="141"/>
      <c r="J499" s="141"/>
      <c r="K499" s="141"/>
      <c r="L499" s="141"/>
    </row>
    <row r="500">
      <c r="A500" s="141"/>
      <c r="B500" s="141"/>
      <c r="C500" s="141"/>
      <c r="D500" s="141"/>
      <c r="E500" s="141"/>
      <c r="F500" s="141"/>
      <c r="G500" s="141"/>
      <c r="H500" s="141"/>
      <c r="I500" s="141"/>
      <c r="J500" s="141"/>
      <c r="K500" s="141"/>
      <c r="L500" s="141"/>
    </row>
    <row r="501">
      <c r="A501" s="141"/>
      <c r="B501" s="141"/>
      <c r="C501" s="141"/>
      <c r="D501" s="141"/>
      <c r="E501" s="141"/>
      <c r="F501" s="141"/>
      <c r="G501" s="141"/>
      <c r="H501" s="141"/>
      <c r="I501" s="141"/>
      <c r="J501" s="141"/>
      <c r="K501" s="141"/>
      <c r="L501" s="141"/>
    </row>
    <row r="502">
      <c r="A502" s="141"/>
      <c r="B502" s="141"/>
      <c r="C502" s="141"/>
      <c r="D502" s="141"/>
      <c r="E502" s="141"/>
      <c r="F502" s="141"/>
      <c r="G502" s="141"/>
      <c r="H502" s="141"/>
      <c r="I502" s="141"/>
      <c r="J502" s="141"/>
      <c r="K502" s="141"/>
      <c r="L502" s="141"/>
    </row>
    <row r="503">
      <c r="A503" s="141"/>
      <c r="B503" s="141"/>
      <c r="C503" s="141"/>
      <c r="D503" s="141"/>
      <c r="E503" s="141"/>
      <c r="F503" s="141"/>
      <c r="G503" s="141"/>
      <c r="H503" s="141"/>
      <c r="I503" s="141"/>
      <c r="J503" s="141"/>
      <c r="K503" s="141"/>
      <c r="L503" s="141"/>
    </row>
    <row r="504">
      <c r="A504" s="141"/>
      <c r="B504" s="141"/>
      <c r="C504" s="141"/>
      <c r="D504" s="141"/>
      <c r="E504" s="141"/>
      <c r="F504" s="141"/>
      <c r="G504" s="141"/>
      <c r="H504" s="141"/>
      <c r="I504" s="141"/>
      <c r="J504" s="141"/>
      <c r="K504" s="141"/>
      <c r="L504" s="141"/>
    </row>
    <row r="505">
      <c r="A505" s="141"/>
      <c r="B505" s="141"/>
      <c r="C505" s="141"/>
      <c r="D505" s="141"/>
      <c r="E505" s="141"/>
      <c r="F505" s="141"/>
      <c r="G505" s="141"/>
      <c r="H505" s="141"/>
      <c r="I505" s="141"/>
      <c r="J505" s="141"/>
      <c r="K505" s="141"/>
      <c r="L505" s="141"/>
    </row>
    <row r="506">
      <c r="A506" s="141"/>
      <c r="B506" s="141"/>
      <c r="C506" s="141"/>
      <c r="D506" s="141"/>
      <c r="E506" s="141"/>
      <c r="F506" s="141"/>
      <c r="G506" s="141"/>
      <c r="H506" s="141"/>
      <c r="I506" s="141"/>
      <c r="J506" s="141"/>
      <c r="K506" s="141"/>
      <c r="L506" s="141"/>
    </row>
    <row r="507">
      <c r="A507" s="141"/>
      <c r="B507" s="141"/>
      <c r="C507" s="141"/>
      <c r="D507" s="141"/>
      <c r="E507" s="141"/>
      <c r="F507" s="141"/>
      <c r="G507" s="141"/>
      <c r="H507" s="141"/>
      <c r="I507" s="141"/>
      <c r="J507" s="141"/>
      <c r="K507" s="141"/>
      <c r="L507" s="141"/>
    </row>
    <row r="508">
      <c r="A508" s="141"/>
      <c r="B508" s="141"/>
      <c r="C508" s="141"/>
      <c r="D508" s="141"/>
      <c r="E508" s="141"/>
      <c r="F508" s="141"/>
      <c r="G508" s="141"/>
      <c r="H508" s="141"/>
      <c r="I508" s="141"/>
      <c r="J508" s="141"/>
      <c r="K508" s="141"/>
      <c r="L508" s="141"/>
    </row>
    <row r="509">
      <c r="A509" s="141"/>
      <c r="B509" s="141"/>
      <c r="C509" s="141"/>
      <c r="D509" s="141"/>
      <c r="E509" s="141"/>
      <c r="F509" s="141"/>
      <c r="G509" s="141"/>
      <c r="H509" s="141"/>
      <c r="I509" s="141"/>
      <c r="J509" s="141"/>
      <c r="K509" s="141"/>
      <c r="L509" s="141"/>
    </row>
    <row r="510">
      <c r="A510" s="141"/>
      <c r="B510" s="141"/>
      <c r="C510" s="141"/>
      <c r="D510" s="141"/>
      <c r="E510" s="141"/>
      <c r="F510" s="141"/>
      <c r="G510" s="141"/>
      <c r="H510" s="141"/>
      <c r="I510" s="141"/>
      <c r="J510" s="141"/>
      <c r="K510" s="141"/>
      <c r="L510" s="141"/>
    </row>
    <row r="511">
      <c r="A511" s="141"/>
      <c r="B511" s="141"/>
      <c r="C511" s="141"/>
      <c r="D511" s="141"/>
      <c r="E511" s="141"/>
      <c r="F511" s="141"/>
      <c r="G511" s="141"/>
      <c r="H511" s="141"/>
      <c r="I511" s="141"/>
      <c r="J511" s="141"/>
      <c r="K511" s="141"/>
      <c r="L511" s="141"/>
    </row>
    <row r="512">
      <c r="A512" s="141"/>
      <c r="B512" s="141"/>
      <c r="C512" s="141"/>
      <c r="D512" s="141"/>
      <c r="E512" s="141"/>
      <c r="F512" s="141"/>
      <c r="G512" s="141"/>
      <c r="H512" s="141"/>
      <c r="I512" s="141"/>
      <c r="J512" s="141"/>
      <c r="K512" s="141"/>
      <c r="L512" s="141"/>
    </row>
    <row r="513">
      <c r="A513" s="141"/>
      <c r="B513" s="141"/>
      <c r="C513" s="141"/>
      <c r="D513" s="141"/>
      <c r="E513" s="141"/>
      <c r="F513" s="141"/>
      <c r="G513" s="141"/>
      <c r="H513" s="141"/>
      <c r="I513" s="141"/>
      <c r="J513" s="141"/>
      <c r="K513" s="141"/>
      <c r="L513" s="141"/>
    </row>
    <row r="514">
      <c r="A514" s="141"/>
      <c r="B514" s="141"/>
      <c r="C514" s="141"/>
      <c r="D514" s="141"/>
      <c r="E514" s="141"/>
      <c r="F514" s="141"/>
      <c r="G514" s="141"/>
      <c r="H514" s="141"/>
      <c r="I514" s="141"/>
      <c r="J514" s="141"/>
      <c r="K514" s="141"/>
      <c r="L514" s="141"/>
    </row>
    <row r="515">
      <c r="A515" s="141"/>
      <c r="B515" s="141"/>
      <c r="C515" s="141"/>
      <c r="D515" s="141"/>
      <c r="E515" s="141"/>
      <c r="F515" s="141"/>
      <c r="G515" s="141"/>
      <c r="H515" s="141"/>
      <c r="I515" s="141"/>
      <c r="J515" s="141"/>
      <c r="K515" s="141"/>
      <c r="L515" s="141"/>
    </row>
    <row r="516">
      <c r="A516" s="141"/>
      <c r="B516" s="141"/>
      <c r="C516" s="141"/>
      <c r="D516" s="141"/>
      <c r="E516" s="141"/>
      <c r="F516" s="141"/>
      <c r="G516" s="141"/>
      <c r="H516" s="141"/>
      <c r="I516" s="141"/>
      <c r="J516" s="141"/>
      <c r="K516" s="141"/>
      <c r="L516" s="141"/>
    </row>
    <row r="517">
      <c r="A517" s="141"/>
      <c r="B517" s="141"/>
      <c r="C517" s="141"/>
      <c r="D517" s="141"/>
      <c r="E517" s="141"/>
      <c r="F517" s="141"/>
      <c r="G517" s="141"/>
      <c r="H517" s="141"/>
      <c r="I517" s="141"/>
      <c r="J517" s="141"/>
      <c r="K517" s="141"/>
      <c r="L517" s="141"/>
    </row>
    <row r="518">
      <c r="A518" s="141"/>
      <c r="B518" s="141"/>
      <c r="C518" s="141"/>
      <c r="D518" s="141"/>
      <c r="E518" s="141"/>
      <c r="F518" s="141"/>
      <c r="G518" s="141"/>
      <c r="H518" s="141"/>
      <c r="I518" s="141"/>
      <c r="J518" s="141"/>
      <c r="K518" s="141"/>
      <c r="L518" s="141"/>
    </row>
    <row r="519">
      <c r="A519" s="141"/>
      <c r="B519" s="141"/>
      <c r="C519" s="141"/>
      <c r="D519" s="141"/>
      <c r="E519" s="141"/>
      <c r="F519" s="141"/>
      <c r="G519" s="141"/>
      <c r="H519" s="141"/>
      <c r="I519" s="141"/>
      <c r="J519" s="141"/>
      <c r="K519" s="141"/>
      <c r="L519" s="141"/>
    </row>
    <row r="520">
      <c r="A520" s="141"/>
      <c r="B520" s="141"/>
      <c r="C520" s="141"/>
      <c r="D520" s="141"/>
      <c r="E520" s="141"/>
      <c r="F520" s="141"/>
      <c r="G520" s="141"/>
      <c r="H520" s="141"/>
      <c r="I520" s="141"/>
      <c r="J520" s="141"/>
      <c r="K520" s="141"/>
      <c r="L520" s="141"/>
    </row>
    <row r="521">
      <c r="A521" s="141"/>
      <c r="B521" s="141"/>
      <c r="C521" s="141"/>
      <c r="D521" s="141"/>
      <c r="E521" s="141"/>
      <c r="F521" s="141"/>
      <c r="G521" s="141"/>
      <c r="H521" s="141"/>
      <c r="I521" s="141"/>
      <c r="J521" s="141"/>
      <c r="K521" s="141"/>
      <c r="L521" s="141"/>
    </row>
    <row r="522">
      <c r="A522" s="141"/>
      <c r="B522" s="141"/>
      <c r="C522" s="141"/>
      <c r="D522" s="141"/>
      <c r="E522" s="141"/>
      <c r="F522" s="141"/>
      <c r="G522" s="141"/>
      <c r="H522" s="141"/>
      <c r="I522" s="141"/>
      <c r="J522" s="141"/>
      <c r="K522" s="141"/>
      <c r="L522" s="141"/>
    </row>
    <row r="523">
      <c r="A523" s="141"/>
      <c r="B523" s="141"/>
      <c r="C523" s="141"/>
      <c r="D523" s="141"/>
      <c r="E523" s="141"/>
      <c r="F523" s="141"/>
      <c r="G523" s="141"/>
      <c r="H523" s="141"/>
      <c r="I523" s="141"/>
      <c r="J523" s="141"/>
      <c r="K523" s="141"/>
      <c r="L523" s="141"/>
    </row>
    <row r="524">
      <c r="A524" s="141"/>
      <c r="B524" s="141"/>
      <c r="C524" s="141"/>
      <c r="D524" s="141"/>
      <c r="E524" s="141"/>
      <c r="F524" s="141"/>
      <c r="G524" s="141"/>
      <c r="H524" s="141"/>
      <c r="I524" s="141"/>
      <c r="J524" s="141"/>
      <c r="K524" s="141"/>
      <c r="L524" s="141"/>
    </row>
    <row r="525">
      <c r="A525" s="141"/>
      <c r="B525" s="141"/>
      <c r="C525" s="141"/>
      <c r="D525" s="141"/>
      <c r="E525" s="141"/>
      <c r="F525" s="141"/>
      <c r="G525" s="141"/>
      <c r="H525" s="141"/>
      <c r="I525" s="141"/>
      <c r="J525" s="141"/>
      <c r="K525" s="141"/>
      <c r="L525" s="141"/>
    </row>
    <row r="526">
      <c r="A526" s="141"/>
      <c r="B526" s="141"/>
      <c r="C526" s="141"/>
      <c r="D526" s="141"/>
      <c r="E526" s="141"/>
      <c r="F526" s="141"/>
      <c r="G526" s="141"/>
      <c r="H526" s="141"/>
      <c r="I526" s="141"/>
      <c r="J526" s="141"/>
      <c r="K526" s="141"/>
      <c r="L526" s="141"/>
    </row>
    <row r="527">
      <c r="A527" s="141"/>
      <c r="B527" s="141"/>
      <c r="C527" s="141"/>
      <c r="D527" s="141"/>
      <c r="E527" s="141"/>
      <c r="F527" s="141"/>
      <c r="G527" s="141"/>
      <c r="H527" s="141"/>
      <c r="I527" s="141"/>
      <c r="J527" s="141"/>
      <c r="K527" s="141"/>
      <c r="L527" s="141"/>
    </row>
    <row r="528">
      <c r="A528" s="141"/>
      <c r="B528" s="141"/>
      <c r="C528" s="141"/>
      <c r="D528" s="141"/>
      <c r="E528" s="141"/>
      <c r="F528" s="141"/>
      <c r="G528" s="141"/>
      <c r="H528" s="141"/>
      <c r="I528" s="141"/>
      <c r="J528" s="141"/>
      <c r="K528" s="141"/>
      <c r="L528" s="141"/>
    </row>
    <row r="529">
      <c r="A529" s="141"/>
      <c r="B529" s="141"/>
      <c r="C529" s="141"/>
      <c r="D529" s="141"/>
      <c r="E529" s="141"/>
      <c r="F529" s="141"/>
      <c r="G529" s="141"/>
      <c r="H529" s="141"/>
      <c r="I529" s="141"/>
      <c r="J529" s="141"/>
      <c r="K529" s="141"/>
      <c r="L529" s="141"/>
    </row>
    <row r="530">
      <c r="A530" s="141"/>
      <c r="B530" s="141"/>
      <c r="C530" s="141"/>
      <c r="D530" s="141"/>
      <c r="E530" s="141"/>
      <c r="F530" s="141"/>
      <c r="G530" s="141"/>
      <c r="H530" s="141"/>
      <c r="I530" s="141"/>
      <c r="J530" s="141"/>
      <c r="K530" s="141"/>
      <c r="L530" s="141"/>
    </row>
    <row r="531">
      <c r="A531" s="141"/>
      <c r="B531" s="141"/>
      <c r="C531" s="141"/>
      <c r="D531" s="141"/>
      <c r="E531" s="141"/>
      <c r="F531" s="141"/>
      <c r="G531" s="141"/>
      <c r="H531" s="141"/>
      <c r="I531" s="141"/>
      <c r="J531" s="141"/>
      <c r="K531" s="141"/>
      <c r="L531" s="141"/>
    </row>
    <row r="532">
      <c r="A532" s="141"/>
      <c r="B532" s="141"/>
      <c r="C532" s="141"/>
      <c r="D532" s="141"/>
      <c r="E532" s="141"/>
      <c r="F532" s="141"/>
      <c r="G532" s="141"/>
      <c r="H532" s="141"/>
      <c r="I532" s="141"/>
      <c r="J532" s="141"/>
      <c r="K532" s="141"/>
      <c r="L532" s="141"/>
    </row>
    <row r="533">
      <c r="A533" s="141"/>
      <c r="B533" s="141"/>
      <c r="C533" s="141"/>
      <c r="D533" s="141"/>
      <c r="E533" s="141"/>
      <c r="F533" s="141"/>
      <c r="G533" s="141"/>
      <c r="H533" s="141"/>
      <c r="I533" s="141"/>
      <c r="J533" s="141"/>
      <c r="K533" s="141"/>
      <c r="L533" s="141"/>
    </row>
    <row r="534">
      <c r="A534" s="141"/>
      <c r="B534" s="141"/>
      <c r="C534" s="141"/>
      <c r="D534" s="141"/>
      <c r="E534" s="141"/>
      <c r="F534" s="141"/>
      <c r="G534" s="141"/>
      <c r="H534" s="141"/>
      <c r="I534" s="141"/>
      <c r="J534" s="141"/>
      <c r="K534" s="141"/>
      <c r="L534" s="141"/>
    </row>
    <row r="535">
      <c r="A535" s="141"/>
      <c r="B535" s="141"/>
      <c r="C535" s="141"/>
      <c r="D535" s="141"/>
      <c r="E535" s="141"/>
      <c r="F535" s="141"/>
      <c r="G535" s="141"/>
      <c r="H535" s="141"/>
      <c r="I535" s="141"/>
      <c r="J535" s="141"/>
      <c r="K535" s="141"/>
      <c r="L535" s="141"/>
    </row>
    <row r="536">
      <c r="A536" s="141"/>
      <c r="B536" s="141"/>
      <c r="C536" s="141"/>
      <c r="D536" s="141"/>
      <c r="E536" s="141"/>
      <c r="F536" s="141"/>
      <c r="G536" s="141"/>
      <c r="H536" s="141"/>
      <c r="I536" s="141"/>
      <c r="J536" s="141"/>
      <c r="K536" s="141"/>
      <c r="L536" s="141"/>
    </row>
    <row r="537">
      <c r="A537" s="141"/>
      <c r="B537" s="141"/>
      <c r="C537" s="141"/>
      <c r="D537" s="141"/>
      <c r="E537" s="141"/>
      <c r="F537" s="141"/>
      <c r="G537" s="141"/>
      <c r="H537" s="141"/>
      <c r="I537" s="141"/>
      <c r="J537" s="141"/>
      <c r="K537" s="141"/>
      <c r="L537" s="141"/>
    </row>
    <row r="538">
      <c r="A538" s="141"/>
      <c r="B538" s="141"/>
      <c r="C538" s="141"/>
      <c r="D538" s="141"/>
      <c r="E538" s="141"/>
      <c r="F538" s="141"/>
      <c r="G538" s="141"/>
      <c r="H538" s="141"/>
      <c r="I538" s="141"/>
      <c r="J538" s="141"/>
      <c r="K538" s="141"/>
      <c r="L538" s="141"/>
    </row>
    <row r="539">
      <c r="A539" s="141"/>
      <c r="B539" s="141"/>
      <c r="C539" s="141"/>
      <c r="D539" s="141"/>
      <c r="E539" s="141"/>
      <c r="F539" s="141"/>
      <c r="G539" s="141"/>
      <c r="H539" s="141"/>
      <c r="I539" s="141"/>
      <c r="J539" s="141"/>
      <c r="K539" s="141"/>
      <c r="L539" s="141"/>
    </row>
    <row r="540">
      <c r="A540" s="141"/>
      <c r="B540" s="141"/>
      <c r="C540" s="141"/>
      <c r="D540" s="141"/>
      <c r="E540" s="141"/>
      <c r="F540" s="141"/>
      <c r="G540" s="141"/>
      <c r="H540" s="141"/>
      <c r="I540" s="141"/>
      <c r="J540" s="141"/>
      <c r="K540" s="141"/>
      <c r="L540" s="141"/>
    </row>
    <row r="541">
      <c r="A541" s="141"/>
      <c r="B541" s="141"/>
      <c r="C541" s="141"/>
      <c r="D541" s="141"/>
      <c r="E541" s="141"/>
      <c r="F541" s="141"/>
      <c r="G541" s="141"/>
      <c r="H541" s="141"/>
      <c r="I541" s="141"/>
      <c r="J541" s="141"/>
      <c r="K541" s="141"/>
      <c r="L541" s="141"/>
    </row>
    <row r="542">
      <c r="A542" s="141"/>
      <c r="B542" s="141"/>
      <c r="C542" s="141"/>
      <c r="D542" s="141"/>
      <c r="E542" s="141"/>
      <c r="F542" s="141"/>
      <c r="G542" s="141"/>
      <c r="H542" s="141"/>
      <c r="I542" s="141"/>
      <c r="J542" s="141"/>
      <c r="K542" s="141"/>
      <c r="L542" s="141"/>
    </row>
    <row r="543">
      <c r="A543" s="141"/>
      <c r="B543" s="141"/>
      <c r="C543" s="141"/>
      <c r="D543" s="141"/>
      <c r="E543" s="141"/>
      <c r="F543" s="141"/>
      <c r="G543" s="141"/>
      <c r="H543" s="141"/>
      <c r="I543" s="141"/>
      <c r="J543" s="141"/>
      <c r="K543" s="141"/>
      <c r="L543" s="141"/>
    </row>
    <row r="544">
      <c r="A544" s="141"/>
      <c r="B544" s="141"/>
      <c r="C544" s="141"/>
      <c r="D544" s="141"/>
      <c r="E544" s="141"/>
      <c r="F544" s="141"/>
      <c r="G544" s="141"/>
      <c r="H544" s="141"/>
      <c r="I544" s="141"/>
      <c r="J544" s="141"/>
      <c r="K544" s="141"/>
      <c r="L544" s="141"/>
    </row>
    <row r="545">
      <c r="A545" s="141"/>
      <c r="B545" s="141"/>
      <c r="C545" s="141"/>
      <c r="D545" s="141"/>
      <c r="E545" s="141"/>
      <c r="F545" s="141"/>
      <c r="G545" s="141"/>
      <c r="H545" s="141"/>
      <c r="I545" s="141"/>
      <c r="J545" s="141"/>
      <c r="K545" s="141"/>
      <c r="L545" s="141"/>
    </row>
    <row r="546">
      <c r="A546" s="141"/>
      <c r="B546" s="141"/>
      <c r="C546" s="141"/>
      <c r="D546" s="141"/>
      <c r="E546" s="141"/>
      <c r="F546" s="141"/>
      <c r="G546" s="141"/>
      <c r="H546" s="141"/>
      <c r="I546" s="141"/>
      <c r="J546" s="141"/>
      <c r="K546" s="141"/>
      <c r="L546" s="141"/>
    </row>
    <row r="547">
      <c r="A547" s="141"/>
      <c r="B547" s="141"/>
      <c r="C547" s="141"/>
      <c r="D547" s="141"/>
      <c r="E547" s="141"/>
      <c r="F547" s="141"/>
      <c r="G547" s="141"/>
      <c r="H547" s="141"/>
      <c r="I547" s="141"/>
      <c r="J547" s="141"/>
      <c r="K547" s="141"/>
      <c r="L547" s="141"/>
    </row>
    <row r="548">
      <c r="A548" s="141"/>
      <c r="B548" s="141"/>
      <c r="C548" s="141"/>
      <c r="D548" s="141"/>
      <c r="E548" s="141"/>
      <c r="F548" s="141"/>
      <c r="G548" s="141"/>
      <c r="H548" s="141"/>
      <c r="I548" s="141"/>
      <c r="J548" s="141"/>
      <c r="K548" s="141"/>
      <c r="L548" s="141"/>
    </row>
    <row r="549">
      <c r="A549" s="141"/>
      <c r="B549" s="141"/>
      <c r="C549" s="141"/>
      <c r="D549" s="141"/>
      <c r="E549" s="141"/>
      <c r="F549" s="141"/>
      <c r="G549" s="141"/>
      <c r="H549" s="141"/>
      <c r="I549" s="141"/>
      <c r="J549" s="141"/>
      <c r="K549" s="141"/>
      <c r="L549" s="141"/>
    </row>
    <row r="550">
      <c r="A550" s="141"/>
      <c r="B550" s="141"/>
      <c r="C550" s="141"/>
      <c r="D550" s="141"/>
      <c r="E550" s="141"/>
      <c r="F550" s="141"/>
      <c r="G550" s="141"/>
      <c r="H550" s="141"/>
      <c r="I550" s="141"/>
      <c r="J550" s="141"/>
      <c r="K550" s="141"/>
      <c r="L550" s="141"/>
    </row>
    <row r="551">
      <c r="A551" s="141"/>
      <c r="B551" s="141"/>
      <c r="C551" s="141"/>
      <c r="D551" s="141"/>
      <c r="E551" s="141"/>
      <c r="F551" s="141"/>
      <c r="G551" s="141"/>
      <c r="H551" s="141"/>
      <c r="I551" s="141"/>
      <c r="J551" s="141"/>
      <c r="K551" s="141"/>
      <c r="L551" s="141"/>
    </row>
    <row r="552">
      <c r="A552" s="141"/>
      <c r="B552" s="141"/>
      <c r="C552" s="141"/>
      <c r="D552" s="141"/>
      <c r="E552" s="141"/>
      <c r="F552" s="141"/>
      <c r="G552" s="141"/>
      <c r="H552" s="141"/>
      <c r="I552" s="141"/>
      <c r="J552" s="141"/>
      <c r="K552" s="141"/>
      <c r="L552" s="141"/>
    </row>
    <row r="553">
      <c r="A553" s="141"/>
      <c r="B553" s="141"/>
      <c r="C553" s="141"/>
      <c r="D553" s="141"/>
      <c r="E553" s="141"/>
      <c r="F553" s="141"/>
      <c r="G553" s="141"/>
      <c r="H553" s="141"/>
      <c r="I553" s="141"/>
      <c r="J553" s="141"/>
      <c r="K553" s="141"/>
      <c r="L553" s="141"/>
    </row>
    <row r="554">
      <c r="A554" s="141"/>
      <c r="B554" s="141"/>
      <c r="C554" s="141"/>
      <c r="D554" s="141"/>
      <c r="E554" s="141"/>
      <c r="F554" s="141"/>
      <c r="G554" s="141"/>
      <c r="H554" s="141"/>
      <c r="I554" s="141"/>
      <c r="J554" s="141"/>
      <c r="K554" s="141"/>
      <c r="L554" s="141"/>
    </row>
    <row r="555">
      <c r="A555" s="141"/>
      <c r="B555" s="141"/>
      <c r="C555" s="141"/>
      <c r="D555" s="141"/>
      <c r="E555" s="141"/>
      <c r="F555" s="141"/>
      <c r="G555" s="141"/>
      <c r="H555" s="141"/>
      <c r="I555" s="141"/>
      <c r="J555" s="141"/>
      <c r="K555" s="141"/>
      <c r="L555" s="141"/>
    </row>
    <row r="556">
      <c r="A556" s="141"/>
      <c r="B556" s="141"/>
      <c r="C556" s="141"/>
      <c r="D556" s="141"/>
      <c r="E556" s="141"/>
      <c r="F556" s="141"/>
      <c r="G556" s="141"/>
      <c r="H556" s="141"/>
      <c r="I556" s="141"/>
      <c r="J556" s="141"/>
      <c r="K556" s="141"/>
      <c r="L556" s="141"/>
    </row>
    <row r="557">
      <c r="A557" s="141"/>
      <c r="B557" s="141"/>
      <c r="C557" s="141"/>
      <c r="D557" s="141"/>
      <c r="E557" s="141"/>
      <c r="F557" s="141"/>
      <c r="G557" s="141"/>
      <c r="H557" s="141"/>
      <c r="I557" s="141"/>
      <c r="J557" s="141"/>
      <c r="K557" s="141"/>
      <c r="L557" s="141"/>
    </row>
    <row r="558">
      <c r="A558" s="141"/>
      <c r="B558" s="141"/>
      <c r="C558" s="141"/>
      <c r="D558" s="141"/>
      <c r="E558" s="141"/>
      <c r="F558" s="141"/>
      <c r="G558" s="141"/>
      <c r="H558" s="141"/>
      <c r="I558" s="141"/>
      <c r="J558" s="141"/>
      <c r="K558" s="141"/>
      <c r="L558" s="141"/>
    </row>
    <row r="559">
      <c r="A559" s="141"/>
      <c r="B559" s="141"/>
      <c r="C559" s="141"/>
      <c r="D559" s="141"/>
      <c r="E559" s="141"/>
      <c r="F559" s="141"/>
      <c r="G559" s="141"/>
      <c r="H559" s="141"/>
      <c r="I559" s="141"/>
      <c r="J559" s="141"/>
      <c r="K559" s="141"/>
      <c r="L559" s="141"/>
    </row>
    <row r="560">
      <c r="A560" s="141"/>
      <c r="B560" s="141"/>
      <c r="C560" s="141"/>
      <c r="D560" s="141"/>
      <c r="E560" s="141"/>
      <c r="F560" s="141"/>
      <c r="G560" s="141"/>
      <c r="H560" s="141"/>
      <c r="I560" s="141"/>
      <c r="J560" s="141"/>
      <c r="K560" s="141"/>
      <c r="L560" s="141"/>
    </row>
    <row r="561">
      <c r="A561" s="141"/>
      <c r="B561" s="141"/>
      <c r="C561" s="141"/>
      <c r="D561" s="141"/>
      <c r="E561" s="141"/>
      <c r="F561" s="141"/>
      <c r="G561" s="141"/>
      <c r="H561" s="141"/>
      <c r="I561" s="141"/>
      <c r="J561" s="141"/>
      <c r="K561" s="141"/>
      <c r="L561" s="141"/>
    </row>
    <row r="562">
      <c r="A562" s="141"/>
      <c r="B562" s="141"/>
      <c r="C562" s="141"/>
      <c r="D562" s="141"/>
      <c r="E562" s="141"/>
      <c r="F562" s="141"/>
      <c r="G562" s="141"/>
      <c r="H562" s="141"/>
      <c r="I562" s="141"/>
      <c r="J562" s="141"/>
      <c r="K562" s="141"/>
      <c r="L562" s="141"/>
    </row>
    <row r="563">
      <c r="A563" s="141"/>
      <c r="B563" s="141"/>
      <c r="C563" s="141"/>
      <c r="D563" s="141"/>
      <c r="E563" s="141"/>
      <c r="F563" s="141"/>
      <c r="G563" s="141"/>
      <c r="H563" s="141"/>
      <c r="I563" s="141"/>
      <c r="J563" s="141"/>
      <c r="K563" s="141"/>
      <c r="L563" s="141"/>
    </row>
    <row r="564">
      <c r="A564" s="141"/>
      <c r="B564" s="141"/>
      <c r="C564" s="141"/>
      <c r="D564" s="141"/>
      <c r="E564" s="141"/>
      <c r="F564" s="141"/>
      <c r="G564" s="141"/>
      <c r="H564" s="141"/>
      <c r="I564" s="141"/>
      <c r="J564" s="141"/>
      <c r="K564" s="141"/>
      <c r="L564" s="141"/>
    </row>
    <row r="565">
      <c r="A565" s="141"/>
      <c r="B565" s="141"/>
      <c r="C565" s="141"/>
      <c r="D565" s="141"/>
      <c r="E565" s="141"/>
      <c r="F565" s="141"/>
      <c r="G565" s="141"/>
      <c r="H565" s="141"/>
      <c r="I565" s="141"/>
      <c r="J565" s="141"/>
      <c r="K565" s="141"/>
      <c r="L565" s="141"/>
    </row>
    <row r="566">
      <c r="A566" s="141"/>
      <c r="B566" s="141"/>
      <c r="C566" s="141"/>
      <c r="D566" s="141"/>
      <c r="E566" s="141"/>
      <c r="F566" s="141"/>
      <c r="G566" s="141"/>
      <c r="H566" s="141"/>
      <c r="I566" s="141"/>
      <c r="J566" s="141"/>
      <c r="K566" s="141"/>
      <c r="L566" s="141"/>
    </row>
    <row r="567">
      <c r="A567" s="141"/>
      <c r="B567" s="141"/>
      <c r="C567" s="141"/>
      <c r="D567" s="141"/>
      <c r="E567" s="141"/>
      <c r="F567" s="141"/>
      <c r="G567" s="141"/>
      <c r="H567" s="141"/>
      <c r="I567" s="141"/>
      <c r="J567" s="141"/>
      <c r="K567" s="141"/>
      <c r="L567" s="141"/>
    </row>
    <row r="568">
      <c r="A568" s="141"/>
      <c r="B568" s="141"/>
      <c r="C568" s="141"/>
      <c r="D568" s="141"/>
      <c r="E568" s="141"/>
      <c r="F568" s="141"/>
      <c r="G568" s="141"/>
      <c r="H568" s="141"/>
      <c r="I568" s="141"/>
      <c r="J568" s="141"/>
      <c r="K568" s="141"/>
      <c r="L568" s="141"/>
    </row>
    <row r="569">
      <c r="A569" s="141"/>
      <c r="B569" s="141"/>
      <c r="C569" s="141"/>
      <c r="D569" s="141"/>
      <c r="E569" s="141"/>
      <c r="F569" s="141"/>
      <c r="G569" s="141"/>
      <c r="H569" s="141"/>
      <c r="I569" s="141"/>
      <c r="J569" s="141"/>
      <c r="K569" s="141"/>
      <c r="L569" s="141"/>
    </row>
    <row r="570">
      <c r="A570" s="141"/>
      <c r="B570" s="141"/>
      <c r="C570" s="141"/>
      <c r="D570" s="141"/>
      <c r="E570" s="141"/>
      <c r="F570" s="141"/>
      <c r="G570" s="141"/>
      <c r="H570" s="141"/>
      <c r="I570" s="141"/>
      <c r="J570" s="141"/>
      <c r="K570" s="141"/>
      <c r="L570" s="141"/>
    </row>
    <row r="571">
      <c r="A571" s="141"/>
      <c r="B571" s="141"/>
      <c r="C571" s="141"/>
      <c r="D571" s="141"/>
      <c r="E571" s="141"/>
      <c r="F571" s="141"/>
      <c r="G571" s="141"/>
      <c r="H571" s="141"/>
      <c r="I571" s="141"/>
      <c r="J571" s="141"/>
      <c r="K571" s="141"/>
      <c r="L571" s="141"/>
    </row>
    <row r="572">
      <c r="A572" s="141"/>
      <c r="B572" s="141"/>
      <c r="C572" s="141"/>
      <c r="D572" s="141"/>
      <c r="E572" s="141"/>
      <c r="F572" s="141"/>
      <c r="G572" s="141"/>
      <c r="H572" s="141"/>
      <c r="I572" s="141"/>
      <c r="J572" s="141"/>
      <c r="K572" s="141"/>
      <c r="L572" s="141"/>
    </row>
    <row r="573">
      <c r="A573" s="141"/>
      <c r="B573" s="141"/>
      <c r="C573" s="141"/>
      <c r="D573" s="141"/>
      <c r="E573" s="141"/>
      <c r="F573" s="141"/>
      <c r="G573" s="141"/>
      <c r="H573" s="141"/>
      <c r="I573" s="141"/>
      <c r="J573" s="141"/>
      <c r="K573" s="141"/>
      <c r="L573" s="141"/>
    </row>
    <row r="574">
      <c r="A574" s="141"/>
      <c r="B574" s="141"/>
      <c r="C574" s="141"/>
      <c r="D574" s="141"/>
      <c r="E574" s="141"/>
      <c r="F574" s="141"/>
      <c r="G574" s="141"/>
      <c r="H574" s="141"/>
      <c r="I574" s="141"/>
      <c r="J574" s="141"/>
      <c r="K574" s="141"/>
      <c r="L574" s="141"/>
    </row>
    <row r="575">
      <c r="A575" s="141"/>
      <c r="B575" s="141"/>
      <c r="C575" s="141"/>
      <c r="D575" s="141"/>
      <c r="E575" s="141"/>
      <c r="F575" s="141"/>
      <c r="G575" s="141"/>
      <c r="H575" s="141"/>
      <c r="I575" s="141"/>
      <c r="J575" s="141"/>
      <c r="K575" s="141"/>
      <c r="L575" s="141"/>
    </row>
    <row r="576">
      <c r="A576" s="141"/>
      <c r="B576" s="141"/>
      <c r="C576" s="141"/>
      <c r="D576" s="141"/>
      <c r="E576" s="141"/>
      <c r="F576" s="141"/>
      <c r="G576" s="141"/>
      <c r="H576" s="141"/>
      <c r="I576" s="141"/>
      <c r="J576" s="141"/>
      <c r="K576" s="141"/>
      <c r="L576" s="141"/>
    </row>
    <row r="577">
      <c r="A577" s="141"/>
      <c r="B577" s="141"/>
      <c r="C577" s="141"/>
      <c r="D577" s="141"/>
      <c r="E577" s="141"/>
      <c r="F577" s="141"/>
      <c r="G577" s="141"/>
      <c r="H577" s="141"/>
      <c r="I577" s="141"/>
      <c r="J577" s="141"/>
      <c r="K577" s="141"/>
      <c r="L577" s="141"/>
    </row>
    <row r="578">
      <c r="A578" s="141"/>
      <c r="B578" s="141"/>
      <c r="C578" s="141"/>
      <c r="D578" s="141"/>
      <c r="E578" s="141"/>
      <c r="F578" s="141"/>
      <c r="G578" s="141"/>
      <c r="H578" s="141"/>
      <c r="I578" s="141"/>
      <c r="J578" s="141"/>
      <c r="K578" s="141"/>
      <c r="L578" s="141"/>
    </row>
    <row r="579">
      <c r="A579" s="141"/>
      <c r="B579" s="141"/>
      <c r="C579" s="141"/>
      <c r="D579" s="141"/>
      <c r="E579" s="141"/>
      <c r="F579" s="141"/>
      <c r="G579" s="141"/>
      <c r="H579" s="141"/>
      <c r="I579" s="141"/>
      <c r="J579" s="141"/>
      <c r="K579" s="141"/>
      <c r="L579" s="141"/>
    </row>
    <row r="580">
      <c r="A580" s="141"/>
      <c r="B580" s="141"/>
      <c r="C580" s="141"/>
      <c r="D580" s="141"/>
      <c r="E580" s="141"/>
      <c r="F580" s="141"/>
      <c r="G580" s="141"/>
      <c r="H580" s="141"/>
      <c r="I580" s="141"/>
      <c r="J580" s="141"/>
      <c r="K580" s="141"/>
      <c r="L580" s="141"/>
    </row>
    <row r="581">
      <c r="A581" s="141"/>
      <c r="B581" s="141"/>
      <c r="C581" s="141"/>
      <c r="D581" s="141"/>
      <c r="E581" s="141"/>
      <c r="F581" s="141"/>
      <c r="G581" s="141"/>
      <c r="H581" s="141"/>
      <c r="I581" s="141"/>
      <c r="J581" s="141"/>
      <c r="K581" s="141"/>
      <c r="L581" s="141"/>
    </row>
    <row r="582">
      <c r="A582" s="141"/>
      <c r="B582" s="141"/>
      <c r="C582" s="141"/>
      <c r="D582" s="141"/>
      <c r="E582" s="141"/>
      <c r="F582" s="141"/>
      <c r="G582" s="141"/>
      <c r="H582" s="141"/>
      <c r="I582" s="141"/>
      <c r="J582" s="141"/>
      <c r="K582" s="141"/>
      <c r="L582" s="141"/>
    </row>
    <row r="583">
      <c r="A583" s="141"/>
      <c r="B583" s="141"/>
      <c r="C583" s="141"/>
      <c r="D583" s="141"/>
      <c r="E583" s="141"/>
      <c r="F583" s="141"/>
      <c r="G583" s="141"/>
      <c r="H583" s="141"/>
      <c r="I583" s="141"/>
      <c r="J583" s="141"/>
      <c r="K583" s="141"/>
      <c r="L583" s="141"/>
    </row>
    <row r="584">
      <c r="A584" s="141"/>
      <c r="B584" s="141"/>
      <c r="C584" s="141"/>
      <c r="D584" s="141"/>
      <c r="E584" s="141"/>
      <c r="F584" s="141"/>
      <c r="G584" s="141"/>
      <c r="H584" s="141"/>
      <c r="I584" s="141"/>
      <c r="J584" s="141"/>
      <c r="K584" s="141"/>
      <c r="L584" s="141"/>
    </row>
    <row r="585">
      <c r="A585" s="141"/>
      <c r="B585" s="141"/>
      <c r="C585" s="141"/>
      <c r="D585" s="141"/>
      <c r="E585" s="141"/>
      <c r="F585" s="141"/>
      <c r="G585" s="141"/>
      <c r="H585" s="141"/>
      <c r="I585" s="141"/>
      <c r="J585" s="141"/>
      <c r="K585" s="141"/>
      <c r="L585" s="141"/>
    </row>
    <row r="586">
      <c r="A586" s="141"/>
      <c r="B586" s="141"/>
      <c r="C586" s="141"/>
      <c r="D586" s="141"/>
      <c r="E586" s="141"/>
      <c r="F586" s="141"/>
      <c r="G586" s="141"/>
      <c r="H586" s="141"/>
      <c r="I586" s="141"/>
      <c r="J586" s="141"/>
      <c r="K586" s="141"/>
      <c r="L586" s="141"/>
    </row>
    <row r="587">
      <c r="A587" s="141"/>
      <c r="B587" s="141"/>
      <c r="C587" s="141"/>
      <c r="D587" s="141"/>
      <c r="E587" s="141"/>
      <c r="F587" s="141"/>
      <c r="G587" s="141"/>
      <c r="H587" s="141"/>
      <c r="I587" s="141"/>
      <c r="J587" s="141"/>
      <c r="K587" s="141"/>
      <c r="L587" s="141"/>
    </row>
    <row r="588">
      <c r="A588" s="141"/>
      <c r="B588" s="141"/>
      <c r="C588" s="141"/>
      <c r="D588" s="141"/>
      <c r="E588" s="141"/>
      <c r="F588" s="141"/>
      <c r="G588" s="141"/>
      <c r="H588" s="141"/>
      <c r="I588" s="141"/>
      <c r="J588" s="141"/>
      <c r="K588" s="141"/>
      <c r="L588" s="141"/>
    </row>
    <row r="589">
      <c r="A589" s="141"/>
      <c r="B589" s="141"/>
      <c r="C589" s="141"/>
      <c r="D589" s="141"/>
      <c r="E589" s="141"/>
      <c r="F589" s="141"/>
      <c r="G589" s="141"/>
      <c r="H589" s="141"/>
      <c r="I589" s="141"/>
      <c r="J589" s="141"/>
      <c r="K589" s="141"/>
      <c r="L589" s="141"/>
    </row>
    <row r="590">
      <c r="A590" s="141"/>
      <c r="B590" s="141"/>
      <c r="C590" s="141"/>
      <c r="D590" s="141"/>
      <c r="E590" s="141"/>
      <c r="F590" s="141"/>
      <c r="G590" s="141"/>
      <c r="H590" s="141"/>
      <c r="I590" s="141"/>
      <c r="J590" s="141"/>
      <c r="K590" s="141"/>
      <c r="L590" s="141"/>
    </row>
    <row r="591">
      <c r="A591" s="141"/>
      <c r="B591" s="141"/>
      <c r="C591" s="141"/>
      <c r="D591" s="141"/>
      <c r="E591" s="141"/>
      <c r="F591" s="141"/>
      <c r="G591" s="141"/>
      <c r="H591" s="141"/>
      <c r="I591" s="141"/>
      <c r="J591" s="141"/>
      <c r="K591" s="141"/>
      <c r="L591" s="141"/>
    </row>
    <row r="592">
      <c r="A592" s="141"/>
      <c r="B592" s="141"/>
      <c r="C592" s="141"/>
      <c r="D592" s="141"/>
      <c r="E592" s="141"/>
      <c r="F592" s="141"/>
      <c r="G592" s="141"/>
      <c r="H592" s="141"/>
      <c r="I592" s="141"/>
      <c r="J592" s="141"/>
      <c r="K592" s="141"/>
      <c r="L592" s="141"/>
    </row>
    <row r="593">
      <c r="A593" s="141"/>
      <c r="B593" s="141"/>
      <c r="C593" s="141"/>
      <c r="D593" s="141"/>
      <c r="E593" s="141"/>
      <c r="F593" s="141"/>
      <c r="G593" s="141"/>
      <c r="H593" s="141"/>
      <c r="I593" s="141"/>
      <c r="J593" s="141"/>
      <c r="K593" s="141"/>
      <c r="L593" s="141"/>
    </row>
    <row r="594">
      <c r="A594" s="141"/>
      <c r="B594" s="141"/>
      <c r="C594" s="141"/>
      <c r="D594" s="141"/>
      <c r="E594" s="141"/>
      <c r="F594" s="141"/>
      <c r="G594" s="141"/>
      <c r="H594" s="141"/>
      <c r="I594" s="141"/>
      <c r="J594" s="141"/>
      <c r="K594" s="141"/>
      <c r="L594" s="141"/>
    </row>
    <row r="595">
      <c r="A595" s="141"/>
      <c r="B595" s="141"/>
      <c r="C595" s="141"/>
      <c r="D595" s="141"/>
      <c r="E595" s="141"/>
      <c r="F595" s="141"/>
      <c r="G595" s="141"/>
      <c r="H595" s="141"/>
      <c r="I595" s="141"/>
      <c r="J595" s="141"/>
      <c r="K595" s="141"/>
      <c r="L595" s="141"/>
    </row>
    <row r="596">
      <c r="A596" s="141"/>
      <c r="B596" s="141"/>
      <c r="C596" s="141"/>
      <c r="D596" s="141"/>
      <c r="E596" s="141"/>
      <c r="F596" s="141"/>
      <c r="G596" s="141"/>
      <c r="H596" s="141"/>
      <c r="I596" s="141"/>
      <c r="J596" s="141"/>
      <c r="K596" s="141"/>
      <c r="L596" s="141"/>
    </row>
    <row r="597">
      <c r="A597" s="141"/>
      <c r="B597" s="141"/>
      <c r="C597" s="141"/>
      <c r="D597" s="141"/>
      <c r="E597" s="141"/>
      <c r="F597" s="141"/>
      <c r="G597" s="141"/>
      <c r="H597" s="141"/>
      <c r="I597" s="141"/>
      <c r="J597" s="141"/>
      <c r="K597" s="141"/>
      <c r="L597" s="141"/>
    </row>
    <row r="598">
      <c r="A598" s="141"/>
      <c r="B598" s="141"/>
      <c r="C598" s="141"/>
      <c r="D598" s="141"/>
      <c r="E598" s="141"/>
      <c r="F598" s="141"/>
      <c r="G598" s="141"/>
      <c r="H598" s="141"/>
      <c r="I598" s="141"/>
      <c r="J598" s="141"/>
      <c r="K598" s="141"/>
      <c r="L598" s="141"/>
    </row>
    <row r="599">
      <c r="A599" s="141"/>
      <c r="B599" s="141"/>
      <c r="C599" s="141"/>
      <c r="D599" s="141"/>
      <c r="E599" s="141"/>
      <c r="F599" s="141"/>
      <c r="G599" s="141"/>
      <c r="H599" s="141"/>
      <c r="I599" s="141"/>
      <c r="J599" s="141"/>
      <c r="K599" s="141"/>
      <c r="L599" s="141"/>
    </row>
    <row r="600">
      <c r="A600" s="141"/>
      <c r="B600" s="141"/>
      <c r="C600" s="141"/>
      <c r="D600" s="141"/>
      <c r="E600" s="141"/>
      <c r="F600" s="141"/>
      <c r="G600" s="141"/>
      <c r="H600" s="141"/>
      <c r="I600" s="141"/>
      <c r="J600" s="141"/>
      <c r="K600" s="141"/>
      <c r="L600" s="141"/>
    </row>
    <row r="601">
      <c r="A601" s="141"/>
      <c r="B601" s="141"/>
      <c r="C601" s="141"/>
      <c r="D601" s="141"/>
      <c r="E601" s="141"/>
      <c r="F601" s="141"/>
      <c r="G601" s="141"/>
      <c r="H601" s="141"/>
      <c r="I601" s="141"/>
      <c r="J601" s="141"/>
      <c r="K601" s="141"/>
      <c r="L601" s="141"/>
    </row>
    <row r="602">
      <c r="A602" s="141"/>
      <c r="B602" s="141"/>
      <c r="C602" s="141"/>
      <c r="D602" s="141"/>
      <c r="E602" s="141"/>
      <c r="F602" s="141"/>
      <c r="G602" s="141"/>
      <c r="H602" s="141"/>
      <c r="I602" s="141"/>
      <c r="J602" s="141"/>
      <c r="K602" s="141"/>
      <c r="L602" s="141"/>
    </row>
    <row r="603">
      <c r="A603" s="141"/>
      <c r="B603" s="141"/>
      <c r="C603" s="141"/>
      <c r="D603" s="141"/>
      <c r="E603" s="141"/>
      <c r="F603" s="141"/>
      <c r="G603" s="141"/>
      <c r="H603" s="141"/>
      <c r="I603" s="141"/>
      <c r="J603" s="141"/>
      <c r="K603" s="141"/>
      <c r="L603" s="141"/>
    </row>
    <row r="604">
      <c r="A604" s="141"/>
      <c r="B604" s="141"/>
      <c r="C604" s="141"/>
      <c r="D604" s="141"/>
      <c r="E604" s="141"/>
      <c r="F604" s="141"/>
      <c r="G604" s="141"/>
      <c r="H604" s="141"/>
      <c r="I604" s="141"/>
      <c r="J604" s="141"/>
      <c r="K604" s="141"/>
      <c r="L604" s="141"/>
    </row>
    <row r="605">
      <c r="A605" s="141"/>
      <c r="B605" s="141"/>
      <c r="C605" s="141"/>
      <c r="D605" s="141"/>
      <c r="E605" s="141"/>
      <c r="F605" s="141"/>
      <c r="G605" s="141"/>
      <c r="H605" s="141"/>
      <c r="I605" s="141"/>
      <c r="J605" s="141"/>
      <c r="K605" s="141"/>
      <c r="L605" s="141"/>
    </row>
    <row r="606">
      <c r="A606" s="141"/>
      <c r="B606" s="141"/>
      <c r="C606" s="141"/>
      <c r="D606" s="141"/>
      <c r="E606" s="141"/>
      <c r="F606" s="141"/>
      <c r="G606" s="141"/>
      <c r="H606" s="141"/>
      <c r="I606" s="141"/>
      <c r="J606" s="141"/>
      <c r="K606" s="141"/>
      <c r="L606" s="141"/>
    </row>
    <row r="607">
      <c r="A607" s="141"/>
      <c r="B607" s="141"/>
      <c r="C607" s="141"/>
      <c r="D607" s="141"/>
      <c r="E607" s="141"/>
      <c r="F607" s="141"/>
      <c r="G607" s="141"/>
      <c r="H607" s="141"/>
      <c r="I607" s="141"/>
      <c r="J607" s="141"/>
      <c r="K607" s="141"/>
      <c r="L607" s="141"/>
    </row>
    <row r="608">
      <c r="A608" s="141"/>
      <c r="B608" s="141"/>
      <c r="C608" s="141"/>
      <c r="D608" s="141"/>
      <c r="E608" s="141"/>
      <c r="F608" s="141"/>
      <c r="G608" s="141"/>
      <c r="H608" s="141"/>
      <c r="I608" s="141"/>
      <c r="J608" s="141"/>
      <c r="K608" s="141"/>
      <c r="L608" s="141"/>
    </row>
    <row r="609">
      <c r="A609" s="141"/>
      <c r="B609" s="141"/>
      <c r="C609" s="141"/>
      <c r="D609" s="141"/>
      <c r="E609" s="141"/>
      <c r="F609" s="141"/>
      <c r="G609" s="141"/>
      <c r="H609" s="141"/>
      <c r="I609" s="141"/>
      <c r="J609" s="141"/>
      <c r="K609" s="141"/>
      <c r="L609" s="141"/>
    </row>
    <row r="610">
      <c r="A610" s="141"/>
      <c r="B610" s="141"/>
      <c r="C610" s="141"/>
      <c r="D610" s="141"/>
      <c r="E610" s="141"/>
      <c r="F610" s="141"/>
      <c r="G610" s="141"/>
      <c r="H610" s="141"/>
      <c r="I610" s="141"/>
      <c r="J610" s="141"/>
      <c r="K610" s="141"/>
      <c r="L610" s="141"/>
    </row>
    <row r="611">
      <c r="A611" s="141"/>
      <c r="B611" s="141"/>
      <c r="C611" s="141"/>
      <c r="D611" s="141"/>
      <c r="E611" s="141"/>
      <c r="F611" s="141"/>
      <c r="G611" s="141"/>
      <c r="H611" s="141"/>
      <c r="I611" s="141"/>
      <c r="J611" s="141"/>
      <c r="K611" s="141"/>
      <c r="L611" s="141"/>
    </row>
    <row r="612">
      <c r="A612" s="141"/>
      <c r="B612" s="141"/>
      <c r="C612" s="141"/>
      <c r="D612" s="141"/>
      <c r="E612" s="141"/>
      <c r="F612" s="141"/>
      <c r="G612" s="141"/>
      <c r="H612" s="141"/>
      <c r="I612" s="141"/>
      <c r="J612" s="141"/>
      <c r="K612" s="141"/>
      <c r="L612" s="141"/>
    </row>
    <row r="613">
      <c r="A613" s="141"/>
      <c r="B613" s="141"/>
      <c r="C613" s="141"/>
      <c r="D613" s="141"/>
      <c r="E613" s="141"/>
      <c r="F613" s="141"/>
      <c r="G613" s="141"/>
      <c r="H613" s="141"/>
      <c r="I613" s="141"/>
      <c r="J613" s="141"/>
      <c r="K613" s="141"/>
      <c r="L613" s="141"/>
    </row>
    <row r="614">
      <c r="A614" s="141"/>
      <c r="B614" s="141"/>
      <c r="C614" s="141"/>
      <c r="D614" s="141"/>
      <c r="E614" s="141"/>
      <c r="F614" s="141"/>
      <c r="G614" s="141"/>
      <c r="H614" s="141"/>
      <c r="I614" s="141"/>
      <c r="J614" s="141"/>
      <c r="K614" s="141"/>
      <c r="L614" s="141"/>
    </row>
    <row r="615">
      <c r="A615" s="141"/>
      <c r="B615" s="141"/>
      <c r="C615" s="141"/>
      <c r="D615" s="141"/>
      <c r="E615" s="141"/>
      <c r="F615" s="141"/>
      <c r="G615" s="141"/>
      <c r="H615" s="141"/>
      <c r="I615" s="141"/>
      <c r="J615" s="141"/>
      <c r="K615" s="141"/>
      <c r="L615" s="141"/>
    </row>
    <row r="616">
      <c r="A616" s="141"/>
      <c r="B616" s="141"/>
      <c r="C616" s="141"/>
      <c r="D616" s="141"/>
      <c r="E616" s="141"/>
      <c r="F616" s="141"/>
      <c r="G616" s="141"/>
      <c r="H616" s="141"/>
      <c r="I616" s="141"/>
      <c r="J616" s="141"/>
      <c r="K616" s="141"/>
      <c r="L616" s="141"/>
    </row>
    <row r="617">
      <c r="A617" s="141"/>
      <c r="B617" s="141"/>
      <c r="C617" s="141"/>
      <c r="D617" s="141"/>
      <c r="E617" s="141"/>
      <c r="F617" s="141"/>
      <c r="G617" s="141"/>
      <c r="H617" s="141"/>
      <c r="I617" s="141"/>
      <c r="J617" s="141"/>
      <c r="K617" s="141"/>
      <c r="L617" s="141"/>
    </row>
    <row r="618">
      <c r="A618" s="141"/>
      <c r="B618" s="141"/>
      <c r="C618" s="141"/>
      <c r="D618" s="141"/>
      <c r="E618" s="141"/>
      <c r="F618" s="141"/>
      <c r="G618" s="141"/>
      <c r="H618" s="141"/>
      <c r="I618" s="141"/>
      <c r="J618" s="141"/>
      <c r="K618" s="141"/>
      <c r="L618" s="141"/>
    </row>
    <row r="619">
      <c r="A619" s="141"/>
      <c r="B619" s="141"/>
      <c r="C619" s="141"/>
      <c r="D619" s="141"/>
      <c r="E619" s="141"/>
      <c r="F619" s="141"/>
      <c r="G619" s="141"/>
      <c r="H619" s="141"/>
      <c r="I619" s="141"/>
      <c r="J619" s="141"/>
      <c r="K619" s="141"/>
      <c r="L619" s="141"/>
    </row>
    <row r="620">
      <c r="A620" s="141"/>
      <c r="B620" s="141"/>
      <c r="C620" s="141"/>
      <c r="D620" s="141"/>
      <c r="E620" s="141"/>
      <c r="F620" s="141"/>
      <c r="G620" s="141"/>
      <c r="H620" s="141"/>
      <c r="I620" s="141"/>
      <c r="J620" s="141"/>
      <c r="K620" s="141"/>
      <c r="L620" s="141"/>
    </row>
    <row r="621">
      <c r="A621" s="141"/>
      <c r="B621" s="141"/>
      <c r="C621" s="141"/>
      <c r="D621" s="141"/>
      <c r="E621" s="141"/>
      <c r="F621" s="141"/>
      <c r="G621" s="141"/>
      <c r="H621" s="141"/>
      <c r="I621" s="141"/>
      <c r="J621" s="141"/>
      <c r="K621" s="141"/>
      <c r="L621" s="141"/>
    </row>
    <row r="622">
      <c r="A622" s="141"/>
      <c r="B622" s="141"/>
      <c r="C622" s="141"/>
      <c r="D622" s="141"/>
      <c r="E622" s="141"/>
      <c r="F622" s="141"/>
      <c r="G622" s="141"/>
      <c r="H622" s="141"/>
      <c r="I622" s="141"/>
      <c r="J622" s="141"/>
      <c r="K622" s="141"/>
      <c r="L622" s="141"/>
    </row>
    <row r="623">
      <c r="A623" s="141"/>
      <c r="B623" s="141"/>
      <c r="C623" s="141"/>
      <c r="D623" s="141"/>
      <c r="E623" s="141"/>
      <c r="F623" s="141"/>
      <c r="G623" s="141"/>
      <c r="H623" s="141"/>
      <c r="I623" s="141"/>
      <c r="J623" s="141"/>
      <c r="K623" s="141"/>
      <c r="L623" s="141"/>
    </row>
    <row r="624">
      <c r="A624" s="141"/>
      <c r="B624" s="141"/>
      <c r="C624" s="141"/>
      <c r="D624" s="141"/>
      <c r="E624" s="141"/>
      <c r="F624" s="141"/>
      <c r="G624" s="141"/>
      <c r="H624" s="141"/>
      <c r="I624" s="141"/>
      <c r="J624" s="141"/>
      <c r="K624" s="141"/>
      <c r="L624" s="141"/>
    </row>
    <row r="625">
      <c r="A625" s="141"/>
      <c r="B625" s="141"/>
      <c r="C625" s="141"/>
      <c r="D625" s="141"/>
      <c r="E625" s="141"/>
      <c r="F625" s="141"/>
      <c r="G625" s="141"/>
      <c r="H625" s="141"/>
      <c r="I625" s="141"/>
      <c r="J625" s="141"/>
      <c r="K625" s="141"/>
      <c r="L625" s="141"/>
    </row>
    <row r="626">
      <c r="A626" s="141"/>
      <c r="B626" s="141"/>
      <c r="C626" s="141"/>
      <c r="D626" s="141"/>
      <c r="E626" s="141"/>
      <c r="F626" s="141"/>
      <c r="G626" s="141"/>
      <c r="H626" s="141"/>
      <c r="I626" s="141"/>
      <c r="J626" s="141"/>
      <c r="K626" s="141"/>
      <c r="L626" s="141"/>
    </row>
    <row r="627">
      <c r="A627" s="141"/>
      <c r="B627" s="141"/>
      <c r="C627" s="141"/>
      <c r="D627" s="141"/>
      <c r="E627" s="141"/>
      <c r="F627" s="141"/>
      <c r="G627" s="141"/>
      <c r="H627" s="141"/>
      <c r="I627" s="141"/>
      <c r="J627" s="141"/>
      <c r="K627" s="141"/>
      <c r="L627" s="141"/>
    </row>
    <row r="628">
      <c r="A628" s="141"/>
      <c r="B628" s="141"/>
      <c r="C628" s="141"/>
      <c r="D628" s="141"/>
      <c r="E628" s="141"/>
      <c r="F628" s="141"/>
      <c r="G628" s="141"/>
      <c r="H628" s="141"/>
      <c r="I628" s="141"/>
      <c r="J628" s="141"/>
      <c r="K628" s="141"/>
      <c r="L628" s="141"/>
    </row>
    <row r="629">
      <c r="A629" s="141"/>
      <c r="B629" s="141"/>
      <c r="C629" s="141"/>
      <c r="D629" s="141"/>
      <c r="E629" s="141"/>
      <c r="F629" s="141"/>
      <c r="G629" s="141"/>
      <c r="H629" s="141"/>
      <c r="I629" s="141"/>
      <c r="J629" s="141"/>
      <c r="K629" s="141"/>
      <c r="L629" s="141"/>
    </row>
    <row r="630">
      <c r="A630" s="141"/>
      <c r="B630" s="141"/>
      <c r="C630" s="141"/>
      <c r="D630" s="141"/>
      <c r="E630" s="141"/>
      <c r="F630" s="141"/>
      <c r="G630" s="141"/>
      <c r="H630" s="141"/>
      <c r="I630" s="141"/>
      <c r="J630" s="141"/>
      <c r="K630" s="141"/>
      <c r="L630" s="141"/>
    </row>
    <row r="631">
      <c r="A631" s="141"/>
      <c r="B631" s="141"/>
      <c r="C631" s="141"/>
      <c r="D631" s="141"/>
      <c r="E631" s="141"/>
      <c r="F631" s="141"/>
      <c r="G631" s="141"/>
      <c r="H631" s="141"/>
      <c r="I631" s="141"/>
      <c r="J631" s="141"/>
      <c r="K631" s="141"/>
      <c r="L631" s="141"/>
    </row>
    <row r="632">
      <c r="A632" s="141"/>
      <c r="B632" s="141"/>
      <c r="C632" s="141"/>
      <c r="D632" s="141"/>
      <c r="E632" s="141"/>
      <c r="F632" s="141"/>
      <c r="G632" s="141"/>
      <c r="H632" s="141"/>
      <c r="I632" s="141"/>
      <c r="J632" s="141"/>
      <c r="K632" s="141"/>
      <c r="L632" s="141"/>
    </row>
    <row r="633">
      <c r="A633" s="141"/>
      <c r="B633" s="141"/>
      <c r="C633" s="141"/>
      <c r="D633" s="141"/>
      <c r="E633" s="141"/>
      <c r="F633" s="141"/>
      <c r="G633" s="141"/>
      <c r="H633" s="141"/>
      <c r="I633" s="141"/>
      <c r="J633" s="141"/>
      <c r="K633" s="141"/>
      <c r="L633" s="141"/>
    </row>
    <row r="634">
      <c r="A634" s="141"/>
      <c r="B634" s="141"/>
      <c r="C634" s="141"/>
      <c r="D634" s="141"/>
      <c r="E634" s="141"/>
      <c r="F634" s="141"/>
      <c r="G634" s="141"/>
      <c r="H634" s="141"/>
      <c r="I634" s="141"/>
      <c r="J634" s="141"/>
      <c r="K634" s="141"/>
      <c r="L634" s="141"/>
    </row>
    <row r="635">
      <c r="A635" s="141"/>
      <c r="B635" s="141"/>
      <c r="C635" s="141"/>
      <c r="D635" s="141"/>
      <c r="E635" s="141"/>
      <c r="F635" s="141"/>
      <c r="G635" s="141"/>
      <c r="H635" s="141"/>
      <c r="I635" s="141"/>
      <c r="J635" s="141"/>
      <c r="K635" s="141"/>
      <c r="L635" s="141"/>
    </row>
    <row r="636">
      <c r="A636" s="141"/>
      <c r="B636" s="141"/>
      <c r="C636" s="141"/>
      <c r="D636" s="141"/>
      <c r="E636" s="141"/>
      <c r="F636" s="141"/>
      <c r="G636" s="141"/>
      <c r="H636" s="141"/>
      <c r="I636" s="141"/>
      <c r="J636" s="141"/>
      <c r="K636" s="141"/>
      <c r="L636" s="141"/>
    </row>
    <row r="637">
      <c r="A637" s="141"/>
      <c r="B637" s="141"/>
      <c r="C637" s="141"/>
      <c r="D637" s="141"/>
      <c r="E637" s="141"/>
      <c r="F637" s="141"/>
      <c r="G637" s="141"/>
      <c r="H637" s="141"/>
      <c r="I637" s="141"/>
      <c r="J637" s="141"/>
      <c r="K637" s="141"/>
      <c r="L637" s="141"/>
    </row>
    <row r="638">
      <c r="A638" s="141"/>
      <c r="B638" s="141"/>
      <c r="C638" s="141"/>
      <c r="D638" s="141"/>
      <c r="E638" s="141"/>
      <c r="F638" s="141"/>
      <c r="G638" s="141"/>
      <c r="H638" s="141"/>
      <c r="I638" s="141"/>
      <c r="J638" s="141"/>
      <c r="K638" s="141"/>
      <c r="L638" s="141"/>
    </row>
    <row r="639">
      <c r="A639" s="141"/>
      <c r="B639" s="141"/>
      <c r="C639" s="141"/>
      <c r="D639" s="141"/>
      <c r="E639" s="141"/>
      <c r="F639" s="141"/>
      <c r="G639" s="141"/>
      <c r="H639" s="141"/>
      <c r="I639" s="141"/>
      <c r="J639" s="141"/>
      <c r="K639" s="141"/>
      <c r="L639" s="141"/>
    </row>
    <row r="640">
      <c r="A640" s="141"/>
      <c r="B640" s="141"/>
      <c r="C640" s="141"/>
      <c r="D640" s="141"/>
      <c r="E640" s="141"/>
      <c r="F640" s="141"/>
      <c r="G640" s="141"/>
      <c r="H640" s="141"/>
      <c r="I640" s="141"/>
      <c r="J640" s="141"/>
      <c r="K640" s="141"/>
      <c r="L640" s="141"/>
    </row>
    <row r="641">
      <c r="A641" s="141"/>
      <c r="B641" s="141"/>
      <c r="C641" s="141"/>
      <c r="D641" s="141"/>
      <c r="E641" s="141"/>
      <c r="F641" s="141"/>
      <c r="G641" s="141"/>
      <c r="H641" s="141"/>
      <c r="I641" s="141"/>
      <c r="J641" s="141"/>
      <c r="K641" s="141"/>
      <c r="L641" s="141"/>
    </row>
    <row r="642">
      <c r="A642" s="141"/>
      <c r="B642" s="141"/>
      <c r="C642" s="141"/>
      <c r="D642" s="141"/>
      <c r="E642" s="141"/>
      <c r="F642" s="141"/>
      <c r="G642" s="141"/>
      <c r="H642" s="141"/>
      <c r="I642" s="141"/>
      <c r="J642" s="141"/>
      <c r="K642" s="141"/>
      <c r="L642" s="141"/>
    </row>
    <row r="643">
      <c r="A643" s="141"/>
      <c r="B643" s="141"/>
      <c r="C643" s="141"/>
      <c r="D643" s="141"/>
      <c r="E643" s="141"/>
      <c r="F643" s="141"/>
      <c r="G643" s="141"/>
      <c r="H643" s="141"/>
      <c r="I643" s="141"/>
      <c r="J643" s="141"/>
      <c r="K643" s="141"/>
      <c r="L643" s="141"/>
    </row>
    <row r="644">
      <c r="A644" s="141"/>
      <c r="B644" s="141"/>
      <c r="C644" s="141"/>
      <c r="D644" s="141"/>
      <c r="E644" s="141"/>
      <c r="F644" s="141"/>
      <c r="G644" s="141"/>
      <c r="H644" s="141"/>
      <c r="I644" s="141"/>
      <c r="J644" s="141"/>
      <c r="K644" s="141"/>
      <c r="L644" s="141"/>
    </row>
    <row r="645">
      <c r="A645" s="141"/>
      <c r="B645" s="141"/>
      <c r="C645" s="141"/>
      <c r="D645" s="141"/>
      <c r="E645" s="141"/>
      <c r="F645" s="141"/>
      <c r="G645" s="141"/>
      <c r="H645" s="141"/>
      <c r="I645" s="141"/>
      <c r="J645" s="141"/>
      <c r="K645" s="141"/>
      <c r="L645" s="141"/>
    </row>
    <row r="646">
      <c r="A646" s="141"/>
      <c r="B646" s="141"/>
      <c r="C646" s="141"/>
      <c r="D646" s="141"/>
      <c r="E646" s="141"/>
      <c r="F646" s="141"/>
      <c r="G646" s="141"/>
      <c r="H646" s="141"/>
      <c r="I646" s="141"/>
      <c r="J646" s="141"/>
      <c r="K646" s="141"/>
      <c r="L646" s="141"/>
    </row>
    <row r="647">
      <c r="A647" s="141"/>
      <c r="B647" s="141"/>
      <c r="C647" s="141"/>
      <c r="D647" s="141"/>
      <c r="E647" s="141"/>
      <c r="F647" s="141"/>
      <c r="G647" s="141"/>
      <c r="H647" s="141"/>
      <c r="I647" s="141"/>
      <c r="J647" s="141"/>
      <c r="K647" s="141"/>
      <c r="L647" s="141"/>
    </row>
    <row r="648">
      <c r="A648" s="141"/>
      <c r="B648" s="141"/>
      <c r="C648" s="141"/>
      <c r="D648" s="141"/>
      <c r="E648" s="141"/>
      <c r="F648" s="141"/>
      <c r="G648" s="141"/>
      <c r="H648" s="141"/>
      <c r="I648" s="141"/>
      <c r="J648" s="141"/>
      <c r="K648" s="141"/>
      <c r="L648" s="141"/>
    </row>
    <row r="649">
      <c r="A649" s="141"/>
      <c r="B649" s="141"/>
      <c r="C649" s="141"/>
      <c r="D649" s="141"/>
      <c r="E649" s="141"/>
      <c r="F649" s="141"/>
      <c r="G649" s="141"/>
      <c r="H649" s="141"/>
      <c r="I649" s="141"/>
      <c r="J649" s="141"/>
      <c r="K649" s="141"/>
      <c r="L649" s="141"/>
    </row>
    <row r="650">
      <c r="A650" s="141"/>
      <c r="B650" s="141"/>
      <c r="C650" s="141"/>
      <c r="D650" s="141"/>
      <c r="E650" s="141"/>
      <c r="F650" s="141"/>
      <c r="G650" s="141"/>
      <c r="H650" s="141"/>
      <c r="I650" s="141"/>
      <c r="J650" s="141"/>
      <c r="K650" s="141"/>
      <c r="L650" s="141"/>
    </row>
    <row r="651">
      <c r="A651" s="141"/>
      <c r="B651" s="141"/>
      <c r="C651" s="141"/>
      <c r="D651" s="141"/>
      <c r="E651" s="141"/>
      <c r="F651" s="141"/>
      <c r="G651" s="141"/>
      <c r="H651" s="141"/>
      <c r="I651" s="141"/>
      <c r="J651" s="141"/>
      <c r="K651" s="141"/>
      <c r="L651" s="141"/>
    </row>
    <row r="652">
      <c r="A652" s="141"/>
      <c r="B652" s="141"/>
      <c r="C652" s="141"/>
      <c r="D652" s="141"/>
      <c r="E652" s="141"/>
      <c r="F652" s="141"/>
      <c r="G652" s="141"/>
      <c r="H652" s="141"/>
      <c r="I652" s="141"/>
      <c r="J652" s="141"/>
      <c r="K652" s="141"/>
      <c r="L652" s="141"/>
    </row>
    <row r="653">
      <c r="A653" s="141"/>
      <c r="B653" s="141"/>
      <c r="C653" s="141"/>
      <c r="D653" s="141"/>
      <c r="E653" s="141"/>
      <c r="F653" s="141"/>
      <c r="G653" s="141"/>
      <c r="H653" s="141"/>
      <c r="I653" s="141"/>
      <c r="J653" s="141"/>
      <c r="K653" s="141"/>
      <c r="L653" s="141"/>
    </row>
    <row r="654">
      <c r="A654" s="141"/>
      <c r="B654" s="141"/>
      <c r="C654" s="141"/>
      <c r="D654" s="141"/>
      <c r="E654" s="141"/>
      <c r="F654" s="141"/>
      <c r="G654" s="141"/>
      <c r="H654" s="141"/>
      <c r="I654" s="141"/>
      <c r="J654" s="141"/>
      <c r="K654" s="141"/>
      <c r="L654" s="141"/>
    </row>
    <row r="655">
      <c r="A655" s="141"/>
      <c r="B655" s="141"/>
      <c r="C655" s="141"/>
      <c r="D655" s="141"/>
      <c r="E655" s="141"/>
      <c r="F655" s="141"/>
      <c r="G655" s="141"/>
      <c r="H655" s="141"/>
      <c r="I655" s="141"/>
      <c r="J655" s="141"/>
      <c r="K655" s="141"/>
      <c r="L655" s="141"/>
    </row>
    <row r="656">
      <c r="A656" s="141"/>
      <c r="B656" s="141"/>
      <c r="C656" s="141"/>
      <c r="D656" s="141"/>
      <c r="E656" s="141"/>
      <c r="F656" s="141"/>
      <c r="G656" s="141"/>
      <c r="H656" s="141"/>
      <c r="I656" s="141"/>
      <c r="J656" s="141"/>
      <c r="K656" s="141"/>
      <c r="L656" s="141"/>
    </row>
    <row r="657">
      <c r="A657" s="141"/>
      <c r="B657" s="141"/>
      <c r="C657" s="141"/>
      <c r="D657" s="141"/>
      <c r="E657" s="141"/>
      <c r="F657" s="141"/>
      <c r="G657" s="141"/>
      <c r="H657" s="141"/>
      <c r="I657" s="141"/>
      <c r="J657" s="141"/>
      <c r="K657" s="141"/>
      <c r="L657" s="141"/>
    </row>
    <row r="658">
      <c r="A658" s="141"/>
      <c r="B658" s="141"/>
      <c r="C658" s="141"/>
      <c r="D658" s="141"/>
      <c r="E658" s="141"/>
      <c r="F658" s="141"/>
      <c r="G658" s="141"/>
      <c r="H658" s="141"/>
      <c r="I658" s="141"/>
      <c r="J658" s="141"/>
      <c r="K658" s="141"/>
      <c r="L658" s="141"/>
    </row>
    <row r="659">
      <c r="A659" s="141"/>
      <c r="B659" s="141"/>
      <c r="C659" s="141"/>
      <c r="D659" s="141"/>
      <c r="E659" s="141"/>
      <c r="F659" s="141"/>
      <c r="G659" s="141"/>
      <c r="H659" s="141"/>
      <c r="I659" s="141"/>
      <c r="J659" s="141"/>
      <c r="K659" s="141"/>
      <c r="L659" s="141"/>
    </row>
    <row r="660">
      <c r="A660" s="141"/>
      <c r="B660" s="141"/>
      <c r="C660" s="141"/>
      <c r="D660" s="141"/>
      <c r="E660" s="141"/>
      <c r="F660" s="141"/>
      <c r="G660" s="141"/>
      <c r="H660" s="141"/>
      <c r="I660" s="141"/>
      <c r="J660" s="141"/>
      <c r="K660" s="141"/>
      <c r="L660" s="141"/>
    </row>
    <row r="661">
      <c r="A661" s="141"/>
      <c r="B661" s="141"/>
      <c r="C661" s="141"/>
      <c r="D661" s="141"/>
      <c r="E661" s="141"/>
      <c r="F661" s="141"/>
      <c r="G661" s="141"/>
      <c r="H661" s="141"/>
      <c r="I661" s="141"/>
      <c r="J661" s="141"/>
      <c r="K661" s="141"/>
      <c r="L661" s="141"/>
    </row>
    <row r="662">
      <c r="A662" s="141"/>
      <c r="B662" s="141"/>
      <c r="C662" s="141"/>
      <c r="D662" s="141"/>
      <c r="E662" s="141"/>
      <c r="F662" s="141"/>
      <c r="G662" s="141"/>
      <c r="H662" s="141"/>
      <c r="I662" s="141"/>
      <c r="J662" s="141"/>
      <c r="K662" s="141"/>
      <c r="L662" s="141"/>
    </row>
    <row r="663">
      <c r="A663" s="141"/>
      <c r="B663" s="141"/>
      <c r="C663" s="141"/>
      <c r="D663" s="141"/>
      <c r="E663" s="141"/>
      <c r="F663" s="141"/>
      <c r="G663" s="141"/>
      <c r="H663" s="141"/>
      <c r="I663" s="141"/>
      <c r="J663" s="141"/>
      <c r="K663" s="141"/>
      <c r="L663" s="141"/>
    </row>
    <row r="664">
      <c r="A664" s="141"/>
      <c r="B664" s="141"/>
      <c r="C664" s="141"/>
      <c r="D664" s="141"/>
      <c r="E664" s="141"/>
      <c r="F664" s="141"/>
      <c r="G664" s="141"/>
      <c r="H664" s="141"/>
      <c r="I664" s="141"/>
      <c r="J664" s="141"/>
      <c r="K664" s="141"/>
      <c r="L664" s="141"/>
    </row>
    <row r="665">
      <c r="A665" s="141"/>
      <c r="B665" s="141"/>
      <c r="C665" s="141"/>
      <c r="D665" s="141"/>
      <c r="E665" s="141"/>
      <c r="F665" s="141"/>
      <c r="G665" s="141"/>
      <c r="H665" s="141"/>
      <c r="I665" s="141"/>
      <c r="J665" s="141"/>
      <c r="K665" s="141"/>
      <c r="L665" s="141"/>
    </row>
    <row r="666">
      <c r="A666" s="141"/>
      <c r="B666" s="141"/>
      <c r="C666" s="141"/>
      <c r="D666" s="141"/>
      <c r="E666" s="141"/>
      <c r="F666" s="141"/>
      <c r="G666" s="141"/>
      <c r="H666" s="141"/>
      <c r="I666" s="141"/>
      <c r="J666" s="141"/>
      <c r="K666" s="141"/>
      <c r="L666" s="141"/>
    </row>
    <row r="667">
      <c r="A667" s="141"/>
      <c r="B667" s="141"/>
      <c r="C667" s="141"/>
      <c r="D667" s="141"/>
      <c r="E667" s="141"/>
      <c r="F667" s="141"/>
      <c r="G667" s="141"/>
      <c r="H667" s="141"/>
      <c r="I667" s="141"/>
      <c r="J667" s="141"/>
      <c r="K667" s="141"/>
      <c r="L667" s="141"/>
    </row>
    <row r="668">
      <c r="A668" s="141"/>
      <c r="B668" s="141"/>
      <c r="C668" s="141"/>
      <c r="D668" s="141"/>
      <c r="E668" s="141"/>
      <c r="F668" s="141"/>
      <c r="G668" s="141"/>
      <c r="H668" s="141"/>
      <c r="I668" s="141"/>
      <c r="J668" s="141"/>
      <c r="K668" s="141"/>
      <c r="L668" s="141"/>
    </row>
    <row r="669">
      <c r="A669" s="141"/>
      <c r="B669" s="141"/>
      <c r="C669" s="141"/>
      <c r="D669" s="141"/>
      <c r="E669" s="141"/>
      <c r="F669" s="141"/>
      <c r="G669" s="141"/>
      <c r="H669" s="141"/>
      <c r="I669" s="141"/>
      <c r="J669" s="141"/>
      <c r="K669" s="141"/>
      <c r="L669" s="141"/>
    </row>
    <row r="670">
      <c r="A670" s="141"/>
      <c r="B670" s="141"/>
      <c r="C670" s="141"/>
      <c r="D670" s="141"/>
      <c r="E670" s="141"/>
      <c r="F670" s="141"/>
      <c r="G670" s="141"/>
      <c r="H670" s="141"/>
      <c r="I670" s="141"/>
      <c r="J670" s="141"/>
      <c r="K670" s="141"/>
      <c r="L670" s="141"/>
    </row>
    <row r="671">
      <c r="A671" s="141"/>
      <c r="B671" s="141"/>
      <c r="C671" s="141"/>
      <c r="D671" s="141"/>
      <c r="E671" s="141"/>
      <c r="F671" s="141"/>
      <c r="G671" s="141"/>
      <c r="H671" s="141"/>
      <c r="I671" s="141"/>
      <c r="J671" s="141"/>
      <c r="K671" s="141"/>
      <c r="L671" s="141"/>
    </row>
    <row r="672">
      <c r="A672" s="141"/>
      <c r="B672" s="141"/>
      <c r="C672" s="141"/>
      <c r="D672" s="141"/>
      <c r="E672" s="141"/>
      <c r="F672" s="141"/>
      <c r="G672" s="141"/>
      <c r="H672" s="141"/>
      <c r="I672" s="141"/>
      <c r="J672" s="141"/>
      <c r="K672" s="141"/>
      <c r="L672" s="141"/>
    </row>
    <row r="673">
      <c r="A673" s="141"/>
      <c r="B673" s="141"/>
      <c r="C673" s="141"/>
      <c r="D673" s="141"/>
      <c r="E673" s="141"/>
      <c r="F673" s="141"/>
      <c r="G673" s="141"/>
      <c r="H673" s="141"/>
      <c r="I673" s="141"/>
      <c r="J673" s="141"/>
      <c r="K673" s="141"/>
      <c r="L673" s="141"/>
    </row>
    <row r="674">
      <c r="A674" s="141"/>
      <c r="B674" s="141"/>
      <c r="C674" s="141"/>
      <c r="D674" s="141"/>
      <c r="E674" s="141"/>
      <c r="F674" s="141"/>
      <c r="G674" s="141"/>
      <c r="H674" s="141"/>
      <c r="I674" s="141"/>
      <c r="J674" s="141"/>
      <c r="K674" s="141"/>
      <c r="L674" s="141"/>
    </row>
    <row r="675">
      <c r="A675" s="141"/>
      <c r="B675" s="141"/>
      <c r="C675" s="141"/>
      <c r="D675" s="141"/>
      <c r="E675" s="141"/>
      <c r="F675" s="141"/>
      <c r="G675" s="141"/>
      <c r="H675" s="141"/>
      <c r="I675" s="141"/>
      <c r="J675" s="141"/>
      <c r="K675" s="141"/>
      <c r="L675" s="141"/>
    </row>
    <row r="676">
      <c r="A676" s="141"/>
      <c r="B676" s="141"/>
      <c r="C676" s="141"/>
      <c r="D676" s="141"/>
      <c r="E676" s="141"/>
      <c r="F676" s="141"/>
      <c r="G676" s="141"/>
      <c r="H676" s="141"/>
      <c r="I676" s="141"/>
      <c r="J676" s="141"/>
      <c r="K676" s="141"/>
      <c r="L676" s="141"/>
    </row>
    <row r="677">
      <c r="A677" s="141"/>
      <c r="B677" s="141"/>
      <c r="C677" s="141"/>
      <c r="D677" s="141"/>
      <c r="E677" s="141"/>
      <c r="F677" s="141"/>
      <c r="G677" s="141"/>
      <c r="H677" s="141"/>
      <c r="I677" s="141"/>
      <c r="J677" s="141"/>
      <c r="K677" s="141"/>
      <c r="L677" s="141"/>
    </row>
    <row r="678">
      <c r="A678" s="141"/>
      <c r="B678" s="141"/>
      <c r="C678" s="141"/>
      <c r="D678" s="141"/>
      <c r="E678" s="141"/>
      <c r="F678" s="141"/>
      <c r="G678" s="141"/>
      <c r="H678" s="141"/>
      <c r="I678" s="141"/>
      <c r="J678" s="141"/>
      <c r="K678" s="141"/>
      <c r="L678" s="141"/>
    </row>
    <row r="679">
      <c r="A679" s="141"/>
      <c r="B679" s="141"/>
      <c r="C679" s="141"/>
      <c r="D679" s="141"/>
      <c r="E679" s="141"/>
      <c r="F679" s="141"/>
      <c r="G679" s="141"/>
      <c r="H679" s="141"/>
      <c r="I679" s="141"/>
      <c r="J679" s="141"/>
      <c r="K679" s="141"/>
      <c r="L679" s="141"/>
    </row>
    <row r="680">
      <c r="A680" s="141"/>
      <c r="B680" s="141"/>
      <c r="C680" s="141"/>
      <c r="D680" s="141"/>
      <c r="E680" s="141"/>
      <c r="F680" s="141"/>
      <c r="G680" s="141"/>
      <c r="H680" s="141"/>
      <c r="I680" s="141"/>
      <c r="J680" s="141"/>
      <c r="K680" s="141"/>
      <c r="L680" s="141"/>
    </row>
    <row r="681">
      <c r="A681" s="141"/>
      <c r="B681" s="141"/>
      <c r="C681" s="141"/>
      <c r="D681" s="141"/>
      <c r="E681" s="141"/>
      <c r="F681" s="141"/>
      <c r="G681" s="141"/>
      <c r="H681" s="141"/>
      <c r="I681" s="141"/>
      <c r="J681" s="141"/>
      <c r="K681" s="141"/>
      <c r="L681" s="141"/>
    </row>
    <row r="682">
      <c r="A682" s="141"/>
      <c r="B682" s="141"/>
      <c r="C682" s="141"/>
      <c r="D682" s="141"/>
      <c r="E682" s="141"/>
      <c r="F682" s="141"/>
      <c r="G682" s="141"/>
      <c r="H682" s="141"/>
      <c r="I682" s="141"/>
      <c r="J682" s="141"/>
      <c r="K682" s="141"/>
      <c r="L682" s="141"/>
    </row>
    <row r="683">
      <c r="A683" s="141"/>
      <c r="B683" s="141"/>
      <c r="C683" s="141"/>
      <c r="D683" s="141"/>
      <c r="E683" s="141"/>
      <c r="F683" s="141"/>
      <c r="G683" s="141"/>
      <c r="H683" s="141"/>
      <c r="I683" s="141"/>
      <c r="J683" s="141"/>
      <c r="K683" s="141"/>
      <c r="L683" s="141"/>
    </row>
    <row r="684">
      <c r="A684" s="141"/>
      <c r="B684" s="141"/>
      <c r="C684" s="141"/>
      <c r="D684" s="141"/>
      <c r="E684" s="141"/>
      <c r="F684" s="141"/>
      <c r="G684" s="141"/>
      <c r="H684" s="141"/>
      <c r="I684" s="141"/>
      <c r="J684" s="141"/>
      <c r="K684" s="141"/>
      <c r="L684" s="141"/>
    </row>
    <row r="685">
      <c r="A685" s="141"/>
      <c r="B685" s="141"/>
      <c r="C685" s="141"/>
      <c r="D685" s="141"/>
      <c r="E685" s="141"/>
      <c r="F685" s="141"/>
      <c r="G685" s="141"/>
      <c r="H685" s="141"/>
      <c r="I685" s="141"/>
      <c r="J685" s="141"/>
      <c r="K685" s="141"/>
      <c r="L685" s="141"/>
    </row>
    <row r="686">
      <c r="A686" s="141"/>
      <c r="B686" s="141"/>
      <c r="C686" s="141"/>
      <c r="D686" s="141"/>
      <c r="E686" s="141"/>
      <c r="F686" s="141"/>
      <c r="G686" s="141"/>
      <c r="H686" s="141"/>
      <c r="I686" s="141"/>
      <c r="J686" s="141"/>
      <c r="K686" s="141"/>
      <c r="L686" s="141"/>
    </row>
    <row r="687">
      <c r="A687" s="141"/>
      <c r="B687" s="141"/>
      <c r="C687" s="141"/>
      <c r="D687" s="141"/>
      <c r="E687" s="141"/>
      <c r="F687" s="141"/>
      <c r="G687" s="141"/>
      <c r="H687" s="141"/>
      <c r="I687" s="141"/>
      <c r="J687" s="141"/>
      <c r="K687" s="141"/>
      <c r="L687" s="141"/>
    </row>
    <row r="688">
      <c r="A688" s="141"/>
      <c r="B688" s="141"/>
      <c r="C688" s="141"/>
      <c r="D688" s="141"/>
      <c r="E688" s="141"/>
      <c r="F688" s="141"/>
      <c r="G688" s="141"/>
      <c r="H688" s="141"/>
      <c r="I688" s="141"/>
      <c r="J688" s="141"/>
      <c r="K688" s="141"/>
      <c r="L688" s="141"/>
    </row>
    <row r="689">
      <c r="A689" s="141"/>
      <c r="B689" s="141"/>
      <c r="C689" s="141"/>
      <c r="D689" s="141"/>
      <c r="E689" s="141"/>
      <c r="F689" s="141"/>
      <c r="G689" s="141"/>
      <c r="H689" s="141"/>
      <c r="I689" s="141"/>
      <c r="J689" s="141"/>
      <c r="K689" s="141"/>
      <c r="L689" s="141"/>
    </row>
    <row r="690">
      <c r="A690" s="141"/>
      <c r="B690" s="141"/>
      <c r="C690" s="141"/>
      <c r="D690" s="141"/>
      <c r="E690" s="141"/>
      <c r="F690" s="141"/>
      <c r="G690" s="141"/>
      <c r="H690" s="141"/>
      <c r="I690" s="141"/>
      <c r="J690" s="141"/>
      <c r="K690" s="141"/>
      <c r="L690" s="141"/>
    </row>
    <row r="691">
      <c r="A691" s="141"/>
      <c r="B691" s="141"/>
      <c r="C691" s="141"/>
      <c r="D691" s="141"/>
      <c r="E691" s="141"/>
      <c r="F691" s="141"/>
      <c r="G691" s="141"/>
      <c r="H691" s="141"/>
      <c r="I691" s="141"/>
      <c r="J691" s="141"/>
      <c r="K691" s="141"/>
      <c r="L691" s="141"/>
    </row>
    <row r="692">
      <c r="A692" s="141"/>
      <c r="B692" s="141"/>
      <c r="C692" s="141"/>
      <c r="D692" s="141"/>
      <c r="E692" s="141"/>
      <c r="F692" s="141"/>
      <c r="G692" s="141"/>
      <c r="H692" s="141"/>
      <c r="I692" s="141"/>
      <c r="J692" s="141"/>
      <c r="K692" s="141"/>
      <c r="L692" s="141"/>
    </row>
    <row r="693">
      <c r="A693" s="141"/>
      <c r="B693" s="141"/>
      <c r="C693" s="141"/>
      <c r="D693" s="141"/>
      <c r="E693" s="141"/>
      <c r="F693" s="141"/>
      <c r="G693" s="141"/>
      <c r="H693" s="141"/>
      <c r="I693" s="141"/>
      <c r="J693" s="141"/>
      <c r="K693" s="141"/>
      <c r="L693" s="141"/>
    </row>
    <row r="694">
      <c r="A694" s="141"/>
      <c r="B694" s="141"/>
      <c r="C694" s="141"/>
      <c r="D694" s="141"/>
      <c r="E694" s="141"/>
      <c r="F694" s="141"/>
      <c r="G694" s="141"/>
      <c r="H694" s="141"/>
      <c r="I694" s="141"/>
      <c r="J694" s="141"/>
      <c r="K694" s="141"/>
      <c r="L694" s="141"/>
    </row>
    <row r="695">
      <c r="A695" s="141"/>
      <c r="B695" s="141"/>
      <c r="C695" s="141"/>
      <c r="D695" s="141"/>
      <c r="E695" s="141"/>
      <c r="F695" s="141"/>
      <c r="G695" s="141"/>
      <c r="H695" s="141"/>
      <c r="I695" s="141"/>
      <c r="J695" s="141"/>
      <c r="K695" s="141"/>
      <c r="L695" s="141"/>
    </row>
    <row r="696">
      <c r="A696" s="141"/>
      <c r="B696" s="141"/>
      <c r="C696" s="141"/>
      <c r="D696" s="141"/>
      <c r="E696" s="141"/>
      <c r="F696" s="141"/>
      <c r="G696" s="141"/>
      <c r="H696" s="141"/>
      <c r="I696" s="141"/>
      <c r="J696" s="141"/>
      <c r="K696" s="141"/>
      <c r="L696" s="141"/>
    </row>
    <row r="697">
      <c r="A697" s="141"/>
      <c r="B697" s="141"/>
      <c r="C697" s="141"/>
      <c r="D697" s="141"/>
      <c r="E697" s="141"/>
      <c r="F697" s="141"/>
      <c r="G697" s="141"/>
      <c r="H697" s="141"/>
      <c r="I697" s="141"/>
      <c r="J697" s="141"/>
      <c r="K697" s="141"/>
      <c r="L697" s="141"/>
    </row>
    <row r="698">
      <c r="A698" s="141"/>
      <c r="B698" s="141"/>
      <c r="C698" s="141"/>
      <c r="D698" s="141"/>
      <c r="E698" s="141"/>
      <c r="F698" s="141"/>
      <c r="G698" s="141"/>
      <c r="H698" s="141"/>
      <c r="I698" s="141"/>
      <c r="J698" s="141"/>
      <c r="K698" s="141"/>
      <c r="L698" s="141"/>
    </row>
    <row r="699">
      <c r="A699" s="141"/>
      <c r="B699" s="141"/>
      <c r="C699" s="141"/>
      <c r="D699" s="141"/>
      <c r="E699" s="141"/>
      <c r="F699" s="141"/>
      <c r="G699" s="141"/>
      <c r="H699" s="141"/>
      <c r="I699" s="141"/>
      <c r="J699" s="141"/>
      <c r="K699" s="141"/>
      <c r="L699" s="141"/>
    </row>
    <row r="700">
      <c r="A700" s="141"/>
      <c r="B700" s="141"/>
      <c r="C700" s="141"/>
      <c r="D700" s="141"/>
      <c r="E700" s="141"/>
      <c r="F700" s="141"/>
      <c r="G700" s="141"/>
      <c r="H700" s="141"/>
      <c r="I700" s="141"/>
      <c r="J700" s="141"/>
      <c r="K700" s="141"/>
      <c r="L700" s="141"/>
    </row>
    <row r="701">
      <c r="A701" s="141"/>
      <c r="B701" s="141"/>
      <c r="C701" s="141"/>
      <c r="D701" s="141"/>
      <c r="E701" s="141"/>
      <c r="F701" s="141"/>
      <c r="G701" s="141"/>
      <c r="H701" s="141"/>
      <c r="I701" s="141"/>
      <c r="J701" s="141"/>
      <c r="K701" s="141"/>
      <c r="L701" s="141"/>
    </row>
    <row r="702">
      <c r="A702" s="141"/>
      <c r="B702" s="141"/>
      <c r="C702" s="141"/>
      <c r="D702" s="141"/>
      <c r="E702" s="141"/>
      <c r="F702" s="141"/>
      <c r="G702" s="141"/>
      <c r="H702" s="141"/>
      <c r="I702" s="141"/>
      <c r="J702" s="141"/>
      <c r="K702" s="141"/>
      <c r="L702" s="141"/>
    </row>
    <row r="703">
      <c r="A703" s="141"/>
      <c r="B703" s="141"/>
      <c r="C703" s="141"/>
      <c r="D703" s="141"/>
      <c r="E703" s="141"/>
      <c r="F703" s="141"/>
      <c r="G703" s="141"/>
      <c r="H703" s="141"/>
      <c r="I703" s="141"/>
      <c r="J703" s="141"/>
      <c r="K703" s="141"/>
      <c r="L703" s="141"/>
    </row>
    <row r="704">
      <c r="A704" s="141"/>
      <c r="B704" s="141"/>
      <c r="C704" s="141"/>
      <c r="D704" s="141"/>
      <c r="E704" s="141"/>
      <c r="F704" s="141"/>
      <c r="G704" s="141"/>
      <c r="H704" s="141"/>
      <c r="I704" s="141"/>
      <c r="J704" s="141"/>
      <c r="K704" s="141"/>
      <c r="L704" s="141"/>
    </row>
    <row r="705">
      <c r="A705" s="141"/>
      <c r="B705" s="141"/>
      <c r="C705" s="141"/>
      <c r="D705" s="141"/>
      <c r="E705" s="141"/>
      <c r="F705" s="141"/>
      <c r="G705" s="141"/>
      <c r="H705" s="141"/>
      <c r="I705" s="141"/>
      <c r="J705" s="141"/>
      <c r="K705" s="141"/>
      <c r="L705" s="141"/>
    </row>
    <row r="706">
      <c r="A706" s="141"/>
      <c r="B706" s="141"/>
      <c r="C706" s="141"/>
      <c r="D706" s="141"/>
      <c r="E706" s="141"/>
      <c r="F706" s="141"/>
      <c r="G706" s="141"/>
      <c r="H706" s="141"/>
      <c r="I706" s="141"/>
      <c r="J706" s="141"/>
      <c r="K706" s="141"/>
      <c r="L706" s="141"/>
    </row>
    <row r="707">
      <c r="A707" s="141"/>
      <c r="B707" s="141"/>
      <c r="C707" s="141"/>
      <c r="D707" s="141"/>
      <c r="E707" s="141"/>
      <c r="F707" s="141"/>
      <c r="G707" s="141"/>
      <c r="H707" s="141"/>
      <c r="I707" s="141"/>
      <c r="J707" s="141"/>
      <c r="K707" s="141"/>
      <c r="L707" s="141"/>
    </row>
    <row r="708">
      <c r="A708" s="141"/>
      <c r="B708" s="141"/>
      <c r="C708" s="141"/>
      <c r="D708" s="141"/>
      <c r="E708" s="141"/>
      <c r="F708" s="141"/>
      <c r="G708" s="141"/>
      <c r="H708" s="141"/>
      <c r="I708" s="141"/>
      <c r="J708" s="141"/>
      <c r="K708" s="141"/>
      <c r="L708" s="141"/>
    </row>
    <row r="709">
      <c r="A709" s="141"/>
      <c r="B709" s="141"/>
      <c r="C709" s="141"/>
      <c r="D709" s="141"/>
      <c r="E709" s="141"/>
      <c r="F709" s="141"/>
      <c r="G709" s="141"/>
      <c r="H709" s="141"/>
      <c r="I709" s="141"/>
      <c r="J709" s="141"/>
      <c r="K709" s="141"/>
      <c r="L709" s="141"/>
    </row>
    <row r="710">
      <c r="A710" s="141"/>
      <c r="B710" s="141"/>
      <c r="C710" s="141"/>
      <c r="D710" s="141"/>
      <c r="E710" s="141"/>
      <c r="F710" s="141"/>
      <c r="G710" s="141"/>
      <c r="H710" s="141"/>
      <c r="I710" s="141"/>
      <c r="J710" s="141"/>
      <c r="K710" s="141"/>
      <c r="L710" s="141"/>
    </row>
    <row r="711">
      <c r="A711" s="141"/>
      <c r="B711" s="141"/>
      <c r="C711" s="141"/>
      <c r="D711" s="141"/>
      <c r="E711" s="141"/>
      <c r="F711" s="141"/>
      <c r="G711" s="141"/>
      <c r="H711" s="141"/>
      <c r="I711" s="141"/>
      <c r="J711" s="141"/>
      <c r="K711" s="141"/>
      <c r="L711" s="141"/>
    </row>
    <row r="712">
      <c r="A712" s="141"/>
      <c r="B712" s="141"/>
      <c r="C712" s="141"/>
      <c r="D712" s="141"/>
      <c r="E712" s="141"/>
      <c r="F712" s="141"/>
      <c r="G712" s="141"/>
      <c r="H712" s="141"/>
      <c r="I712" s="141"/>
      <c r="J712" s="141"/>
      <c r="K712" s="141"/>
      <c r="L712" s="141"/>
    </row>
    <row r="713">
      <c r="A713" s="141"/>
      <c r="B713" s="141"/>
      <c r="C713" s="141"/>
      <c r="D713" s="141"/>
      <c r="E713" s="141"/>
      <c r="F713" s="141"/>
      <c r="G713" s="141"/>
      <c r="H713" s="141"/>
      <c r="I713" s="141"/>
      <c r="J713" s="141"/>
      <c r="K713" s="141"/>
      <c r="L713" s="141"/>
    </row>
    <row r="714">
      <c r="A714" s="141"/>
      <c r="B714" s="141"/>
      <c r="C714" s="141"/>
      <c r="D714" s="141"/>
      <c r="E714" s="141"/>
      <c r="F714" s="141"/>
      <c r="G714" s="141"/>
      <c r="H714" s="141"/>
      <c r="I714" s="141"/>
      <c r="J714" s="141"/>
      <c r="K714" s="141"/>
      <c r="L714" s="141"/>
    </row>
    <row r="715">
      <c r="A715" s="141"/>
      <c r="B715" s="141"/>
      <c r="C715" s="141"/>
      <c r="D715" s="141"/>
      <c r="E715" s="141"/>
      <c r="F715" s="141"/>
      <c r="G715" s="141"/>
      <c r="H715" s="141"/>
      <c r="I715" s="141"/>
      <c r="J715" s="141"/>
      <c r="K715" s="141"/>
      <c r="L715" s="141"/>
    </row>
    <row r="716">
      <c r="A716" s="141"/>
      <c r="B716" s="141"/>
      <c r="C716" s="141"/>
      <c r="D716" s="141"/>
      <c r="E716" s="141"/>
      <c r="F716" s="141"/>
      <c r="G716" s="141"/>
      <c r="H716" s="141"/>
      <c r="I716" s="141"/>
      <c r="J716" s="141"/>
      <c r="K716" s="141"/>
      <c r="L716" s="141"/>
    </row>
    <row r="717">
      <c r="A717" s="141"/>
      <c r="B717" s="141"/>
      <c r="C717" s="141"/>
      <c r="D717" s="141"/>
      <c r="E717" s="141"/>
      <c r="F717" s="141"/>
      <c r="G717" s="141"/>
      <c r="H717" s="141"/>
      <c r="I717" s="141"/>
      <c r="J717" s="141"/>
      <c r="K717" s="141"/>
      <c r="L717" s="141"/>
    </row>
    <row r="718">
      <c r="A718" s="141"/>
      <c r="B718" s="141"/>
      <c r="C718" s="141"/>
      <c r="D718" s="141"/>
      <c r="E718" s="141"/>
      <c r="F718" s="141"/>
      <c r="G718" s="141"/>
      <c r="H718" s="141"/>
      <c r="I718" s="141"/>
      <c r="J718" s="141"/>
      <c r="K718" s="141"/>
      <c r="L718" s="141"/>
    </row>
    <row r="719">
      <c r="A719" s="141"/>
      <c r="B719" s="141"/>
      <c r="C719" s="141"/>
      <c r="D719" s="141"/>
      <c r="E719" s="141"/>
      <c r="F719" s="141"/>
      <c r="G719" s="141"/>
      <c r="H719" s="141"/>
      <c r="I719" s="141"/>
      <c r="J719" s="141"/>
      <c r="K719" s="141"/>
      <c r="L719" s="141"/>
    </row>
    <row r="720">
      <c r="A720" s="141"/>
      <c r="B720" s="141"/>
      <c r="C720" s="141"/>
      <c r="D720" s="141"/>
      <c r="E720" s="141"/>
      <c r="F720" s="141"/>
      <c r="G720" s="141"/>
      <c r="H720" s="141"/>
      <c r="I720" s="141"/>
      <c r="J720" s="141"/>
      <c r="K720" s="141"/>
      <c r="L720" s="141"/>
    </row>
    <row r="721">
      <c r="A721" s="141"/>
      <c r="B721" s="141"/>
      <c r="C721" s="141"/>
      <c r="D721" s="141"/>
      <c r="E721" s="141"/>
      <c r="F721" s="141"/>
      <c r="G721" s="141"/>
      <c r="H721" s="141"/>
      <c r="I721" s="141"/>
      <c r="J721" s="141"/>
      <c r="K721" s="141"/>
      <c r="L721" s="141"/>
    </row>
    <row r="722">
      <c r="A722" s="141"/>
      <c r="B722" s="141"/>
      <c r="C722" s="141"/>
      <c r="D722" s="141"/>
      <c r="E722" s="141"/>
      <c r="F722" s="141"/>
      <c r="G722" s="141"/>
      <c r="H722" s="141"/>
      <c r="I722" s="141"/>
      <c r="J722" s="141"/>
      <c r="K722" s="141"/>
      <c r="L722" s="141"/>
    </row>
    <row r="723">
      <c r="A723" s="141"/>
      <c r="B723" s="141"/>
      <c r="C723" s="141"/>
      <c r="D723" s="141"/>
      <c r="E723" s="141"/>
      <c r="F723" s="141"/>
      <c r="G723" s="141"/>
      <c r="H723" s="141"/>
      <c r="I723" s="141"/>
      <c r="J723" s="141"/>
      <c r="K723" s="141"/>
      <c r="L723" s="141"/>
    </row>
    <row r="724">
      <c r="A724" s="141"/>
      <c r="B724" s="141"/>
      <c r="C724" s="141"/>
      <c r="D724" s="141"/>
      <c r="E724" s="141"/>
      <c r="F724" s="141"/>
      <c r="G724" s="141"/>
      <c r="H724" s="141"/>
      <c r="I724" s="141"/>
      <c r="J724" s="141"/>
      <c r="K724" s="141"/>
      <c r="L724" s="141"/>
    </row>
    <row r="725">
      <c r="A725" s="141"/>
      <c r="B725" s="141"/>
      <c r="C725" s="141"/>
      <c r="D725" s="141"/>
      <c r="E725" s="141"/>
      <c r="F725" s="141"/>
      <c r="G725" s="141"/>
      <c r="H725" s="141"/>
      <c r="I725" s="141"/>
      <c r="J725" s="141"/>
      <c r="K725" s="141"/>
      <c r="L725" s="141"/>
    </row>
    <row r="726">
      <c r="A726" s="141"/>
      <c r="B726" s="141"/>
      <c r="C726" s="141"/>
      <c r="D726" s="141"/>
      <c r="E726" s="141"/>
      <c r="F726" s="141"/>
      <c r="G726" s="141"/>
      <c r="H726" s="141"/>
      <c r="I726" s="141"/>
      <c r="J726" s="141"/>
      <c r="K726" s="141"/>
      <c r="L726" s="141"/>
    </row>
    <row r="727">
      <c r="A727" s="141"/>
      <c r="B727" s="141"/>
      <c r="C727" s="141"/>
      <c r="D727" s="141"/>
      <c r="E727" s="141"/>
      <c r="F727" s="141"/>
      <c r="G727" s="141"/>
      <c r="H727" s="141"/>
      <c r="I727" s="141"/>
      <c r="J727" s="141"/>
      <c r="K727" s="141"/>
      <c r="L727" s="141"/>
    </row>
    <row r="728">
      <c r="A728" s="141"/>
      <c r="B728" s="141"/>
      <c r="C728" s="141"/>
      <c r="D728" s="141"/>
      <c r="E728" s="141"/>
      <c r="F728" s="141"/>
      <c r="G728" s="141"/>
      <c r="H728" s="141"/>
      <c r="I728" s="141"/>
      <c r="J728" s="141"/>
      <c r="K728" s="141"/>
      <c r="L728" s="141"/>
    </row>
    <row r="729">
      <c r="A729" s="141"/>
      <c r="B729" s="141"/>
      <c r="C729" s="141"/>
      <c r="D729" s="141"/>
      <c r="E729" s="141"/>
      <c r="F729" s="141"/>
      <c r="G729" s="141"/>
      <c r="H729" s="141"/>
      <c r="I729" s="141"/>
      <c r="J729" s="141"/>
      <c r="K729" s="141"/>
      <c r="L729" s="141"/>
    </row>
    <row r="730">
      <c r="A730" s="141"/>
      <c r="B730" s="141"/>
      <c r="C730" s="141"/>
      <c r="D730" s="141"/>
      <c r="E730" s="141"/>
      <c r="F730" s="141"/>
      <c r="G730" s="141"/>
      <c r="H730" s="141"/>
      <c r="I730" s="141"/>
      <c r="J730" s="141"/>
      <c r="K730" s="141"/>
      <c r="L730" s="141"/>
    </row>
    <row r="731">
      <c r="A731" s="141"/>
      <c r="B731" s="141"/>
      <c r="C731" s="141"/>
      <c r="D731" s="141"/>
      <c r="E731" s="141"/>
      <c r="F731" s="141"/>
      <c r="G731" s="141"/>
      <c r="H731" s="141"/>
      <c r="I731" s="141"/>
      <c r="J731" s="141"/>
      <c r="K731" s="141"/>
      <c r="L731" s="141"/>
    </row>
    <row r="732">
      <c r="A732" s="141"/>
      <c r="B732" s="141"/>
      <c r="C732" s="141"/>
      <c r="D732" s="141"/>
      <c r="E732" s="141"/>
      <c r="F732" s="141"/>
      <c r="G732" s="141"/>
      <c r="H732" s="141"/>
      <c r="I732" s="141"/>
      <c r="J732" s="141"/>
      <c r="K732" s="141"/>
      <c r="L732" s="141"/>
    </row>
    <row r="733">
      <c r="A733" s="141"/>
      <c r="B733" s="141"/>
      <c r="C733" s="141"/>
      <c r="D733" s="141"/>
      <c r="E733" s="141"/>
      <c r="F733" s="141"/>
      <c r="G733" s="141"/>
      <c r="H733" s="141"/>
      <c r="I733" s="141"/>
      <c r="J733" s="141"/>
      <c r="K733" s="141"/>
      <c r="L733" s="141"/>
    </row>
    <row r="734">
      <c r="A734" s="141"/>
      <c r="B734" s="141"/>
      <c r="C734" s="141"/>
      <c r="D734" s="141"/>
      <c r="E734" s="141"/>
      <c r="F734" s="141"/>
      <c r="G734" s="141"/>
      <c r="H734" s="141"/>
      <c r="I734" s="141"/>
      <c r="J734" s="141"/>
      <c r="K734" s="141"/>
      <c r="L734" s="141"/>
    </row>
    <row r="735">
      <c r="A735" s="141"/>
      <c r="B735" s="141"/>
      <c r="C735" s="141"/>
      <c r="D735" s="141"/>
      <c r="E735" s="141"/>
      <c r="F735" s="141"/>
      <c r="G735" s="141"/>
      <c r="H735" s="141"/>
      <c r="I735" s="141"/>
      <c r="J735" s="141"/>
      <c r="K735" s="141"/>
      <c r="L735" s="141"/>
    </row>
    <row r="736">
      <c r="A736" s="141"/>
      <c r="B736" s="141"/>
      <c r="C736" s="141"/>
      <c r="D736" s="141"/>
      <c r="E736" s="141"/>
      <c r="F736" s="141"/>
      <c r="G736" s="141"/>
      <c r="H736" s="141"/>
      <c r="I736" s="141"/>
      <c r="J736" s="141"/>
      <c r="K736" s="141"/>
      <c r="L736" s="141"/>
    </row>
    <row r="737">
      <c r="A737" s="141"/>
      <c r="B737" s="141"/>
      <c r="C737" s="141"/>
      <c r="D737" s="141"/>
      <c r="E737" s="141"/>
      <c r="F737" s="141"/>
      <c r="G737" s="141"/>
      <c r="H737" s="141"/>
      <c r="I737" s="141"/>
      <c r="J737" s="141"/>
      <c r="K737" s="141"/>
      <c r="L737" s="141"/>
    </row>
    <row r="738">
      <c r="A738" s="141"/>
      <c r="B738" s="141"/>
      <c r="C738" s="141"/>
      <c r="D738" s="141"/>
      <c r="E738" s="141"/>
      <c r="F738" s="141"/>
      <c r="G738" s="141"/>
      <c r="H738" s="141"/>
      <c r="I738" s="141"/>
      <c r="J738" s="141"/>
      <c r="K738" s="141"/>
      <c r="L738" s="141"/>
    </row>
    <row r="739">
      <c r="A739" s="141"/>
      <c r="B739" s="141"/>
      <c r="C739" s="141"/>
      <c r="D739" s="141"/>
      <c r="E739" s="141"/>
      <c r="F739" s="141"/>
      <c r="G739" s="141"/>
      <c r="H739" s="141"/>
      <c r="I739" s="141"/>
      <c r="J739" s="141"/>
      <c r="K739" s="141"/>
      <c r="L739" s="141"/>
    </row>
    <row r="740">
      <c r="A740" s="141"/>
      <c r="B740" s="141"/>
      <c r="C740" s="141"/>
      <c r="D740" s="141"/>
      <c r="E740" s="141"/>
      <c r="F740" s="141"/>
      <c r="G740" s="141"/>
      <c r="H740" s="141"/>
      <c r="I740" s="141"/>
      <c r="J740" s="141"/>
      <c r="K740" s="141"/>
      <c r="L740" s="141"/>
    </row>
    <row r="741">
      <c r="A741" s="141"/>
      <c r="B741" s="141"/>
      <c r="C741" s="141"/>
      <c r="D741" s="141"/>
      <c r="E741" s="141"/>
      <c r="F741" s="141"/>
      <c r="G741" s="141"/>
      <c r="H741" s="141"/>
      <c r="I741" s="141"/>
      <c r="J741" s="141"/>
      <c r="K741" s="141"/>
      <c r="L741" s="141"/>
    </row>
    <row r="742">
      <c r="A742" s="141"/>
      <c r="B742" s="141"/>
      <c r="C742" s="141"/>
      <c r="D742" s="141"/>
      <c r="E742" s="141"/>
      <c r="F742" s="141"/>
      <c r="G742" s="141"/>
      <c r="H742" s="141"/>
      <c r="I742" s="141"/>
      <c r="J742" s="141"/>
      <c r="K742" s="141"/>
      <c r="L742" s="141"/>
    </row>
    <row r="743">
      <c r="A743" s="141"/>
      <c r="B743" s="141"/>
      <c r="C743" s="141"/>
      <c r="D743" s="141"/>
      <c r="E743" s="141"/>
      <c r="F743" s="141"/>
      <c r="G743" s="141"/>
      <c r="H743" s="141"/>
      <c r="I743" s="141"/>
      <c r="J743" s="141"/>
      <c r="K743" s="141"/>
      <c r="L743" s="141"/>
    </row>
    <row r="744">
      <c r="A744" s="141"/>
      <c r="B744" s="141"/>
      <c r="C744" s="141"/>
      <c r="D744" s="141"/>
      <c r="E744" s="141"/>
      <c r="F744" s="141"/>
      <c r="G744" s="141"/>
      <c r="H744" s="141"/>
      <c r="I744" s="141"/>
      <c r="J744" s="141"/>
      <c r="K744" s="141"/>
      <c r="L744" s="141"/>
    </row>
    <row r="745">
      <c r="A745" s="141"/>
      <c r="B745" s="141"/>
      <c r="C745" s="141"/>
      <c r="D745" s="141"/>
      <c r="E745" s="141"/>
      <c r="F745" s="141"/>
      <c r="G745" s="141"/>
      <c r="H745" s="141"/>
      <c r="I745" s="141"/>
      <c r="J745" s="141"/>
      <c r="K745" s="141"/>
      <c r="L745" s="141"/>
    </row>
    <row r="746">
      <c r="A746" s="141"/>
      <c r="B746" s="141"/>
      <c r="C746" s="141"/>
      <c r="D746" s="141"/>
      <c r="E746" s="141"/>
      <c r="F746" s="141"/>
      <c r="G746" s="141"/>
      <c r="H746" s="141"/>
      <c r="I746" s="141"/>
      <c r="J746" s="141"/>
      <c r="K746" s="141"/>
      <c r="L746" s="141"/>
    </row>
    <row r="747">
      <c r="A747" s="141"/>
      <c r="B747" s="141"/>
      <c r="C747" s="141"/>
      <c r="D747" s="141"/>
      <c r="E747" s="141"/>
      <c r="F747" s="141"/>
      <c r="G747" s="141"/>
      <c r="H747" s="141"/>
      <c r="I747" s="141"/>
      <c r="J747" s="141"/>
      <c r="K747" s="141"/>
      <c r="L747" s="141"/>
    </row>
    <row r="748">
      <c r="A748" s="141"/>
      <c r="B748" s="141"/>
      <c r="C748" s="141"/>
      <c r="D748" s="141"/>
      <c r="E748" s="141"/>
      <c r="F748" s="141"/>
      <c r="G748" s="141"/>
      <c r="H748" s="141"/>
      <c r="I748" s="141"/>
      <c r="J748" s="141"/>
      <c r="K748" s="141"/>
      <c r="L748" s="141"/>
    </row>
    <row r="749">
      <c r="A749" s="141"/>
      <c r="B749" s="141"/>
      <c r="C749" s="141"/>
      <c r="D749" s="141"/>
      <c r="E749" s="141"/>
      <c r="F749" s="141"/>
      <c r="G749" s="141"/>
      <c r="H749" s="141"/>
      <c r="I749" s="141"/>
      <c r="J749" s="141"/>
      <c r="K749" s="141"/>
      <c r="L749" s="141"/>
    </row>
    <row r="750">
      <c r="A750" s="141"/>
      <c r="B750" s="141"/>
      <c r="C750" s="141"/>
      <c r="D750" s="141"/>
      <c r="E750" s="141"/>
      <c r="F750" s="141"/>
      <c r="G750" s="141"/>
      <c r="H750" s="141"/>
      <c r="I750" s="141"/>
      <c r="J750" s="141"/>
      <c r="K750" s="141"/>
      <c r="L750" s="141"/>
    </row>
    <row r="751">
      <c r="A751" s="141"/>
      <c r="B751" s="141"/>
      <c r="C751" s="141"/>
      <c r="D751" s="141"/>
      <c r="E751" s="141"/>
      <c r="F751" s="141"/>
      <c r="G751" s="141"/>
      <c r="H751" s="141"/>
      <c r="I751" s="141"/>
      <c r="J751" s="141"/>
      <c r="K751" s="141"/>
      <c r="L751" s="141"/>
    </row>
    <row r="752">
      <c r="A752" s="141"/>
      <c r="B752" s="141"/>
      <c r="C752" s="141"/>
      <c r="D752" s="141"/>
      <c r="E752" s="141"/>
      <c r="F752" s="141"/>
      <c r="G752" s="141"/>
      <c r="H752" s="141"/>
      <c r="I752" s="141"/>
      <c r="J752" s="141"/>
      <c r="K752" s="141"/>
      <c r="L752" s="141"/>
    </row>
    <row r="753">
      <c r="A753" s="141"/>
      <c r="B753" s="141"/>
      <c r="C753" s="141"/>
      <c r="D753" s="141"/>
      <c r="E753" s="141"/>
      <c r="F753" s="141"/>
      <c r="G753" s="141"/>
      <c r="H753" s="141"/>
      <c r="I753" s="141"/>
      <c r="J753" s="141"/>
      <c r="K753" s="141"/>
      <c r="L753" s="141"/>
    </row>
    <row r="754">
      <c r="A754" s="141"/>
      <c r="B754" s="141"/>
      <c r="C754" s="141"/>
      <c r="D754" s="141"/>
      <c r="E754" s="141"/>
      <c r="F754" s="141"/>
      <c r="G754" s="141"/>
      <c r="H754" s="141"/>
      <c r="I754" s="141"/>
      <c r="J754" s="141"/>
      <c r="K754" s="141"/>
      <c r="L754" s="141"/>
    </row>
    <row r="755">
      <c r="A755" s="141"/>
      <c r="B755" s="141"/>
      <c r="C755" s="141"/>
      <c r="D755" s="141"/>
      <c r="E755" s="141"/>
      <c r="F755" s="141"/>
      <c r="G755" s="141"/>
      <c r="H755" s="141"/>
      <c r="I755" s="141"/>
      <c r="J755" s="141"/>
      <c r="K755" s="141"/>
      <c r="L755" s="141"/>
    </row>
    <row r="756">
      <c r="A756" s="141"/>
      <c r="B756" s="141"/>
      <c r="C756" s="141"/>
      <c r="D756" s="141"/>
      <c r="E756" s="141"/>
      <c r="F756" s="141"/>
      <c r="G756" s="141"/>
      <c r="H756" s="141"/>
      <c r="I756" s="141"/>
      <c r="J756" s="141"/>
      <c r="K756" s="141"/>
      <c r="L756" s="141"/>
    </row>
    <row r="757">
      <c r="A757" s="141"/>
      <c r="B757" s="141"/>
      <c r="C757" s="141"/>
      <c r="D757" s="141"/>
      <c r="E757" s="141"/>
      <c r="F757" s="141"/>
      <c r="G757" s="141"/>
      <c r="H757" s="141"/>
      <c r="I757" s="141"/>
      <c r="J757" s="141"/>
      <c r="K757" s="141"/>
      <c r="L757" s="141"/>
    </row>
    <row r="758">
      <c r="A758" s="141"/>
      <c r="B758" s="141"/>
      <c r="C758" s="141"/>
      <c r="D758" s="141"/>
      <c r="E758" s="141"/>
      <c r="F758" s="141"/>
      <c r="G758" s="141"/>
      <c r="H758" s="141"/>
      <c r="I758" s="141"/>
      <c r="J758" s="141"/>
      <c r="K758" s="141"/>
      <c r="L758" s="141"/>
    </row>
    <row r="759">
      <c r="A759" s="141"/>
      <c r="B759" s="141"/>
      <c r="C759" s="141"/>
      <c r="D759" s="141"/>
      <c r="E759" s="141"/>
      <c r="F759" s="141"/>
      <c r="G759" s="141"/>
      <c r="H759" s="141"/>
      <c r="I759" s="141"/>
      <c r="J759" s="141"/>
      <c r="K759" s="141"/>
      <c r="L759" s="141"/>
    </row>
    <row r="760">
      <c r="A760" s="141"/>
      <c r="B760" s="141"/>
      <c r="C760" s="141"/>
      <c r="D760" s="141"/>
      <c r="E760" s="141"/>
      <c r="F760" s="141"/>
      <c r="G760" s="141"/>
      <c r="H760" s="141"/>
      <c r="I760" s="141"/>
      <c r="J760" s="141"/>
      <c r="K760" s="141"/>
      <c r="L760" s="141"/>
    </row>
    <row r="761">
      <c r="A761" s="141"/>
      <c r="B761" s="141"/>
      <c r="C761" s="141"/>
      <c r="D761" s="141"/>
      <c r="E761" s="141"/>
      <c r="F761" s="141"/>
      <c r="G761" s="141"/>
      <c r="H761" s="141"/>
      <c r="I761" s="141"/>
      <c r="J761" s="141"/>
      <c r="K761" s="141"/>
      <c r="L761" s="141"/>
    </row>
    <row r="762">
      <c r="A762" s="141"/>
      <c r="B762" s="141"/>
      <c r="C762" s="141"/>
      <c r="D762" s="141"/>
      <c r="E762" s="141"/>
      <c r="F762" s="141"/>
      <c r="G762" s="141"/>
      <c r="H762" s="141"/>
      <c r="I762" s="141"/>
      <c r="J762" s="141"/>
      <c r="K762" s="141"/>
      <c r="L762" s="141"/>
    </row>
    <row r="763">
      <c r="A763" s="141"/>
      <c r="B763" s="141"/>
      <c r="C763" s="141"/>
      <c r="D763" s="141"/>
      <c r="E763" s="141"/>
      <c r="F763" s="141"/>
      <c r="G763" s="141"/>
      <c r="H763" s="141"/>
      <c r="I763" s="141"/>
      <c r="J763" s="141"/>
      <c r="K763" s="141"/>
      <c r="L763" s="141"/>
    </row>
    <row r="764">
      <c r="A764" s="141"/>
      <c r="B764" s="141"/>
      <c r="C764" s="141"/>
      <c r="D764" s="141"/>
      <c r="E764" s="141"/>
      <c r="F764" s="141"/>
      <c r="G764" s="141"/>
      <c r="H764" s="141"/>
      <c r="I764" s="141"/>
      <c r="J764" s="141"/>
      <c r="K764" s="141"/>
      <c r="L764" s="141"/>
    </row>
    <row r="765">
      <c r="A765" s="141"/>
      <c r="B765" s="141"/>
      <c r="C765" s="141"/>
      <c r="D765" s="141"/>
      <c r="E765" s="141"/>
      <c r="F765" s="141"/>
      <c r="G765" s="141"/>
      <c r="H765" s="141"/>
      <c r="I765" s="141"/>
      <c r="J765" s="141"/>
      <c r="K765" s="141"/>
      <c r="L765" s="141"/>
    </row>
    <row r="766">
      <c r="A766" s="141"/>
      <c r="B766" s="141"/>
      <c r="C766" s="141"/>
      <c r="D766" s="141"/>
      <c r="E766" s="141"/>
      <c r="F766" s="141"/>
      <c r="G766" s="141"/>
      <c r="H766" s="141"/>
      <c r="I766" s="141"/>
      <c r="J766" s="141"/>
      <c r="K766" s="141"/>
      <c r="L766" s="141"/>
    </row>
    <row r="767">
      <c r="A767" s="141"/>
      <c r="B767" s="141"/>
      <c r="C767" s="141"/>
      <c r="D767" s="141"/>
      <c r="E767" s="141"/>
      <c r="F767" s="141"/>
      <c r="G767" s="141"/>
      <c r="H767" s="141"/>
      <c r="I767" s="141"/>
      <c r="J767" s="141"/>
      <c r="K767" s="141"/>
      <c r="L767" s="141"/>
    </row>
    <row r="768">
      <c r="A768" s="141"/>
      <c r="B768" s="141"/>
      <c r="C768" s="141"/>
      <c r="D768" s="141"/>
      <c r="E768" s="141"/>
      <c r="F768" s="141"/>
      <c r="G768" s="141"/>
      <c r="H768" s="141"/>
      <c r="I768" s="141"/>
      <c r="J768" s="141"/>
      <c r="K768" s="141"/>
      <c r="L768" s="141"/>
    </row>
    <row r="769">
      <c r="A769" s="141"/>
      <c r="B769" s="141"/>
      <c r="C769" s="141"/>
      <c r="D769" s="141"/>
      <c r="E769" s="141"/>
      <c r="F769" s="141"/>
      <c r="G769" s="141"/>
      <c r="H769" s="141"/>
      <c r="I769" s="141"/>
      <c r="J769" s="141"/>
      <c r="K769" s="141"/>
      <c r="L769" s="141"/>
    </row>
    <row r="770">
      <c r="A770" s="141"/>
      <c r="B770" s="141"/>
      <c r="C770" s="141"/>
      <c r="D770" s="141"/>
      <c r="E770" s="141"/>
      <c r="F770" s="141"/>
      <c r="G770" s="141"/>
      <c r="H770" s="141"/>
      <c r="I770" s="141"/>
      <c r="J770" s="141"/>
      <c r="K770" s="141"/>
      <c r="L770" s="141"/>
    </row>
    <row r="771">
      <c r="A771" s="141"/>
      <c r="B771" s="141"/>
      <c r="C771" s="141"/>
      <c r="D771" s="141"/>
      <c r="E771" s="141"/>
      <c r="F771" s="141"/>
      <c r="G771" s="141"/>
      <c r="H771" s="141"/>
      <c r="I771" s="141"/>
      <c r="J771" s="141"/>
      <c r="K771" s="141"/>
      <c r="L771" s="141"/>
    </row>
    <row r="772">
      <c r="A772" s="141"/>
      <c r="B772" s="141"/>
      <c r="C772" s="141"/>
      <c r="D772" s="141"/>
      <c r="E772" s="141"/>
      <c r="F772" s="141"/>
      <c r="G772" s="141"/>
      <c r="H772" s="141"/>
      <c r="I772" s="141"/>
      <c r="J772" s="141"/>
      <c r="K772" s="141"/>
      <c r="L772" s="141"/>
    </row>
    <row r="773">
      <c r="A773" s="141"/>
      <c r="B773" s="141"/>
      <c r="C773" s="141"/>
      <c r="D773" s="141"/>
      <c r="E773" s="141"/>
      <c r="F773" s="141"/>
      <c r="G773" s="141"/>
      <c r="H773" s="141"/>
      <c r="I773" s="141"/>
      <c r="J773" s="141"/>
      <c r="K773" s="141"/>
      <c r="L773" s="141"/>
    </row>
    <row r="774">
      <c r="A774" s="141"/>
      <c r="B774" s="141"/>
      <c r="C774" s="141"/>
      <c r="D774" s="141"/>
      <c r="E774" s="141"/>
      <c r="F774" s="141"/>
      <c r="G774" s="141"/>
      <c r="H774" s="141"/>
      <c r="I774" s="141"/>
      <c r="J774" s="141"/>
      <c r="K774" s="141"/>
      <c r="L774" s="141"/>
    </row>
    <row r="775">
      <c r="A775" s="141"/>
      <c r="B775" s="141"/>
      <c r="C775" s="141"/>
      <c r="D775" s="141"/>
      <c r="E775" s="141"/>
      <c r="F775" s="141"/>
      <c r="G775" s="141"/>
      <c r="H775" s="141"/>
      <c r="I775" s="141"/>
      <c r="J775" s="141"/>
      <c r="K775" s="141"/>
      <c r="L775" s="141"/>
    </row>
    <row r="776">
      <c r="A776" s="141"/>
      <c r="B776" s="141"/>
      <c r="C776" s="141"/>
      <c r="D776" s="141"/>
      <c r="E776" s="141"/>
      <c r="F776" s="141"/>
      <c r="G776" s="141"/>
      <c r="H776" s="141"/>
      <c r="I776" s="141"/>
      <c r="J776" s="141"/>
      <c r="K776" s="141"/>
      <c r="L776" s="141"/>
    </row>
    <row r="777">
      <c r="A777" s="141"/>
      <c r="B777" s="141"/>
      <c r="C777" s="141"/>
      <c r="D777" s="141"/>
      <c r="E777" s="141"/>
      <c r="F777" s="141"/>
      <c r="G777" s="141"/>
      <c r="H777" s="141"/>
      <c r="I777" s="141"/>
      <c r="J777" s="141"/>
      <c r="K777" s="141"/>
      <c r="L777" s="141"/>
    </row>
    <row r="778">
      <c r="A778" s="141"/>
      <c r="B778" s="141"/>
      <c r="C778" s="141"/>
      <c r="D778" s="141"/>
      <c r="E778" s="141"/>
      <c r="F778" s="141"/>
      <c r="G778" s="141"/>
      <c r="H778" s="141"/>
      <c r="I778" s="141"/>
      <c r="J778" s="141"/>
      <c r="K778" s="141"/>
      <c r="L778" s="141"/>
    </row>
    <row r="779">
      <c r="A779" s="141"/>
      <c r="B779" s="141"/>
      <c r="C779" s="141"/>
      <c r="D779" s="141"/>
      <c r="E779" s="141"/>
      <c r="F779" s="141"/>
      <c r="G779" s="141"/>
      <c r="H779" s="141"/>
      <c r="I779" s="141"/>
      <c r="J779" s="141"/>
      <c r="K779" s="141"/>
      <c r="L779" s="141"/>
    </row>
    <row r="780">
      <c r="A780" s="141"/>
      <c r="B780" s="141"/>
      <c r="C780" s="141"/>
      <c r="D780" s="141"/>
      <c r="E780" s="141"/>
      <c r="F780" s="141"/>
      <c r="G780" s="141"/>
      <c r="H780" s="141"/>
      <c r="I780" s="141"/>
      <c r="J780" s="141"/>
      <c r="K780" s="141"/>
      <c r="L780" s="141"/>
    </row>
    <row r="781">
      <c r="A781" s="141"/>
      <c r="B781" s="141"/>
      <c r="C781" s="141"/>
      <c r="D781" s="141"/>
      <c r="E781" s="141"/>
      <c r="F781" s="141"/>
      <c r="G781" s="141"/>
      <c r="H781" s="141"/>
      <c r="I781" s="141"/>
      <c r="J781" s="141"/>
      <c r="K781" s="141"/>
      <c r="L781" s="141"/>
    </row>
    <row r="782">
      <c r="A782" s="141"/>
      <c r="B782" s="141"/>
      <c r="C782" s="141"/>
      <c r="D782" s="141"/>
      <c r="E782" s="141"/>
      <c r="F782" s="141"/>
      <c r="G782" s="141"/>
      <c r="H782" s="141"/>
      <c r="I782" s="141"/>
      <c r="J782" s="141"/>
      <c r="K782" s="141"/>
      <c r="L782" s="141"/>
    </row>
    <row r="783">
      <c r="A783" s="141"/>
      <c r="B783" s="141"/>
      <c r="C783" s="141"/>
      <c r="D783" s="141"/>
      <c r="E783" s="141"/>
      <c r="F783" s="141"/>
      <c r="G783" s="141"/>
      <c r="H783" s="141"/>
      <c r="I783" s="141"/>
      <c r="J783" s="141"/>
      <c r="K783" s="141"/>
      <c r="L783" s="141"/>
    </row>
    <row r="784">
      <c r="A784" s="141"/>
      <c r="B784" s="141"/>
      <c r="C784" s="141"/>
      <c r="D784" s="141"/>
      <c r="E784" s="141"/>
      <c r="F784" s="141"/>
      <c r="G784" s="141"/>
      <c r="H784" s="141"/>
      <c r="I784" s="141"/>
      <c r="J784" s="141"/>
      <c r="K784" s="141"/>
      <c r="L784" s="141"/>
    </row>
    <row r="785">
      <c r="A785" s="141"/>
      <c r="B785" s="141"/>
      <c r="C785" s="141"/>
      <c r="D785" s="141"/>
      <c r="E785" s="141"/>
      <c r="F785" s="141"/>
      <c r="G785" s="141"/>
      <c r="H785" s="141"/>
      <c r="I785" s="141"/>
      <c r="J785" s="141"/>
      <c r="K785" s="141"/>
      <c r="L785" s="141"/>
    </row>
    <row r="786">
      <c r="A786" s="141"/>
      <c r="B786" s="141"/>
      <c r="C786" s="141"/>
      <c r="D786" s="141"/>
      <c r="E786" s="141"/>
      <c r="F786" s="141"/>
      <c r="G786" s="141"/>
      <c r="H786" s="141"/>
      <c r="I786" s="141"/>
      <c r="J786" s="141"/>
      <c r="K786" s="141"/>
      <c r="L786" s="141"/>
    </row>
    <row r="787">
      <c r="A787" s="141"/>
      <c r="B787" s="141"/>
      <c r="C787" s="141"/>
      <c r="D787" s="141"/>
      <c r="E787" s="141"/>
      <c r="F787" s="141"/>
      <c r="G787" s="141"/>
      <c r="H787" s="141"/>
      <c r="I787" s="141"/>
      <c r="J787" s="141"/>
      <c r="K787" s="141"/>
      <c r="L787" s="141"/>
    </row>
    <row r="788">
      <c r="A788" s="141"/>
      <c r="B788" s="141"/>
      <c r="C788" s="141"/>
      <c r="D788" s="141"/>
      <c r="E788" s="141"/>
      <c r="F788" s="141"/>
      <c r="G788" s="141"/>
      <c r="H788" s="141"/>
      <c r="I788" s="141"/>
      <c r="J788" s="141"/>
      <c r="K788" s="141"/>
      <c r="L788" s="141"/>
    </row>
    <row r="789">
      <c r="A789" s="141"/>
      <c r="B789" s="141"/>
      <c r="C789" s="141"/>
      <c r="D789" s="141"/>
      <c r="E789" s="141"/>
      <c r="F789" s="141"/>
      <c r="G789" s="141"/>
      <c r="H789" s="141"/>
      <c r="I789" s="141"/>
      <c r="J789" s="141"/>
      <c r="K789" s="141"/>
      <c r="L789" s="141"/>
    </row>
    <row r="790">
      <c r="A790" s="141"/>
      <c r="B790" s="141"/>
      <c r="C790" s="141"/>
      <c r="D790" s="141"/>
      <c r="E790" s="141"/>
      <c r="F790" s="141"/>
      <c r="G790" s="141"/>
      <c r="H790" s="141"/>
      <c r="I790" s="141"/>
      <c r="J790" s="141"/>
      <c r="K790" s="141"/>
      <c r="L790" s="141"/>
    </row>
    <row r="791">
      <c r="A791" s="141"/>
      <c r="B791" s="141"/>
      <c r="C791" s="141"/>
      <c r="D791" s="141"/>
      <c r="E791" s="141"/>
      <c r="F791" s="141"/>
      <c r="G791" s="141"/>
      <c r="H791" s="141"/>
      <c r="I791" s="141"/>
      <c r="J791" s="141"/>
      <c r="K791" s="141"/>
      <c r="L791" s="141"/>
    </row>
    <row r="792">
      <c r="A792" s="141"/>
      <c r="B792" s="141"/>
      <c r="C792" s="141"/>
      <c r="D792" s="141"/>
      <c r="E792" s="141"/>
      <c r="F792" s="141"/>
      <c r="G792" s="141"/>
      <c r="H792" s="141"/>
      <c r="I792" s="141"/>
      <c r="J792" s="141"/>
      <c r="K792" s="141"/>
      <c r="L792" s="141"/>
    </row>
    <row r="793">
      <c r="A793" s="141"/>
      <c r="B793" s="141"/>
      <c r="C793" s="141"/>
      <c r="D793" s="141"/>
      <c r="E793" s="141"/>
      <c r="F793" s="141"/>
      <c r="G793" s="141"/>
      <c r="H793" s="141"/>
      <c r="I793" s="141"/>
      <c r="J793" s="141"/>
      <c r="K793" s="141"/>
      <c r="L793" s="141"/>
    </row>
    <row r="794">
      <c r="A794" s="141"/>
      <c r="B794" s="141"/>
      <c r="C794" s="141"/>
      <c r="D794" s="141"/>
      <c r="E794" s="141"/>
      <c r="F794" s="141"/>
      <c r="G794" s="141"/>
      <c r="H794" s="141"/>
      <c r="I794" s="141"/>
      <c r="J794" s="141"/>
      <c r="K794" s="141"/>
      <c r="L794" s="141"/>
    </row>
    <row r="795">
      <c r="A795" s="141"/>
      <c r="B795" s="141"/>
      <c r="C795" s="141"/>
      <c r="D795" s="141"/>
      <c r="E795" s="141"/>
      <c r="F795" s="141"/>
      <c r="G795" s="141"/>
      <c r="H795" s="141"/>
      <c r="I795" s="141"/>
      <c r="J795" s="141"/>
      <c r="K795" s="141"/>
      <c r="L795" s="141"/>
    </row>
    <row r="796">
      <c r="A796" s="141"/>
      <c r="B796" s="141"/>
      <c r="C796" s="141"/>
      <c r="D796" s="141"/>
      <c r="E796" s="141"/>
      <c r="F796" s="141"/>
      <c r="G796" s="141"/>
      <c r="H796" s="141"/>
      <c r="I796" s="141"/>
      <c r="J796" s="141"/>
      <c r="K796" s="141"/>
      <c r="L796" s="141"/>
    </row>
    <row r="797">
      <c r="A797" s="141"/>
      <c r="B797" s="141"/>
      <c r="C797" s="141"/>
      <c r="D797" s="141"/>
      <c r="E797" s="141"/>
      <c r="F797" s="141"/>
      <c r="G797" s="141"/>
      <c r="H797" s="141"/>
      <c r="I797" s="141"/>
      <c r="J797" s="141"/>
      <c r="K797" s="141"/>
      <c r="L797" s="141"/>
    </row>
    <row r="798">
      <c r="A798" s="141"/>
      <c r="B798" s="141"/>
      <c r="C798" s="141"/>
      <c r="D798" s="141"/>
      <c r="E798" s="141"/>
      <c r="F798" s="141"/>
      <c r="G798" s="141"/>
      <c r="H798" s="141"/>
      <c r="I798" s="141"/>
      <c r="J798" s="141"/>
      <c r="K798" s="141"/>
      <c r="L798" s="141"/>
    </row>
    <row r="799">
      <c r="A799" s="141"/>
      <c r="B799" s="141"/>
      <c r="C799" s="141"/>
      <c r="D799" s="141"/>
      <c r="E799" s="141"/>
      <c r="F799" s="141"/>
      <c r="G799" s="141"/>
      <c r="H799" s="141"/>
      <c r="I799" s="141"/>
      <c r="J799" s="141"/>
      <c r="K799" s="141"/>
      <c r="L799" s="141"/>
    </row>
    <row r="800">
      <c r="A800" s="141"/>
      <c r="B800" s="141"/>
      <c r="C800" s="141"/>
      <c r="D800" s="141"/>
      <c r="E800" s="141"/>
      <c r="F800" s="141"/>
      <c r="G800" s="141"/>
      <c r="H800" s="141"/>
      <c r="I800" s="141"/>
      <c r="J800" s="141"/>
      <c r="K800" s="141"/>
      <c r="L800" s="141"/>
    </row>
    <row r="801">
      <c r="A801" s="141"/>
      <c r="B801" s="141"/>
      <c r="C801" s="141"/>
      <c r="D801" s="141"/>
      <c r="E801" s="141"/>
      <c r="F801" s="141"/>
      <c r="G801" s="141"/>
      <c r="H801" s="141"/>
      <c r="I801" s="141"/>
      <c r="J801" s="141"/>
      <c r="K801" s="141"/>
      <c r="L801" s="141"/>
    </row>
    <row r="802">
      <c r="A802" s="141"/>
      <c r="B802" s="141"/>
      <c r="C802" s="141"/>
      <c r="D802" s="141"/>
      <c r="E802" s="141"/>
      <c r="F802" s="141"/>
      <c r="G802" s="141"/>
      <c r="H802" s="141"/>
      <c r="I802" s="141"/>
      <c r="J802" s="141"/>
      <c r="K802" s="141"/>
      <c r="L802" s="141"/>
    </row>
    <row r="803">
      <c r="A803" s="141"/>
      <c r="B803" s="141"/>
      <c r="C803" s="141"/>
      <c r="D803" s="141"/>
      <c r="E803" s="141"/>
      <c r="F803" s="141"/>
      <c r="G803" s="141"/>
      <c r="H803" s="141"/>
      <c r="I803" s="141"/>
      <c r="J803" s="141"/>
      <c r="K803" s="141"/>
      <c r="L803" s="141"/>
    </row>
    <row r="804">
      <c r="A804" s="141"/>
      <c r="B804" s="141"/>
      <c r="C804" s="141"/>
      <c r="D804" s="141"/>
      <c r="E804" s="141"/>
      <c r="F804" s="141"/>
      <c r="G804" s="141"/>
      <c r="H804" s="141"/>
      <c r="I804" s="141"/>
      <c r="J804" s="141"/>
      <c r="K804" s="141"/>
      <c r="L804" s="141"/>
    </row>
    <row r="805">
      <c r="A805" s="141"/>
      <c r="B805" s="141"/>
      <c r="C805" s="141"/>
      <c r="D805" s="141"/>
      <c r="E805" s="141"/>
      <c r="F805" s="141"/>
      <c r="G805" s="141"/>
      <c r="H805" s="141"/>
      <c r="I805" s="141"/>
      <c r="J805" s="141"/>
      <c r="K805" s="141"/>
      <c r="L805" s="141"/>
    </row>
    <row r="806">
      <c r="A806" s="141"/>
      <c r="B806" s="141"/>
      <c r="C806" s="141"/>
      <c r="D806" s="141"/>
      <c r="E806" s="141"/>
      <c r="F806" s="141"/>
      <c r="G806" s="141"/>
      <c r="H806" s="141"/>
      <c r="I806" s="141"/>
      <c r="J806" s="141"/>
      <c r="K806" s="141"/>
      <c r="L806" s="141"/>
    </row>
    <row r="807">
      <c r="A807" s="141"/>
      <c r="B807" s="141"/>
      <c r="C807" s="141"/>
      <c r="D807" s="141"/>
      <c r="E807" s="141"/>
      <c r="F807" s="141"/>
      <c r="G807" s="141"/>
      <c r="H807" s="141"/>
      <c r="I807" s="141"/>
      <c r="J807" s="141"/>
      <c r="K807" s="141"/>
      <c r="L807" s="141"/>
    </row>
    <row r="808">
      <c r="A808" s="141"/>
      <c r="B808" s="141"/>
      <c r="C808" s="141"/>
      <c r="D808" s="141"/>
      <c r="E808" s="141"/>
      <c r="F808" s="141"/>
      <c r="G808" s="141"/>
      <c r="H808" s="141"/>
      <c r="I808" s="141"/>
      <c r="J808" s="141"/>
      <c r="K808" s="141"/>
      <c r="L808" s="141"/>
    </row>
    <row r="809">
      <c r="A809" s="141"/>
      <c r="B809" s="141"/>
      <c r="C809" s="141"/>
      <c r="D809" s="141"/>
      <c r="E809" s="141"/>
      <c r="F809" s="141"/>
      <c r="G809" s="141"/>
      <c r="H809" s="141"/>
      <c r="I809" s="141"/>
      <c r="J809" s="141"/>
      <c r="K809" s="141"/>
      <c r="L809" s="141"/>
    </row>
    <row r="810">
      <c r="A810" s="141"/>
      <c r="B810" s="141"/>
      <c r="C810" s="141"/>
      <c r="D810" s="141"/>
      <c r="E810" s="141"/>
      <c r="F810" s="141"/>
      <c r="G810" s="141"/>
      <c r="H810" s="141"/>
      <c r="I810" s="141"/>
      <c r="J810" s="141"/>
      <c r="K810" s="141"/>
      <c r="L810" s="141"/>
    </row>
    <row r="811">
      <c r="A811" s="141"/>
      <c r="B811" s="141"/>
      <c r="C811" s="141"/>
      <c r="D811" s="141"/>
      <c r="E811" s="141"/>
      <c r="F811" s="141"/>
      <c r="G811" s="141"/>
      <c r="H811" s="141"/>
      <c r="I811" s="141"/>
      <c r="J811" s="141"/>
      <c r="K811" s="141"/>
      <c r="L811" s="141"/>
    </row>
    <row r="812">
      <c r="A812" s="141"/>
      <c r="B812" s="141"/>
      <c r="C812" s="141"/>
      <c r="D812" s="141"/>
      <c r="E812" s="141"/>
      <c r="F812" s="141"/>
      <c r="G812" s="141"/>
      <c r="H812" s="141"/>
      <c r="I812" s="141"/>
      <c r="J812" s="141"/>
      <c r="K812" s="141"/>
      <c r="L812" s="141"/>
    </row>
    <row r="813">
      <c r="A813" s="141"/>
      <c r="B813" s="141"/>
      <c r="C813" s="141"/>
      <c r="D813" s="141"/>
      <c r="E813" s="141"/>
      <c r="F813" s="141"/>
      <c r="G813" s="141"/>
      <c r="H813" s="141"/>
      <c r="I813" s="141"/>
      <c r="J813" s="141"/>
      <c r="K813" s="141"/>
      <c r="L813" s="141"/>
    </row>
    <row r="814">
      <c r="A814" s="141"/>
      <c r="B814" s="141"/>
      <c r="C814" s="141"/>
      <c r="D814" s="141"/>
      <c r="E814" s="141"/>
      <c r="F814" s="141"/>
      <c r="G814" s="141"/>
      <c r="H814" s="141"/>
      <c r="I814" s="141"/>
      <c r="J814" s="141"/>
      <c r="K814" s="141"/>
      <c r="L814" s="141"/>
    </row>
    <row r="815">
      <c r="A815" s="141"/>
      <c r="B815" s="141"/>
      <c r="C815" s="141"/>
      <c r="D815" s="141"/>
      <c r="E815" s="141"/>
      <c r="F815" s="141"/>
      <c r="G815" s="141"/>
      <c r="H815" s="141"/>
      <c r="I815" s="141"/>
      <c r="J815" s="141"/>
      <c r="K815" s="141"/>
      <c r="L815" s="141"/>
    </row>
    <row r="816">
      <c r="A816" s="141"/>
      <c r="B816" s="141"/>
      <c r="C816" s="141"/>
      <c r="D816" s="141"/>
      <c r="E816" s="141"/>
      <c r="F816" s="141"/>
      <c r="G816" s="141"/>
      <c r="H816" s="141"/>
      <c r="I816" s="141"/>
      <c r="J816" s="141"/>
      <c r="K816" s="141"/>
      <c r="L816" s="141"/>
    </row>
    <row r="817">
      <c r="A817" s="141"/>
      <c r="B817" s="141"/>
      <c r="C817" s="141"/>
      <c r="D817" s="141"/>
      <c r="E817" s="141"/>
      <c r="F817" s="141"/>
      <c r="G817" s="141"/>
      <c r="H817" s="141"/>
      <c r="I817" s="141"/>
      <c r="J817" s="141"/>
      <c r="K817" s="141"/>
      <c r="L817" s="141"/>
    </row>
    <row r="818">
      <c r="A818" s="141"/>
      <c r="B818" s="141"/>
      <c r="C818" s="141"/>
      <c r="D818" s="141"/>
      <c r="E818" s="141"/>
      <c r="F818" s="141"/>
      <c r="G818" s="141"/>
      <c r="H818" s="141"/>
      <c r="I818" s="141"/>
      <c r="J818" s="141"/>
      <c r="K818" s="141"/>
      <c r="L818" s="141"/>
    </row>
    <row r="819">
      <c r="A819" s="141"/>
      <c r="B819" s="141"/>
      <c r="C819" s="141"/>
      <c r="D819" s="141"/>
      <c r="E819" s="141"/>
      <c r="F819" s="141"/>
      <c r="G819" s="141"/>
      <c r="H819" s="141"/>
      <c r="I819" s="141"/>
      <c r="J819" s="141"/>
      <c r="K819" s="141"/>
      <c r="L819" s="141"/>
    </row>
    <row r="820">
      <c r="A820" s="141"/>
      <c r="B820" s="141"/>
      <c r="C820" s="141"/>
      <c r="D820" s="141"/>
      <c r="E820" s="141"/>
      <c r="F820" s="141"/>
      <c r="G820" s="141"/>
      <c r="H820" s="141"/>
      <c r="I820" s="141"/>
      <c r="J820" s="141"/>
      <c r="K820" s="141"/>
      <c r="L820" s="141"/>
    </row>
    <row r="821">
      <c r="A821" s="141"/>
      <c r="B821" s="141"/>
      <c r="C821" s="141"/>
      <c r="D821" s="141"/>
      <c r="E821" s="141"/>
      <c r="F821" s="141"/>
      <c r="G821" s="141"/>
      <c r="H821" s="141"/>
      <c r="I821" s="141"/>
      <c r="J821" s="141"/>
      <c r="K821" s="141"/>
      <c r="L821" s="141"/>
    </row>
    <row r="822">
      <c r="A822" s="141"/>
      <c r="B822" s="141"/>
      <c r="C822" s="141"/>
      <c r="D822" s="141"/>
      <c r="E822" s="141"/>
      <c r="F822" s="141"/>
      <c r="G822" s="141"/>
      <c r="H822" s="141"/>
      <c r="I822" s="141"/>
      <c r="J822" s="141"/>
      <c r="K822" s="141"/>
      <c r="L822" s="141"/>
    </row>
    <row r="823">
      <c r="A823" s="141"/>
      <c r="B823" s="141"/>
      <c r="C823" s="141"/>
      <c r="D823" s="141"/>
      <c r="E823" s="141"/>
      <c r="F823" s="141"/>
      <c r="G823" s="141"/>
      <c r="H823" s="141"/>
      <c r="I823" s="141"/>
      <c r="J823" s="141"/>
      <c r="K823" s="141"/>
      <c r="L823" s="141"/>
    </row>
    <row r="824">
      <c r="A824" s="141"/>
      <c r="B824" s="141"/>
      <c r="C824" s="141"/>
      <c r="D824" s="141"/>
      <c r="E824" s="141"/>
      <c r="F824" s="141"/>
      <c r="G824" s="141"/>
      <c r="H824" s="141"/>
      <c r="I824" s="141"/>
      <c r="J824" s="141"/>
      <c r="K824" s="141"/>
      <c r="L824" s="141"/>
    </row>
    <row r="825">
      <c r="A825" s="141"/>
      <c r="B825" s="141"/>
      <c r="C825" s="141"/>
      <c r="D825" s="141"/>
      <c r="E825" s="141"/>
      <c r="F825" s="141"/>
      <c r="G825" s="141"/>
      <c r="H825" s="141"/>
      <c r="I825" s="141"/>
      <c r="J825" s="141"/>
      <c r="K825" s="141"/>
      <c r="L825" s="141"/>
    </row>
    <row r="826">
      <c r="A826" s="141"/>
      <c r="B826" s="141"/>
      <c r="C826" s="141"/>
      <c r="D826" s="141"/>
      <c r="E826" s="141"/>
      <c r="F826" s="141"/>
      <c r="G826" s="141"/>
      <c r="H826" s="141"/>
      <c r="I826" s="141"/>
      <c r="J826" s="141"/>
      <c r="K826" s="141"/>
      <c r="L826" s="141"/>
    </row>
    <row r="827">
      <c r="A827" s="141"/>
      <c r="B827" s="141"/>
      <c r="C827" s="141"/>
      <c r="D827" s="141"/>
      <c r="E827" s="141"/>
      <c r="F827" s="141"/>
      <c r="G827" s="141"/>
      <c r="H827" s="141"/>
      <c r="I827" s="141"/>
      <c r="J827" s="141"/>
      <c r="K827" s="141"/>
      <c r="L827" s="141"/>
    </row>
    <row r="828">
      <c r="A828" s="141"/>
      <c r="B828" s="141"/>
      <c r="C828" s="141"/>
      <c r="D828" s="141"/>
      <c r="E828" s="141"/>
      <c r="F828" s="141"/>
      <c r="G828" s="141"/>
      <c r="H828" s="141"/>
      <c r="I828" s="141"/>
      <c r="J828" s="141"/>
      <c r="K828" s="141"/>
      <c r="L828" s="141"/>
    </row>
    <row r="829">
      <c r="A829" s="141"/>
      <c r="B829" s="141"/>
      <c r="C829" s="141"/>
      <c r="D829" s="141"/>
      <c r="E829" s="141"/>
      <c r="F829" s="141"/>
      <c r="G829" s="141"/>
      <c r="H829" s="141"/>
      <c r="I829" s="141"/>
      <c r="J829" s="141"/>
      <c r="K829" s="141"/>
      <c r="L829" s="141"/>
    </row>
    <row r="830">
      <c r="A830" s="141"/>
      <c r="B830" s="141"/>
      <c r="C830" s="141"/>
      <c r="D830" s="141"/>
      <c r="E830" s="141"/>
      <c r="F830" s="141"/>
      <c r="G830" s="141"/>
      <c r="H830" s="141"/>
      <c r="I830" s="141"/>
      <c r="J830" s="141"/>
      <c r="K830" s="141"/>
      <c r="L830" s="141"/>
    </row>
    <row r="831">
      <c r="A831" s="141"/>
      <c r="B831" s="141"/>
      <c r="C831" s="141"/>
      <c r="D831" s="141"/>
      <c r="E831" s="141"/>
      <c r="F831" s="141"/>
      <c r="G831" s="141"/>
      <c r="H831" s="141"/>
      <c r="I831" s="141"/>
      <c r="J831" s="141"/>
      <c r="K831" s="141"/>
      <c r="L831" s="141"/>
    </row>
    <row r="832">
      <c r="A832" s="141"/>
      <c r="B832" s="141"/>
      <c r="C832" s="141"/>
      <c r="D832" s="141"/>
      <c r="E832" s="141"/>
      <c r="F832" s="141"/>
      <c r="G832" s="141"/>
      <c r="H832" s="141"/>
      <c r="I832" s="141"/>
      <c r="J832" s="141"/>
      <c r="K832" s="141"/>
      <c r="L832" s="141"/>
    </row>
    <row r="833">
      <c r="A833" s="141"/>
      <c r="B833" s="141"/>
      <c r="C833" s="141"/>
      <c r="D833" s="141"/>
      <c r="E833" s="141"/>
      <c r="F833" s="141"/>
      <c r="G833" s="141"/>
      <c r="H833" s="141"/>
      <c r="I833" s="141"/>
      <c r="J833" s="141"/>
      <c r="K833" s="141"/>
      <c r="L833" s="141"/>
    </row>
    <row r="834">
      <c r="A834" s="141"/>
      <c r="B834" s="141"/>
      <c r="C834" s="141"/>
      <c r="D834" s="141"/>
      <c r="E834" s="141"/>
      <c r="F834" s="141"/>
      <c r="G834" s="141"/>
      <c r="H834" s="141"/>
      <c r="I834" s="141"/>
      <c r="J834" s="141"/>
      <c r="K834" s="141"/>
      <c r="L834" s="141"/>
    </row>
    <row r="835">
      <c r="A835" s="141"/>
      <c r="B835" s="141"/>
      <c r="C835" s="141"/>
      <c r="D835" s="141"/>
      <c r="E835" s="141"/>
      <c r="F835" s="141"/>
      <c r="G835" s="141"/>
      <c r="H835" s="141"/>
      <c r="I835" s="141"/>
      <c r="J835" s="141"/>
      <c r="K835" s="141"/>
      <c r="L835" s="141"/>
    </row>
    <row r="836">
      <c r="A836" s="141"/>
      <c r="B836" s="141"/>
      <c r="C836" s="141"/>
      <c r="D836" s="141"/>
      <c r="E836" s="141"/>
      <c r="F836" s="141"/>
      <c r="G836" s="141"/>
      <c r="H836" s="141"/>
      <c r="I836" s="141"/>
      <c r="J836" s="141"/>
      <c r="K836" s="141"/>
      <c r="L836" s="141"/>
    </row>
    <row r="837">
      <c r="A837" s="141"/>
      <c r="B837" s="141"/>
      <c r="C837" s="141"/>
      <c r="D837" s="141"/>
      <c r="E837" s="141"/>
      <c r="F837" s="141"/>
      <c r="G837" s="141"/>
      <c r="H837" s="141"/>
      <c r="I837" s="141"/>
      <c r="J837" s="141"/>
      <c r="K837" s="141"/>
      <c r="L837" s="141"/>
    </row>
    <row r="838">
      <c r="A838" s="141"/>
      <c r="B838" s="141"/>
      <c r="C838" s="141"/>
      <c r="D838" s="141"/>
      <c r="E838" s="141"/>
      <c r="F838" s="141"/>
      <c r="G838" s="141"/>
      <c r="H838" s="141"/>
      <c r="I838" s="141"/>
      <c r="J838" s="141"/>
      <c r="K838" s="141"/>
      <c r="L838" s="141"/>
    </row>
    <row r="839">
      <c r="A839" s="141"/>
      <c r="B839" s="141"/>
      <c r="C839" s="141"/>
      <c r="D839" s="141"/>
      <c r="E839" s="141"/>
      <c r="F839" s="141"/>
      <c r="G839" s="141"/>
      <c r="H839" s="141"/>
      <c r="I839" s="141"/>
      <c r="J839" s="141"/>
      <c r="K839" s="141"/>
      <c r="L839" s="141"/>
    </row>
    <row r="840">
      <c r="A840" s="141"/>
      <c r="B840" s="141"/>
      <c r="C840" s="141"/>
      <c r="D840" s="141"/>
      <c r="E840" s="141"/>
      <c r="F840" s="141"/>
      <c r="G840" s="141"/>
      <c r="H840" s="141"/>
      <c r="I840" s="141"/>
      <c r="J840" s="141"/>
      <c r="K840" s="141"/>
      <c r="L840" s="141"/>
    </row>
    <row r="841">
      <c r="A841" s="141"/>
      <c r="B841" s="141"/>
      <c r="C841" s="141"/>
      <c r="D841" s="141"/>
      <c r="E841" s="141"/>
      <c r="F841" s="141"/>
      <c r="G841" s="141"/>
      <c r="H841" s="141"/>
      <c r="I841" s="141"/>
      <c r="J841" s="141"/>
      <c r="K841" s="141"/>
      <c r="L841" s="141"/>
    </row>
    <row r="842">
      <c r="A842" s="141"/>
      <c r="B842" s="141"/>
      <c r="C842" s="141"/>
      <c r="D842" s="141"/>
      <c r="E842" s="141"/>
      <c r="F842" s="141"/>
      <c r="G842" s="141"/>
      <c r="H842" s="141"/>
      <c r="I842" s="141"/>
      <c r="J842" s="141"/>
      <c r="K842" s="141"/>
      <c r="L842" s="141"/>
    </row>
    <row r="843">
      <c r="A843" s="141"/>
      <c r="B843" s="141"/>
      <c r="C843" s="141"/>
      <c r="D843" s="141"/>
      <c r="E843" s="141"/>
      <c r="F843" s="141"/>
      <c r="G843" s="141"/>
      <c r="H843" s="141"/>
      <c r="I843" s="141"/>
      <c r="J843" s="141"/>
      <c r="K843" s="141"/>
      <c r="L843" s="141"/>
    </row>
    <row r="844">
      <c r="A844" s="141"/>
      <c r="B844" s="141"/>
      <c r="C844" s="141"/>
      <c r="D844" s="141"/>
      <c r="E844" s="141"/>
      <c r="F844" s="141"/>
      <c r="G844" s="141"/>
      <c r="H844" s="141"/>
      <c r="I844" s="141"/>
      <c r="J844" s="141"/>
      <c r="K844" s="141"/>
      <c r="L844" s="141"/>
    </row>
    <row r="845">
      <c r="A845" s="141"/>
      <c r="B845" s="141"/>
      <c r="C845" s="141"/>
      <c r="D845" s="141"/>
      <c r="E845" s="141"/>
      <c r="F845" s="141"/>
      <c r="G845" s="141"/>
      <c r="H845" s="141"/>
      <c r="I845" s="141"/>
      <c r="J845" s="141"/>
      <c r="K845" s="141"/>
      <c r="L845" s="141"/>
    </row>
    <row r="846">
      <c r="A846" s="141"/>
      <c r="B846" s="141"/>
      <c r="C846" s="141"/>
      <c r="D846" s="141"/>
      <c r="E846" s="141"/>
      <c r="F846" s="141"/>
      <c r="G846" s="141"/>
      <c r="H846" s="141"/>
      <c r="I846" s="141"/>
      <c r="J846" s="141"/>
      <c r="K846" s="141"/>
      <c r="L846" s="141"/>
    </row>
    <row r="847">
      <c r="A847" s="141"/>
      <c r="B847" s="141"/>
      <c r="C847" s="141"/>
      <c r="D847" s="141"/>
      <c r="E847" s="141"/>
      <c r="F847" s="141"/>
      <c r="G847" s="141"/>
      <c r="H847" s="141"/>
      <c r="I847" s="141"/>
      <c r="J847" s="141"/>
      <c r="K847" s="141"/>
      <c r="L847" s="141"/>
    </row>
    <row r="848">
      <c r="A848" s="141"/>
      <c r="B848" s="141"/>
      <c r="C848" s="141"/>
      <c r="D848" s="141"/>
      <c r="E848" s="141"/>
      <c r="F848" s="141"/>
      <c r="G848" s="141"/>
      <c r="H848" s="141"/>
      <c r="I848" s="141"/>
      <c r="J848" s="141"/>
      <c r="K848" s="141"/>
      <c r="L848" s="141"/>
    </row>
    <row r="849">
      <c r="A849" s="141"/>
      <c r="B849" s="141"/>
      <c r="C849" s="141"/>
      <c r="D849" s="141"/>
      <c r="E849" s="141"/>
      <c r="F849" s="141"/>
      <c r="G849" s="141"/>
      <c r="H849" s="141"/>
      <c r="I849" s="141"/>
      <c r="J849" s="141"/>
      <c r="K849" s="141"/>
      <c r="L849" s="141"/>
    </row>
    <row r="850">
      <c r="A850" s="141"/>
      <c r="B850" s="141"/>
      <c r="C850" s="141"/>
      <c r="D850" s="141"/>
      <c r="E850" s="141"/>
      <c r="F850" s="141"/>
      <c r="G850" s="141"/>
      <c r="H850" s="141"/>
      <c r="I850" s="141"/>
      <c r="J850" s="141"/>
      <c r="K850" s="141"/>
      <c r="L850" s="141"/>
    </row>
    <row r="851">
      <c r="A851" s="141"/>
      <c r="B851" s="141"/>
      <c r="C851" s="141"/>
      <c r="D851" s="141"/>
      <c r="E851" s="141"/>
      <c r="F851" s="141"/>
      <c r="G851" s="141"/>
      <c r="H851" s="141"/>
      <c r="I851" s="141"/>
      <c r="J851" s="141"/>
      <c r="K851" s="141"/>
      <c r="L851" s="141"/>
    </row>
    <row r="852">
      <c r="A852" s="141"/>
      <c r="B852" s="141"/>
      <c r="C852" s="141"/>
      <c r="D852" s="141"/>
      <c r="E852" s="141"/>
      <c r="F852" s="141"/>
      <c r="G852" s="141"/>
      <c r="H852" s="141"/>
      <c r="I852" s="141"/>
      <c r="J852" s="141"/>
      <c r="K852" s="141"/>
      <c r="L852" s="141"/>
    </row>
    <row r="853">
      <c r="A853" s="141"/>
      <c r="B853" s="141"/>
      <c r="C853" s="141"/>
      <c r="D853" s="141"/>
      <c r="E853" s="141"/>
      <c r="F853" s="141"/>
      <c r="G853" s="141"/>
      <c r="H853" s="141"/>
      <c r="I853" s="141"/>
      <c r="J853" s="141"/>
      <c r="K853" s="141"/>
      <c r="L853" s="141"/>
    </row>
    <row r="854">
      <c r="A854" s="141"/>
      <c r="B854" s="141"/>
      <c r="C854" s="141"/>
      <c r="D854" s="141"/>
      <c r="E854" s="141"/>
      <c r="F854" s="141"/>
      <c r="G854" s="141"/>
      <c r="H854" s="141"/>
      <c r="I854" s="141"/>
      <c r="J854" s="141"/>
      <c r="K854" s="141"/>
      <c r="L854" s="141"/>
    </row>
    <row r="855">
      <c r="A855" s="141"/>
      <c r="B855" s="141"/>
      <c r="C855" s="141"/>
      <c r="D855" s="141"/>
      <c r="E855" s="141"/>
      <c r="F855" s="141"/>
      <c r="G855" s="141"/>
      <c r="H855" s="141"/>
      <c r="I855" s="141"/>
      <c r="J855" s="141"/>
      <c r="K855" s="141"/>
      <c r="L855" s="141"/>
    </row>
    <row r="856">
      <c r="A856" s="141"/>
      <c r="B856" s="141"/>
      <c r="C856" s="141"/>
      <c r="D856" s="141"/>
      <c r="E856" s="141"/>
      <c r="F856" s="141"/>
      <c r="G856" s="141"/>
      <c r="H856" s="141"/>
      <c r="I856" s="141"/>
      <c r="J856" s="141"/>
      <c r="K856" s="141"/>
      <c r="L856" s="141"/>
    </row>
    <row r="857">
      <c r="A857" s="141"/>
      <c r="B857" s="141"/>
      <c r="C857" s="141"/>
      <c r="D857" s="141"/>
      <c r="E857" s="141"/>
      <c r="F857" s="141"/>
      <c r="G857" s="141"/>
      <c r="H857" s="141"/>
      <c r="I857" s="141"/>
      <c r="J857" s="141"/>
      <c r="K857" s="141"/>
      <c r="L857" s="141"/>
    </row>
    <row r="858">
      <c r="A858" s="141"/>
      <c r="B858" s="141"/>
      <c r="C858" s="141"/>
      <c r="D858" s="141"/>
      <c r="E858" s="141"/>
      <c r="F858" s="141"/>
      <c r="G858" s="141"/>
      <c r="H858" s="141"/>
      <c r="I858" s="141"/>
      <c r="J858" s="141"/>
      <c r="K858" s="141"/>
      <c r="L858" s="141"/>
    </row>
    <row r="859">
      <c r="A859" s="141"/>
      <c r="B859" s="141"/>
      <c r="C859" s="141"/>
      <c r="D859" s="141"/>
      <c r="E859" s="141"/>
      <c r="F859" s="141"/>
      <c r="G859" s="141"/>
      <c r="H859" s="141"/>
      <c r="I859" s="141"/>
      <c r="J859" s="141"/>
      <c r="K859" s="141"/>
      <c r="L859" s="141"/>
    </row>
    <row r="860">
      <c r="A860" s="141"/>
      <c r="B860" s="141"/>
      <c r="C860" s="141"/>
      <c r="D860" s="141"/>
      <c r="E860" s="141"/>
      <c r="F860" s="141"/>
      <c r="G860" s="141"/>
      <c r="H860" s="141"/>
      <c r="I860" s="141"/>
      <c r="J860" s="141"/>
      <c r="K860" s="141"/>
      <c r="L860" s="141"/>
    </row>
    <row r="861">
      <c r="A861" s="141"/>
      <c r="B861" s="141"/>
      <c r="C861" s="141"/>
      <c r="D861" s="141"/>
      <c r="E861" s="141"/>
      <c r="F861" s="141"/>
      <c r="G861" s="141"/>
      <c r="H861" s="141"/>
      <c r="I861" s="141"/>
      <c r="J861" s="141"/>
      <c r="K861" s="141"/>
      <c r="L861" s="141"/>
    </row>
    <row r="862">
      <c r="A862" s="141"/>
      <c r="B862" s="141"/>
      <c r="C862" s="141"/>
      <c r="D862" s="141"/>
      <c r="E862" s="141"/>
      <c r="F862" s="141"/>
      <c r="G862" s="141"/>
      <c r="H862" s="141"/>
      <c r="I862" s="141"/>
      <c r="J862" s="141"/>
      <c r="K862" s="141"/>
      <c r="L862" s="141"/>
    </row>
    <row r="863">
      <c r="A863" s="141"/>
      <c r="B863" s="141"/>
      <c r="C863" s="141"/>
      <c r="D863" s="141"/>
      <c r="E863" s="141"/>
      <c r="F863" s="141"/>
      <c r="G863" s="141"/>
      <c r="H863" s="141"/>
      <c r="I863" s="141"/>
      <c r="J863" s="141"/>
      <c r="K863" s="141"/>
      <c r="L863" s="141"/>
    </row>
    <row r="864">
      <c r="A864" s="141"/>
      <c r="B864" s="141"/>
      <c r="C864" s="141"/>
      <c r="D864" s="141"/>
      <c r="E864" s="141"/>
      <c r="F864" s="141"/>
      <c r="G864" s="141"/>
      <c r="H864" s="141"/>
      <c r="I864" s="141"/>
      <c r="J864" s="141"/>
      <c r="K864" s="141"/>
      <c r="L864" s="141"/>
    </row>
    <row r="865">
      <c r="A865" s="141"/>
      <c r="B865" s="141"/>
      <c r="C865" s="141"/>
      <c r="D865" s="141"/>
      <c r="E865" s="141"/>
      <c r="F865" s="141"/>
      <c r="G865" s="141"/>
      <c r="H865" s="141"/>
      <c r="I865" s="141"/>
      <c r="J865" s="141"/>
      <c r="K865" s="141"/>
      <c r="L865" s="141"/>
    </row>
    <row r="866">
      <c r="A866" s="141"/>
      <c r="B866" s="141"/>
      <c r="C866" s="141"/>
      <c r="D866" s="141"/>
      <c r="E866" s="141"/>
      <c r="F866" s="141"/>
      <c r="G866" s="141"/>
      <c r="H866" s="141"/>
      <c r="I866" s="141"/>
      <c r="J866" s="141"/>
      <c r="K866" s="141"/>
      <c r="L866" s="141"/>
    </row>
    <row r="867">
      <c r="A867" s="141"/>
      <c r="B867" s="141"/>
      <c r="C867" s="141"/>
      <c r="D867" s="141"/>
      <c r="E867" s="141"/>
      <c r="F867" s="141"/>
      <c r="G867" s="141"/>
      <c r="H867" s="141"/>
      <c r="I867" s="141"/>
      <c r="J867" s="141"/>
      <c r="K867" s="141"/>
      <c r="L867" s="141"/>
    </row>
    <row r="868">
      <c r="A868" s="141"/>
      <c r="B868" s="141"/>
      <c r="C868" s="141"/>
      <c r="D868" s="141"/>
      <c r="E868" s="141"/>
      <c r="F868" s="141"/>
      <c r="G868" s="141"/>
      <c r="H868" s="141"/>
      <c r="I868" s="141"/>
      <c r="J868" s="141"/>
      <c r="K868" s="141"/>
      <c r="L868" s="141"/>
    </row>
    <row r="869">
      <c r="A869" s="141"/>
      <c r="B869" s="141"/>
      <c r="C869" s="141"/>
      <c r="D869" s="141"/>
      <c r="E869" s="141"/>
      <c r="F869" s="141"/>
      <c r="G869" s="141"/>
      <c r="H869" s="141"/>
      <c r="I869" s="141"/>
      <c r="J869" s="141"/>
      <c r="K869" s="141"/>
      <c r="L869" s="141"/>
    </row>
    <row r="870">
      <c r="A870" s="141"/>
      <c r="B870" s="141"/>
      <c r="C870" s="141"/>
      <c r="D870" s="141"/>
      <c r="E870" s="141"/>
      <c r="F870" s="141"/>
      <c r="G870" s="141"/>
      <c r="H870" s="141"/>
      <c r="I870" s="141"/>
      <c r="J870" s="141"/>
      <c r="K870" s="141"/>
      <c r="L870" s="141"/>
    </row>
    <row r="871">
      <c r="A871" s="141"/>
      <c r="B871" s="141"/>
      <c r="C871" s="141"/>
      <c r="D871" s="141"/>
      <c r="E871" s="141"/>
      <c r="F871" s="141"/>
      <c r="G871" s="141"/>
      <c r="H871" s="141"/>
      <c r="I871" s="141"/>
      <c r="J871" s="141"/>
      <c r="K871" s="141"/>
      <c r="L871" s="141"/>
    </row>
    <row r="872">
      <c r="A872" s="141"/>
      <c r="B872" s="141"/>
      <c r="C872" s="141"/>
      <c r="D872" s="141"/>
      <c r="E872" s="141"/>
      <c r="F872" s="141"/>
      <c r="G872" s="141"/>
      <c r="H872" s="141"/>
      <c r="I872" s="141"/>
      <c r="J872" s="141"/>
      <c r="K872" s="141"/>
      <c r="L872" s="141"/>
    </row>
    <row r="873">
      <c r="A873" s="141"/>
      <c r="B873" s="141"/>
      <c r="C873" s="141"/>
      <c r="D873" s="141"/>
      <c r="E873" s="141"/>
      <c r="F873" s="141"/>
      <c r="G873" s="141"/>
      <c r="H873" s="141"/>
      <c r="I873" s="141"/>
      <c r="J873" s="141"/>
      <c r="K873" s="141"/>
      <c r="L873" s="141"/>
    </row>
    <row r="874">
      <c r="A874" s="141"/>
      <c r="B874" s="141"/>
      <c r="C874" s="141"/>
      <c r="D874" s="141"/>
      <c r="E874" s="141"/>
      <c r="F874" s="141"/>
      <c r="G874" s="141"/>
      <c r="H874" s="141"/>
      <c r="I874" s="141"/>
      <c r="J874" s="141"/>
      <c r="K874" s="141"/>
      <c r="L874" s="141"/>
    </row>
    <row r="875">
      <c r="A875" s="141"/>
      <c r="B875" s="141"/>
      <c r="C875" s="141"/>
      <c r="D875" s="141"/>
      <c r="E875" s="141"/>
      <c r="F875" s="141"/>
      <c r="G875" s="141"/>
      <c r="H875" s="141"/>
      <c r="I875" s="141"/>
      <c r="J875" s="141"/>
      <c r="K875" s="141"/>
      <c r="L875" s="141"/>
    </row>
    <row r="876">
      <c r="A876" s="141"/>
      <c r="B876" s="141"/>
      <c r="C876" s="141"/>
      <c r="D876" s="141"/>
      <c r="E876" s="141"/>
      <c r="F876" s="141"/>
      <c r="G876" s="141"/>
      <c r="H876" s="141"/>
      <c r="I876" s="141"/>
      <c r="J876" s="141"/>
      <c r="K876" s="141"/>
      <c r="L876" s="141"/>
    </row>
    <row r="877">
      <c r="A877" s="141"/>
      <c r="B877" s="141"/>
      <c r="C877" s="141"/>
      <c r="D877" s="141"/>
      <c r="E877" s="141"/>
      <c r="F877" s="141"/>
      <c r="G877" s="141"/>
      <c r="H877" s="141"/>
      <c r="I877" s="141"/>
      <c r="J877" s="141"/>
      <c r="K877" s="141"/>
      <c r="L877" s="141"/>
    </row>
    <row r="878">
      <c r="A878" s="141"/>
      <c r="B878" s="141"/>
      <c r="C878" s="141"/>
      <c r="D878" s="141"/>
      <c r="E878" s="141"/>
      <c r="F878" s="141"/>
      <c r="G878" s="141"/>
      <c r="H878" s="141"/>
      <c r="I878" s="141"/>
      <c r="J878" s="141"/>
      <c r="K878" s="141"/>
      <c r="L878" s="141"/>
    </row>
    <row r="879">
      <c r="A879" s="141"/>
      <c r="B879" s="141"/>
      <c r="C879" s="141"/>
      <c r="D879" s="141"/>
      <c r="E879" s="141"/>
      <c r="F879" s="141"/>
      <c r="G879" s="141"/>
      <c r="H879" s="141"/>
      <c r="I879" s="141"/>
      <c r="J879" s="141"/>
      <c r="K879" s="141"/>
      <c r="L879" s="141"/>
    </row>
    <row r="880">
      <c r="A880" s="141"/>
      <c r="B880" s="141"/>
      <c r="C880" s="141"/>
      <c r="D880" s="141"/>
      <c r="E880" s="141"/>
      <c r="F880" s="141"/>
      <c r="G880" s="141"/>
      <c r="H880" s="141"/>
      <c r="I880" s="141"/>
      <c r="J880" s="141"/>
      <c r="K880" s="141"/>
      <c r="L880" s="141"/>
    </row>
    <row r="881">
      <c r="A881" s="141"/>
      <c r="B881" s="141"/>
      <c r="C881" s="141"/>
      <c r="D881" s="141"/>
      <c r="E881" s="141"/>
      <c r="F881" s="141"/>
      <c r="G881" s="141"/>
      <c r="H881" s="141"/>
      <c r="I881" s="141"/>
      <c r="J881" s="141"/>
      <c r="K881" s="141"/>
      <c r="L881" s="141"/>
    </row>
    <row r="882">
      <c r="A882" s="141"/>
      <c r="B882" s="141"/>
      <c r="C882" s="141"/>
      <c r="D882" s="141"/>
      <c r="E882" s="141"/>
      <c r="F882" s="141"/>
      <c r="G882" s="141"/>
      <c r="H882" s="141"/>
      <c r="I882" s="141"/>
      <c r="J882" s="141"/>
      <c r="K882" s="141"/>
      <c r="L882" s="141"/>
    </row>
    <row r="883">
      <c r="A883" s="141"/>
      <c r="B883" s="141"/>
      <c r="C883" s="141"/>
      <c r="D883" s="141"/>
      <c r="E883" s="141"/>
      <c r="F883" s="141"/>
      <c r="G883" s="141"/>
      <c r="H883" s="141"/>
      <c r="I883" s="141"/>
      <c r="J883" s="141"/>
      <c r="K883" s="141"/>
      <c r="L883" s="141"/>
    </row>
    <row r="884">
      <c r="A884" s="141"/>
      <c r="B884" s="141"/>
      <c r="C884" s="141"/>
      <c r="D884" s="141"/>
      <c r="E884" s="141"/>
      <c r="F884" s="141"/>
      <c r="G884" s="141"/>
      <c r="H884" s="141"/>
      <c r="I884" s="141"/>
      <c r="J884" s="141"/>
      <c r="K884" s="141"/>
      <c r="L884" s="141"/>
    </row>
    <row r="885">
      <c r="A885" s="141"/>
      <c r="B885" s="141"/>
      <c r="C885" s="141"/>
      <c r="D885" s="141"/>
      <c r="E885" s="141"/>
      <c r="F885" s="141"/>
      <c r="G885" s="141"/>
      <c r="H885" s="141"/>
      <c r="I885" s="141"/>
      <c r="J885" s="141"/>
      <c r="K885" s="141"/>
      <c r="L885" s="141"/>
    </row>
    <row r="886">
      <c r="A886" s="141"/>
      <c r="B886" s="141"/>
      <c r="C886" s="141"/>
      <c r="D886" s="141"/>
      <c r="E886" s="141"/>
      <c r="F886" s="141"/>
      <c r="G886" s="141"/>
      <c r="H886" s="141"/>
      <c r="I886" s="141"/>
      <c r="J886" s="141"/>
      <c r="K886" s="141"/>
      <c r="L886" s="141"/>
    </row>
    <row r="887">
      <c r="A887" s="141"/>
      <c r="B887" s="141"/>
      <c r="C887" s="141"/>
      <c r="D887" s="141"/>
      <c r="E887" s="141"/>
      <c r="F887" s="141"/>
      <c r="G887" s="141"/>
      <c r="H887" s="141"/>
      <c r="I887" s="141"/>
      <c r="J887" s="141"/>
      <c r="K887" s="141"/>
      <c r="L887" s="141"/>
    </row>
    <row r="888">
      <c r="A888" s="141"/>
      <c r="B888" s="141"/>
      <c r="C888" s="141"/>
      <c r="D888" s="141"/>
      <c r="E888" s="141"/>
      <c r="F888" s="141"/>
      <c r="G888" s="141"/>
      <c r="H888" s="141"/>
      <c r="I888" s="141"/>
      <c r="J888" s="141"/>
      <c r="K888" s="141"/>
      <c r="L888" s="141"/>
    </row>
    <row r="889">
      <c r="A889" s="141"/>
      <c r="B889" s="141"/>
      <c r="C889" s="141"/>
      <c r="D889" s="141"/>
      <c r="E889" s="141"/>
      <c r="F889" s="141"/>
      <c r="G889" s="141"/>
      <c r="H889" s="141"/>
      <c r="I889" s="141"/>
      <c r="J889" s="141"/>
      <c r="K889" s="141"/>
      <c r="L889" s="141"/>
    </row>
    <row r="890">
      <c r="A890" s="141"/>
      <c r="B890" s="141"/>
      <c r="C890" s="141"/>
      <c r="D890" s="141"/>
      <c r="E890" s="141"/>
      <c r="F890" s="141"/>
      <c r="G890" s="141"/>
      <c r="H890" s="141"/>
      <c r="I890" s="141"/>
      <c r="J890" s="141"/>
      <c r="K890" s="141"/>
      <c r="L890" s="141"/>
    </row>
    <row r="891">
      <c r="A891" s="141"/>
      <c r="B891" s="141"/>
      <c r="C891" s="141"/>
      <c r="D891" s="141"/>
      <c r="E891" s="141"/>
      <c r="F891" s="141"/>
      <c r="G891" s="141"/>
      <c r="H891" s="141"/>
      <c r="I891" s="141"/>
      <c r="J891" s="141"/>
      <c r="K891" s="141"/>
      <c r="L891" s="141"/>
    </row>
    <row r="892">
      <c r="A892" s="141"/>
      <c r="B892" s="141"/>
      <c r="C892" s="141"/>
      <c r="D892" s="141"/>
      <c r="E892" s="141"/>
      <c r="F892" s="141"/>
      <c r="G892" s="141"/>
      <c r="H892" s="141"/>
      <c r="I892" s="141"/>
      <c r="J892" s="141"/>
      <c r="K892" s="141"/>
      <c r="L892" s="141"/>
    </row>
    <row r="893">
      <c r="A893" s="141"/>
      <c r="B893" s="141"/>
      <c r="C893" s="141"/>
      <c r="D893" s="141"/>
      <c r="E893" s="141"/>
      <c r="F893" s="141"/>
      <c r="G893" s="141"/>
      <c r="H893" s="141"/>
      <c r="I893" s="141"/>
      <c r="J893" s="141"/>
      <c r="K893" s="141"/>
      <c r="L893" s="141"/>
    </row>
    <row r="894">
      <c r="A894" s="141"/>
      <c r="B894" s="141"/>
      <c r="C894" s="141"/>
      <c r="D894" s="141"/>
      <c r="E894" s="141"/>
      <c r="F894" s="141"/>
      <c r="G894" s="141"/>
      <c r="H894" s="141"/>
      <c r="I894" s="141"/>
      <c r="J894" s="141"/>
      <c r="K894" s="141"/>
      <c r="L894" s="141"/>
    </row>
    <row r="895">
      <c r="A895" s="141"/>
      <c r="B895" s="141"/>
      <c r="C895" s="141"/>
      <c r="D895" s="141"/>
      <c r="E895" s="141"/>
      <c r="F895" s="141"/>
      <c r="G895" s="141"/>
      <c r="H895" s="141"/>
      <c r="I895" s="141"/>
      <c r="J895" s="141"/>
      <c r="K895" s="141"/>
      <c r="L895" s="141"/>
    </row>
    <row r="896">
      <c r="A896" s="141"/>
      <c r="B896" s="141"/>
      <c r="C896" s="141"/>
      <c r="D896" s="141"/>
      <c r="E896" s="141"/>
      <c r="F896" s="141"/>
      <c r="G896" s="141"/>
      <c r="H896" s="141"/>
      <c r="I896" s="141"/>
      <c r="J896" s="141"/>
      <c r="K896" s="141"/>
      <c r="L896" s="141"/>
    </row>
    <row r="897">
      <c r="A897" s="141"/>
      <c r="B897" s="141"/>
      <c r="C897" s="141"/>
      <c r="D897" s="141"/>
      <c r="E897" s="141"/>
      <c r="F897" s="141"/>
      <c r="G897" s="141"/>
      <c r="H897" s="141"/>
      <c r="I897" s="141"/>
      <c r="J897" s="141"/>
      <c r="K897" s="141"/>
      <c r="L897" s="141"/>
    </row>
    <row r="898">
      <c r="A898" s="141"/>
      <c r="B898" s="141"/>
      <c r="C898" s="141"/>
      <c r="D898" s="141"/>
      <c r="E898" s="141"/>
      <c r="F898" s="141"/>
      <c r="G898" s="141"/>
      <c r="H898" s="141"/>
      <c r="I898" s="141"/>
      <c r="J898" s="141"/>
      <c r="K898" s="141"/>
      <c r="L898" s="141"/>
    </row>
    <row r="899">
      <c r="A899" s="141"/>
      <c r="B899" s="141"/>
      <c r="C899" s="141"/>
      <c r="D899" s="141"/>
      <c r="E899" s="141"/>
      <c r="F899" s="141"/>
      <c r="G899" s="141"/>
      <c r="H899" s="141"/>
      <c r="I899" s="141"/>
      <c r="J899" s="141"/>
      <c r="K899" s="141"/>
      <c r="L899" s="141"/>
    </row>
    <row r="900">
      <c r="A900" s="141"/>
      <c r="B900" s="141"/>
      <c r="C900" s="141"/>
      <c r="D900" s="141"/>
      <c r="E900" s="141"/>
      <c r="F900" s="141"/>
      <c r="G900" s="141"/>
      <c r="H900" s="141"/>
      <c r="I900" s="141"/>
      <c r="J900" s="141"/>
      <c r="K900" s="141"/>
      <c r="L900" s="141"/>
    </row>
    <row r="901">
      <c r="A901" s="141"/>
      <c r="B901" s="141"/>
      <c r="C901" s="141"/>
      <c r="D901" s="141"/>
      <c r="E901" s="141"/>
      <c r="F901" s="141"/>
      <c r="G901" s="141"/>
      <c r="H901" s="141"/>
      <c r="I901" s="141"/>
      <c r="J901" s="141"/>
      <c r="K901" s="141"/>
      <c r="L901" s="141"/>
    </row>
    <row r="902">
      <c r="A902" s="141"/>
      <c r="B902" s="141"/>
      <c r="C902" s="141"/>
      <c r="D902" s="141"/>
      <c r="E902" s="141"/>
      <c r="F902" s="141"/>
      <c r="G902" s="141"/>
      <c r="H902" s="141"/>
      <c r="I902" s="141"/>
      <c r="J902" s="141"/>
      <c r="K902" s="141"/>
      <c r="L902" s="141"/>
    </row>
    <row r="903">
      <c r="A903" s="141"/>
      <c r="B903" s="141"/>
      <c r="C903" s="141"/>
      <c r="D903" s="141"/>
      <c r="E903" s="141"/>
      <c r="F903" s="141"/>
      <c r="G903" s="141"/>
      <c r="H903" s="141"/>
      <c r="I903" s="141"/>
      <c r="J903" s="141"/>
      <c r="K903" s="141"/>
      <c r="L903" s="141"/>
    </row>
    <row r="904">
      <c r="A904" s="141"/>
      <c r="B904" s="141"/>
      <c r="C904" s="141"/>
      <c r="D904" s="141"/>
      <c r="E904" s="141"/>
      <c r="F904" s="141"/>
      <c r="G904" s="141"/>
      <c r="H904" s="141"/>
      <c r="I904" s="141"/>
      <c r="J904" s="141"/>
      <c r="K904" s="141"/>
      <c r="L904" s="141"/>
    </row>
    <row r="905">
      <c r="A905" s="141"/>
      <c r="B905" s="141"/>
      <c r="C905" s="141"/>
      <c r="D905" s="141"/>
      <c r="E905" s="141"/>
      <c r="F905" s="141"/>
      <c r="G905" s="141"/>
      <c r="H905" s="141"/>
      <c r="I905" s="141"/>
      <c r="J905" s="141"/>
      <c r="K905" s="141"/>
      <c r="L905" s="141"/>
    </row>
    <row r="906">
      <c r="A906" s="141"/>
      <c r="B906" s="141"/>
      <c r="C906" s="141"/>
      <c r="D906" s="141"/>
      <c r="E906" s="141"/>
      <c r="F906" s="141"/>
      <c r="G906" s="141"/>
      <c r="H906" s="141"/>
      <c r="I906" s="141"/>
      <c r="J906" s="141"/>
      <c r="K906" s="141"/>
      <c r="L906" s="141"/>
    </row>
    <row r="907">
      <c r="A907" s="141"/>
      <c r="B907" s="141"/>
      <c r="C907" s="141"/>
      <c r="D907" s="141"/>
      <c r="E907" s="141"/>
      <c r="F907" s="141"/>
      <c r="G907" s="141"/>
      <c r="H907" s="141"/>
      <c r="I907" s="141"/>
      <c r="J907" s="141"/>
      <c r="K907" s="141"/>
      <c r="L907" s="141"/>
    </row>
    <row r="908">
      <c r="A908" s="141"/>
      <c r="B908" s="141"/>
      <c r="C908" s="141"/>
      <c r="D908" s="141"/>
      <c r="E908" s="141"/>
      <c r="F908" s="141"/>
      <c r="G908" s="141"/>
      <c r="H908" s="141"/>
      <c r="I908" s="141"/>
      <c r="J908" s="141"/>
      <c r="K908" s="141"/>
      <c r="L908" s="141"/>
    </row>
    <row r="909">
      <c r="A909" s="141"/>
      <c r="B909" s="141"/>
      <c r="C909" s="141"/>
      <c r="D909" s="141"/>
      <c r="E909" s="141"/>
      <c r="F909" s="141"/>
      <c r="G909" s="141"/>
      <c r="H909" s="141"/>
      <c r="I909" s="141"/>
      <c r="J909" s="141"/>
      <c r="K909" s="141"/>
      <c r="L909" s="141"/>
    </row>
    <row r="910">
      <c r="A910" s="141"/>
      <c r="B910" s="141"/>
      <c r="C910" s="141"/>
      <c r="D910" s="141"/>
      <c r="E910" s="141"/>
      <c r="F910" s="141"/>
      <c r="G910" s="141"/>
      <c r="H910" s="141"/>
      <c r="I910" s="141"/>
      <c r="J910" s="141"/>
      <c r="K910" s="141"/>
      <c r="L910" s="141"/>
    </row>
    <row r="911">
      <c r="A911" s="141"/>
      <c r="B911" s="141"/>
      <c r="C911" s="141"/>
      <c r="D911" s="141"/>
      <c r="E911" s="141"/>
      <c r="F911" s="141"/>
      <c r="G911" s="141"/>
      <c r="H911" s="141"/>
      <c r="I911" s="141"/>
      <c r="J911" s="141"/>
      <c r="K911" s="141"/>
      <c r="L911" s="141"/>
    </row>
    <row r="912">
      <c r="A912" s="141"/>
      <c r="B912" s="141"/>
      <c r="C912" s="141"/>
      <c r="D912" s="141"/>
      <c r="E912" s="141"/>
      <c r="F912" s="141"/>
      <c r="G912" s="141"/>
      <c r="H912" s="141"/>
      <c r="I912" s="141"/>
      <c r="J912" s="141"/>
      <c r="K912" s="141"/>
      <c r="L912" s="141"/>
    </row>
    <row r="913">
      <c r="A913" s="141"/>
      <c r="B913" s="141"/>
      <c r="C913" s="141"/>
      <c r="D913" s="141"/>
      <c r="E913" s="141"/>
      <c r="F913" s="141"/>
      <c r="G913" s="141"/>
      <c r="H913" s="141"/>
      <c r="I913" s="141"/>
      <c r="J913" s="141"/>
      <c r="K913" s="141"/>
      <c r="L913" s="141"/>
    </row>
    <row r="914">
      <c r="A914" s="141"/>
      <c r="B914" s="141"/>
      <c r="C914" s="141"/>
      <c r="D914" s="141"/>
      <c r="E914" s="141"/>
      <c r="F914" s="141"/>
      <c r="G914" s="141"/>
      <c r="H914" s="141"/>
      <c r="I914" s="141"/>
      <c r="J914" s="141"/>
      <c r="K914" s="141"/>
      <c r="L914" s="141"/>
    </row>
    <row r="915">
      <c r="A915" s="141"/>
      <c r="B915" s="141"/>
      <c r="C915" s="141"/>
      <c r="D915" s="141"/>
      <c r="E915" s="141"/>
      <c r="F915" s="141"/>
      <c r="G915" s="141"/>
      <c r="H915" s="141"/>
      <c r="I915" s="141"/>
      <c r="J915" s="141"/>
      <c r="K915" s="141"/>
      <c r="L915" s="141"/>
    </row>
    <row r="916">
      <c r="A916" s="141"/>
      <c r="B916" s="141"/>
      <c r="C916" s="141"/>
      <c r="D916" s="141"/>
      <c r="E916" s="141"/>
      <c r="F916" s="141"/>
      <c r="G916" s="141"/>
      <c r="H916" s="141"/>
      <c r="I916" s="141"/>
      <c r="J916" s="141"/>
      <c r="K916" s="141"/>
      <c r="L916" s="141"/>
    </row>
    <row r="917">
      <c r="A917" s="141"/>
      <c r="B917" s="141"/>
      <c r="C917" s="141"/>
      <c r="D917" s="141"/>
      <c r="E917" s="141"/>
      <c r="F917" s="141"/>
      <c r="G917" s="141"/>
      <c r="H917" s="141"/>
      <c r="I917" s="141"/>
      <c r="J917" s="141"/>
      <c r="K917" s="141"/>
      <c r="L917" s="141"/>
    </row>
    <row r="918">
      <c r="A918" s="141"/>
      <c r="B918" s="141"/>
      <c r="C918" s="141"/>
      <c r="D918" s="141"/>
      <c r="E918" s="141"/>
      <c r="F918" s="141"/>
      <c r="G918" s="141"/>
      <c r="H918" s="141"/>
      <c r="I918" s="141"/>
      <c r="J918" s="141"/>
      <c r="K918" s="141"/>
      <c r="L918" s="141"/>
    </row>
    <row r="919">
      <c r="A919" s="141"/>
      <c r="B919" s="141"/>
      <c r="C919" s="141"/>
      <c r="D919" s="141"/>
      <c r="E919" s="141"/>
      <c r="F919" s="141"/>
      <c r="G919" s="141"/>
      <c r="H919" s="141"/>
      <c r="I919" s="141"/>
      <c r="J919" s="141"/>
      <c r="K919" s="141"/>
      <c r="L919" s="141"/>
    </row>
    <row r="920">
      <c r="A920" s="141"/>
      <c r="B920" s="141"/>
      <c r="C920" s="141"/>
      <c r="D920" s="141"/>
      <c r="E920" s="141"/>
      <c r="F920" s="141"/>
      <c r="G920" s="141"/>
      <c r="H920" s="141"/>
      <c r="I920" s="141"/>
      <c r="J920" s="141"/>
      <c r="K920" s="141"/>
      <c r="L920" s="141"/>
    </row>
    <row r="921">
      <c r="A921" s="141"/>
      <c r="B921" s="141"/>
      <c r="C921" s="141"/>
      <c r="D921" s="141"/>
      <c r="E921" s="141"/>
      <c r="F921" s="141"/>
      <c r="G921" s="141"/>
      <c r="H921" s="141"/>
      <c r="I921" s="141"/>
      <c r="J921" s="141"/>
      <c r="K921" s="141"/>
      <c r="L921" s="141"/>
    </row>
    <row r="922">
      <c r="A922" s="141"/>
      <c r="B922" s="141"/>
      <c r="C922" s="141"/>
      <c r="D922" s="141"/>
      <c r="E922" s="141"/>
      <c r="F922" s="141"/>
      <c r="G922" s="141"/>
      <c r="H922" s="141"/>
      <c r="I922" s="141"/>
      <c r="J922" s="141"/>
      <c r="K922" s="141"/>
      <c r="L922" s="141"/>
    </row>
    <row r="923">
      <c r="A923" s="141"/>
      <c r="B923" s="141"/>
      <c r="C923" s="141"/>
      <c r="D923" s="141"/>
      <c r="E923" s="141"/>
      <c r="F923" s="141"/>
      <c r="G923" s="141"/>
      <c r="H923" s="141"/>
      <c r="I923" s="141"/>
      <c r="J923" s="141"/>
      <c r="K923" s="141"/>
      <c r="L923" s="141"/>
    </row>
    <row r="924">
      <c r="A924" s="141"/>
      <c r="B924" s="141"/>
      <c r="C924" s="141"/>
      <c r="D924" s="141"/>
      <c r="E924" s="141"/>
      <c r="F924" s="141"/>
      <c r="G924" s="141"/>
      <c r="H924" s="141"/>
      <c r="I924" s="141"/>
      <c r="J924" s="141"/>
      <c r="K924" s="141"/>
      <c r="L924" s="141"/>
    </row>
    <row r="925">
      <c r="A925" s="141"/>
      <c r="B925" s="141"/>
      <c r="C925" s="141"/>
      <c r="D925" s="141"/>
      <c r="E925" s="141"/>
      <c r="F925" s="141"/>
      <c r="G925" s="141"/>
      <c r="H925" s="141"/>
      <c r="I925" s="141"/>
      <c r="J925" s="141"/>
      <c r="K925" s="141"/>
      <c r="L925" s="141"/>
    </row>
    <row r="926">
      <c r="A926" s="141"/>
      <c r="B926" s="141"/>
      <c r="C926" s="141"/>
      <c r="D926" s="141"/>
      <c r="E926" s="141"/>
      <c r="F926" s="141"/>
      <c r="G926" s="141"/>
      <c r="H926" s="141"/>
      <c r="I926" s="141"/>
      <c r="J926" s="141"/>
      <c r="K926" s="141"/>
      <c r="L926" s="141"/>
    </row>
    <row r="927">
      <c r="A927" s="141"/>
      <c r="B927" s="141"/>
      <c r="C927" s="141"/>
      <c r="D927" s="141"/>
      <c r="E927" s="141"/>
      <c r="F927" s="141"/>
      <c r="G927" s="141"/>
      <c r="H927" s="141"/>
      <c r="I927" s="141"/>
      <c r="J927" s="141"/>
      <c r="K927" s="141"/>
      <c r="L927" s="141"/>
    </row>
    <row r="928">
      <c r="A928" s="141"/>
      <c r="B928" s="141"/>
      <c r="C928" s="141"/>
      <c r="D928" s="141"/>
      <c r="E928" s="141"/>
      <c r="F928" s="141"/>
      <c r="G928" s="141"/>
      <c r="H928" s="141"/>
      <c r="I928" s="141"/>
      <c r="J928" s="141"/>
      <c r="K928" s="141"/>
      <c r="L928" s="141"/>
    </row>
    <row r="929">
      <c r="A929" s="141"/>
      <c r="B929" s="141"/>
      <c r="C929" s="141"/>
      <c r="D929" s="141"/>
      <c r="E929" s="141"/>
      <c r="F929" s="141"/>
      <c r="G929" s="141"/>
      <c r="H929" s="141"/>
      <c r="I929" s="141"/>
      <c r="J929" s="141"/>
      <c r="K929" s="141"/>
      <c r="L929" s="141"/>
    </row>
    <row r="930">
      <c r="A930" s="141"/>
      <c r="B930" s="141"/>
      <c r="C930" s="141"/>
      <c r="D930" s="141"/>
      <c r="E930" s="141"/>
      <c r="F930" s="141"/>
      <c r="G930" s="141"/>
      <c r="H930" s="141"/>
      <c r="I930" s="141"/>
      <c r="J930" s="141"/>
      <c r="K930" s="141"/>
      <c r="L930" s="141"/>
    </row>
    <row r="931">
      <c r="A931" s="141"/>
      <c r="B931" s="141"/>
      <c r="C931" s="141"/>
      <c r="D931" s="141"/>
      <c r="E931" s="141"/>
      <c r="F931" s="141"/>
      <c r="G931" s="141"/>
      <c r="H931" s="141"/>
      <c r="I931" s="141"/>
      <c r="J931" s="141"/>
      <c r="K931" s="141"/>
      <c r="L931" s="141"/>
    </row>
    <row r="932">
      <c r="A932" s="141"/>
      <c r="B932" s="141"/>
      <c r="C932" s="141"/>
      <c r="D932" s="141"/>
      <c r="E932" s="141"/>
      <c r="F932" s="141"/>
      <c r="G932" s="141"/>
      <c r="H932" s="141"/>
      <c r="I932" s="141"/>
      <c r="J932" s="141"/>
      <c r="K932" s="141"/>
      <c r="L932" s="141"/>
    </row>
    <row r="933">
      <c r="A933" s="141"/>
      <c r="B933" s="141"/>
      <c r="C933" s="141"/>
      <c r="D933" s="141"/>
      <c r="E933" s="141"/>
      <c r="F933" s="141"/>
      <c r="G933" s="141"/>
      <c r="H933" s="141"/>
      <c r="I933" s="141"/>
      <c r="J933" s="141"/>
      <c r="K933" s="141"/>
      <c r="L933" s="141"/>
    </row>
    <row r="934">
      <c r="A934" s="141"/>
      <c r="B934" s="141"/>
      <c r="C934" s="141"/>
      <c r="D934" s="141"/>
      <c r="E934" s="141"/>
      <c r="F934" s="141"/>
      <c r="G934" s="141"/>
      <c r="H934" s="141"/>
      <c r="I934" s="141"/>
      <c r="J934" s="141"/>
      <c r="K934" s="141"/>
      <c r="L934" s="141"/>
    </row>
    <row r="935">
      <c r="A935" s="141"/>
      <c r="B935" s="141"/>
      <c r="C935" s="141"/>
      <c r="D935" s="141"/>
      <c r="E935" s="141"/>
      <c r="F935" s="141"/>
      <c r="G935" s="141"/>
      <c r="H935" s="141"/>
      <c r="I935" s="141"/>
      <c r="J935" s="141"/>
      <c r="K935" s="141"/>
      <c r="L935" s="141"/>
    </row>
    <row r="936">
      <c r="A936" s="141"/>
      <c r="B936" s="141"/>
      <c r="C936" s="141"/>
      <c r="D936" s="141"/>
      <c r="E936" s="141"/>
      <c r="F936" s="141"/>
      <c r="G936" s="141"/>
      <c r="H936" s="141"/>
      <c r="I936" s="141"/>
      <c r="J936" s="141"/>
      <c r="K936" s="141"/>
      <c r="L936" s="141"/>
    </row>
    <row r="937">
      <c r="A937" s="141"/>
      <c r="B937" s="141"/>
      <c r="C937" s="141"/>
      <c r="D937" s="141"/>
      <c r="E937" s="141"/>
      <c r="F937" s="141"/>
      <c r="G937" s="141"/>
      <c r="H937" s="141"/>
      <c r="I937" s="141"/>
      <c r="J937" s="141"/>
      <c r="K937" s="141"/>
      <c r="L937" s="141"/>
    </row>
    <row r="938">
      <c r="A938" s="141"/>
      <c r="B938" s="141"/>
      <c r="C938" s="141"/>
      <c r="D938" s="141"/>
      <c r="E938" s="141"/>
      <c r="F938" s="141"/>
      <c r="G938" s="141"/>
      <c r="H938" s="141"/>
      <c r="I938" s="141"/>
      <c r="J938" s="141"/>
      <c r="K938" s="141"/>
      <c r="L938" s="141"/>
    </row>
    <row r="939">
      <c r="A939" s="141"/>
      <c r="B939" s="141"/>
      <c r="C939" s="141"/>
      <c r="D939" s="141"/>
      <c r="E939" s="141"/>
      <c r="F939" s="141"/>
      <c r="G939" s="141"/>
      <c r="H939" s="141"/>
      <c r="I939" s="141"/>
      <c r="J939" s="141"/>
      <c r="K939" s="141"/>
      <c r="L939" s="141"/>
    </row>
    <row r="940">
      <c r="A940" s="141"/>
      <c r="B940" s="141"/>
      <c r="C940" s="141"/>
      <c r="D940" s="141"/>
      <c r="E940" s="141"/>
      <c r="F940" s="141"/>
      <c r="G940" s="141"/>
      <c r="H940" s="141"/>
      <c r="I940" s="141"/>
      <c r="J940" s="141"/>
      <c r="K940" s="141"/>
      <c r="L940" s="141"/>
    </row>
    <row r="941">
      <c r="A941" s="141"/>
      <c r="B941" s="141"/>
      <c r="C941" s="141"/>
      <c r="D941" s="141"/>
      <c r="E941" s="141"/>
      <c r="F941" s="141"/>
      <c r="G941" s="141"/>
      <c r="H941" s="141"/>
      <c r="I941" s="141"/>
      <c r="J941" s="141"/>
      <c r="K941" s="141"/>
      <c r="L941" s="141"/>
    </row>
    <row r="942">
      <c r="A942" s="141"/>
      <c r="B942" s="141"/>
      <c r="C942" s="141"/>
      <c r="D942" s="141"/>
      <c r="E942" s="141"/>
      <c r="F942" s="141"/>
      <c r="G942" s="141"/>
      <c r="H942" s="141"/>
      <c r="I942" s="141"/>
      <c r="J942" s="141"/>
      <c r="K942" s="141"/>
      <c r="L942" s="141"/>
    </row>
    <row r="943">
      <c r="A943" s="141"/>
      <c r="B943" s="141"/>
      <c r="C943" s="141"/>
      <c r="D943" s="141"/>
      <c r="E943" s="141"/>
      <c r="F943" s="141"/>
      <c r="G943" s="141"/>
      <c r="H943" s="141"/>
      <c r="I943" s="141"/>
      <c r="J943" s="141"/>
      <c r="K943" s="141"/>
      <c r="L943" s="141"/>
    </row>
    <row r="944">
      <c r="A944" s="141"/>
      <c r="B944" s="141"/>
      <c r="C944" s="141"/>
      <c r="D944" s="141"/>
      <c r="E944" s="141"/>
      <c r="F944" s="141"/>
      <c r="G944" s="141"/>
      <c r="H944" s="141"/>
      <c r="I944" s="141"/>
      <c r="J944" s="141"/>
      <c r="K944" s="141"/>
      <c r="L944" s="141"/>
    </row>
    <row r="945">
      <c r="A945" s="141"/>
      <c r="B945" s="141"/>
      <c r="C945" s="141"/>
      <c r="D945" s="141"/>
      <c r="E945" s="141"/>
      <c r="F945" s="141"/>
      <c r="G945" s="141"/>
      <c r="H945" s="141"/>
      <c r="I945" s="141"/>
      <c r="J945" s="141"/>
      <c r="K945" s="141"/>
      <c r="L945" s="141"/>
    </row>
    <row r="946">
      <c r="A946" s="141"/>
      <c r="B946" s="141"/>
      <c r="C946" s="141"/>
      <c r="D946" s="141"/>
      <c r="E946" s="141"/>
      <c r="F946" s="141"/>
      <c r="G946" s="141"/>
      <c r="H946" s="141"/>
      <c r="I946" s="141"/>
      <c r="J946" s="141"/>
      <c r="K946" s="141"/>
      <c r="L946" s="141"/>
    </row>
    <row r="947">
      <c r="A947" s="141"/>
      <c r="B947" s="141"/>
      <c r="C947" s="141"/>
      <c r="D947" s="141"/>
      <c r="E947" s="141"/>
      <c r="F947" s="141"/>
      <c r="G947" s="141"/>
      <c r="H947" s="141"/>
      <c r="I947" s="141"/>
      <c r="J947" s="141"/>
      <c r="K947" s="141"/>
      <c r="L947" s="141"/>
    </row>
    <row r="948">
      <c r="A948" s="141"/>
      <c r="B948" s="141"/>
      <c r="C948" s="141"/>
      <c r="D948" s="141"/>
      <c r="E948" s="141"/>
      <c r="F948" s="141"/>
      <c r="G948" s="141"/>
      <c r="H948" s="141"/>
      <c r="I948" s="141"/>
      <c r="J948" s="141"/>
      <c r="K948" s="141"/>
      <c r="L948" s="141"/>
    </row>
    <row r="949">
      <c r="A949" s="141"/>
      <c r="B949" s="141"/>
      <c r="C949" s="141"/>
      <c r="D949" s="141"/>
      <c r="E949" s="141"/>
      <c r="F949" s="141"/>
      <c r="G949" s="141"/>
      <c r="H949" s="141"/>
      <c r="I949" s="141"/>
      <c r="J949" s="141"/>
      <c r="K949" s="141"/>
      <c r="L949" s="141"/>
    </row>
    <row r="950">
      <c r="A950" s="141"/>
      <c r="B950" s="141"/>
      <c r="C950" s="141"/>
      <c r="D950" s="141"/>
      <c r="E950" s="141"/>
      <c r="F950" s="141"/>
      <c r="G950" s="141"/>
      <c r="H950" s="141"/>
      <c r="I950" s="141"/>
      <c r="J950" s="141"/>
      <c r="K950" s="141"/>
      <c r="L950" s="141"/>
    </row>
    <row r="951">
      <c r="A951" s="141"/>
      <c r="B951" s="141"/>
      <c r="C951" s="141"/>
      <c r="D951" s="141"/>
      <c r="E951" s="141"/>
      <c r="F951" s="141"/>
      <c r="G951" s="141"/>
      <c r="H951" s="141"/>
      <c r="I951" s="141"/>
      <c r="J951" s="141"/>
      <c r="K951" s="141"/>
      <c r="L951" s="141"/>
    </row>
    <row r="952">
      <c r="A952" s="141"/>
      <c r="B952" s="141"/>
      <c r="C952" s="141"/>
      <c r="D952" s="141"/>
      <c r="E952" s="141"/>
      <c r="F952" s="141"/>
      <c r="G952" s="141"/>
      <c r="H952" s="141"/>
      <c r="I952" s="141"/>
      <c r="J952" s="141"/>
      <c r="K952" s="141"/>
      <c r="L952" s="141"/>
    </row>
    <row r="953">
      <c r="A953" s="141"/>
      <c r="B953" s="141"/>
      <c r="C953" s="141"/>
      <c r="D953" s="141"/>
      <c r="E953" s="141"/>
      <c r="F953" s="141"/>
      <c r="G953" s="141"/>
      <c r="H953" s="141"/>
      <c r="I953" s="141"/>
      <c r="J953" s="141"/>
      <c r="K953" s="141"/>
      <c r="L953" s="141"/>
    </row>
    <row r="954">
      <c r="A954" s="141"/>
      <c r="B954" s="141"/>
      <c r="C954" s="141"/>
      <c r="D954" s="141"/>
      <c r="E954" s="141"/>
      <c r="F954" s="141"/>
      <c r="G954" s="141"/>
      <c r="H954" s="141"/>
      <c r="I954" s="141"/>
      <c r="J954" s="141"/>
      <c r="K954" s="141"/>
      <c r="L954" s="141"/>
    </row>
    <row r="955">
      <c r="A955" s="141"/>
      <c r="B955" s="141"/>
      <c r="C955" s="141"/>
      <c r="D955" s="141"/>
      <c r="E955" s="141"/>
      <c r="F955" s="141"/>
      <c r="G955" s="141"/>
      <c r="H955" s="141"/>
      <c r="I955" s="141"/>
      <c r="J955" s="141"/>
      <c r="K955" s="141"/>
      <c r="L955" s="141"/>
    </row>
    <row r="956">
      <c r="A956" s="141"/>
      <c r="B956" s="141"/>
      <c r="C956" s="141"/>
      <c r="D956" s="141"/>
      <c r="E956" s="141"/>
      <c r="F956" s="141"/>
      <c r="G956" s="141"/>
      <c r="H956" s="141"/>
      <c r="I956" s="141"/>
      <c r="J956" s="141"/>
      <c r="K956" s="141"/>
      <c r="L956" s="141"/>
    </row>
    <row r="957">
      <c r="A957" s="141"/>
      <c r="B957" s="141"/>
      <c r="C957" s="141"/>
      <c r="D957" s="141"/>
      <c r="E957" s="141"/>
      <c r="F957" s="141"/>
      <c r="G957" s="141"/>
      <c r="H957" s="141"/>
      <c r="I957" s="141"/>
      <c r="J957" s="141"/>
      <c r="K957" s="141"/>
      <c r="L957" s="141"/>
    </row>
    <row r="958">
      <c r="A958" s="141"/>
      <c r="B958" s="141"/>
      <c r="C958" s="141"/>
      <c r="D958" s="141"/>
      <c r="E958" s="141"/>
      <c r="F958" s="141"/>
      <c r="G958" s="141"/>
      <c r="H958" s="141"/>
      <c r="I958" s="141"/>
      <c r="J958" s="141"/>
      <c r="K958" s="141"/>
      <c r="L958" s="141"/>
    </row>
    <row r="959">
      <c r="A959" s="141"/>
      <c r="B959" s="141"/>
      <c r="C959" s="141"/>
      <c r="D959" s="141"/>
      <c r="E959" s="141"/>
      <c r="F959" s="141"/>
      <c r="G959" s="141"/>
      <c r="H959" s="141"/>
      <c r="I959" s="141"/>
      <c r="J959" s="141"/>
      <c r="K959" s="141"/>
      <c r="L959" s="141"/>
    </row>
    <row r="960">
      <c r="A960" s="141"/>
      <c r="B960" s="141"/>
      <c r="C960" s="141"/>
      <c r="D960" s="141"/>
      <c r="E960" s="141"/>
      <c r="F960" s="141"/>
      <c r="G960" s="141"/>
      <c r="H960" s="141"/>
      <c r="I960" s="141"/>
      <c r="J960" s="141"/>
      <c r="K960" s="141"/>
      <c r="L960" s="141"/>
    </row>
    <row r="961">
      <c r="A961" s="141"/>
      <c r="B961" s="141"/>
      <c r="C961" s="141"/>
      <c r="D961" s="141"/>
      <c r="E961" s="141"/>
      <c r="F961" s="141"/>
      <c r="G961" s="141"/>
      <c r="H961" s="141"/>
      <c r="I961" s="141"/>
      <c r="J961" s="141"/>
      <c r="K961" s="141"/>
      <c r="L961" s="141"/>
    </row>
    <row r="962">
      <c r="A962" s="141"/>
      <c r="B962" s="141"/>
      <c r="C962" s="141"/>
      <c r="D962" s="141"/>
      <c r="E962" s="141"/>
      <c r="F962" s="141"/>
      <c r="G962" s="141"/>
      <c r="H962" s="141"/>
      <c r="I962" s="141"/>
      <c r="J962" s="141"/>
      <c r="K962" s="141"/>
      <c r="L962" s="141"/>
    </row>
    <row r="963">
      <c r="A963" s="141"/>
      <c r="B963" s="141"/>
      <c r="C963" s="141"/>
      <c r="D963" s="141"/>
      <c r="E963" s="141"/>
      <c r="F963" s="141"/>
      <c r="G963" s="141"/>
      <c r="H963" s="141"/>
      <c r="I963" s="141"/>
      <c r="J963" s="141"/>
      <c r="K963" s="141"/>
      <c r="L963" s="141"/>
    </row>
    <row r="964">
      <c r="A964" s="141"/>
      <c r="B964" s="141"/>
      <c r="C964" s="141"/>
      <c r="D964" s="141"/>
      <c r="E964" s="141"/>
      <c r="F964" s="141"/>
      <c r="G964" s="141"/>
      <c r="H964" s="141"/>
      <c r="I964" s="141"/>
      <c r="J964" s="141"/>
      <c r="K964" s="141"/>
      <c r="L964" s="141"/>
    </row>
    <row r="965">
      <c r="A965" s="141"/>
      <c r="B965" s="141"/>
      <c r="C965" s="141"/>
      <c r="D965" s="141"/>
      <c r="E965" s="141"/>
      <c r="F965" s="141"/>
      <c r="G965" s="141"/>
      <c r="H965" s="141"/>
      <c r="I965" s="141"/>
      <c r="J965" s="141"/>
      <c r="K965" s="141"/>
      <c r="L965" s="141"/>
    </row>
    <row r="966">
      <c r="A966" s="141"/>
      <c r="B966" s="141"/>
      <c r="C966" s="141"/>
      <c r="D966" s="141"/>
      <c r="E966" s="141"/>
      <c r="F966" s="141"/>
      <c r="G966" s="141"/>
      <c r="H966" s="141"/>
      <c r="I966" s="141"/>
      <c r="J966" s="141"/>
      <c r="K966" s="141"/>
      <c r="L966" s="141"/>
    </row>
    <row r="967">
      <c r="A967" s="141"/>
      <c r="B967" s="141"/>
      <c r="C967" s="141"/>
      <c r="D967" s="141"/>
      <c r="E967" s="141"/>
      <c r="F967" s="141"/>
      <c r="G967" s="141"/>
      <c r="H967" s="141"/>
      <c r="I967" s="141"/>
      <c r="J967" s="141"/>
      <c r="K967" s="141"/>
      <c r="L967" s="141"/>
    </row>
    <row r="968">
      <c r="A968" s="141"/>
      <c r="B968" s="141"/>
      <c r="C968" s="141"/>
      <c r="D968" s="141"/>
      <c r="E968" s="141"/>
      <c r="F968" s="141"/>
      <c r="G968" s="141"/>
      <c r="H968" s="141"/>
      <c r="I968" s="141"/>
      <c r="J968" s="141"/>
      <c r="K968" s="141"/>
      <c r="L968" s="141"/>
    </row>
    <row r="969">
      <c r="A969" s="141"/>
      <c r="B969" s="141"/>
      <c r="C969" s="141"/>
      <c r="D969" s="141"/>
      <c r="E969" s="141"/>
      <c r="F969" s="141"/>
      <c r="G969" s="141"/>
      <c r="H969" s="141"/>
      <c r="I969" s="141"/>
      <c r="J969" s="141"/>
      <c r="K969" s="141"/>
      <c r="L969" s="141"/>
    </row>
    <row r="970">
      <c r="A970" s="141"/>
      <c r="B970" s="141"/>
      <c r="C970" s="141"/>
      <c r="D970" s="141"/>
      <c r="E970" s="141"/>
      <c r="F970" s="141"/>
      <c r="G970" s="141"/>
      <c r="H970" s="141"/>
      <c r="I970" s="141"/>
      <c r="J970" s="141"/>
      <c r="K970" s="141"/>
      <c r="L970" s="141"/>
    </row>
    <row r="971">
      <c r="A971" s="141"/>
      <c r="B971" s="141"/>
      <c r="C971" s="141"/>
      <c r="D971" s="141"/>
      <c r="E971" s="141"/>
      <c r="F971" s="141"/>
      <c r="G971" s="141"/>
      <c r="H971" s="141"/>
      <c r="I971" s="141"/>
      <c r="J971" s="141"/>
      <c r="K971" s="141"/>
      <c r="L971" s="141"/>
    </row>
    <row r="972">
      <c r="A972" s="141"/>
      <c r="B972" s="141"/>
      <c r="C972" s="141"/>
      <c r="D972" s="141"/>
      <c r="E972" s="141"/>
      <c r="F972" s="141"/>
      <c r="G972" s="141"/>
      <c r="H972" s="141"/>
      <c r="I972" s="141"/>
      <c r="J972" s="141"/>
      <c r="K972" s="141"/>
      <c r="L972" s="141"/>
    </row>
    <row r="973">
      <c r="A973" s="141"/>
      <c r="B973" s="141"/>
      <c r="C973" s="141"/>
      <c r="D973" s="141"/>
      <c r="E973" s="141"/>
      <c r="F973" s="141"/>
      <c r="G973" s="141"/>
      <c r="H973" s="141"/>
      <c r="I973" s="141"/>
      <c r="J973" s="141"/>
      <c r="K973" s="141"/>
      <c r="L973" s="141"/>
    </row>
    <row r="974">
      <c r="A974" s="141"/>
      <c r="B974" s="141"/>
      <c r="C974" s="141"/>
      <c r="D974" s="141"/>
      <c r="E974" s="141"/>
      <c r="F974" s="141"/>
      <c r="G974" s="141"/>
      <c r="H974" s="141"/>
      <c r="I974" s="141"/>
      <c r="J974" s="141"/>
      <c r="K974" s="141"/>
      <c r="L974" s="141"/>
    </row>
    <row r="975">
      <c r="A975" s="141"/>
      <c r="B975" s="141"/>
      <c r="C975" s="141"/>
      <c r="D975" s="141"/>
      <c r="E975" s="141"/>
      <c r="F975" s="141"/>
      <c r="G975" s="141"/>
      <c r="H975" s="141"/>
      <c r="I975" s="141"/>
      <c r="J975" s="141"/>
      <c r="K975" s="141"/>
      <c r="L975" s="141"/>
    </row>
    <row r="976">
      <c r="A976" s="141"/>
      <c r="B976" s="141"/>
      <c r="C976" s="141"/>
      <c r="D976" s="141"/>
      <c r="E976" s="141"/>
      <c r="F976" s="141"/>
      <c r="G976" s="141"/>
      <c r="H976" s="141"/>
      <c r="I976" s="141"/>
      <c r="J976" s="141"/>
      <c r="K976" s="141"/>
      <c r="L976" s="141"/>
    </row>
    <row r="977">
      <c r="A977" s="141"/>
      <c r="B977" s="141"/>
      <c r="C977" s="141"/>
      <c r="D977" s="141"/>
      <c r="E977" s="141"/>
      <c r="F977" s="141"/>
      <c r="G977" s="141"/>
      <c r="H977" s="141"/>
      <c r="I977" s="141"/>
      <c r="J977" s="141"/>
      <c r="K977" s="141"/>
      <c r="L977" s="141"/>
    </row>
    <row r="978">
      <c r="A978" s="141"/>
      <c r="B978" s="141"/>
      <c r="C978" s="141"/>
      <c r="D978" s="141"/>
      <c r="E978" s="141"/>
      <c r="F978" s="141"/>
      <c r="G978" s="141"/>
      <c r="H978" s="141"/>
      <c r="I978" s="141"/>
      <c r="J978" s="141"/>
      <c r="K978" s="141"/>
      <c r="L978" s="141"/>
    </row>
    <row r="979">
      <c r="A979" s="141"/>
      <c r="B979" s="141"/>
      <c r="C979" s="141"/>
      <c r="D979" s="141"/>
      <c r="E979" s="141"/>
      <c r="F979" s="141"/>
      <c r="G979" s="141"/>
      <c r="H979" s="141"/>
      <c r="I979" s="141"/>
      <c r="J979" s="141"/>
      <c r="K979" s="141"/>
      <c r="L979" s="141"/>
    </row>
    <row r="980">
      <c r="A980" s="141"/>
      <c r="B980" s="141"/>
      <c r="C980" s="141"/>
      <c r="D980" s="141"/>
      <c r="E980" s="141"/>
      <c r="F980" s="141"/>
      <c r="G980" s="141"/>
      <c r="H980" s="141"/>
      <c r="I980" s="141"/>
      <c r="J980" s="141"/>
      <c r="K980" s="141"/>
      <c r="L980" s="141"/>
    </row>
    <row r="981">
      <c r="A981" s="141"/>
      <c r="B981" s="141"/>
      <c r="C981" s="141"/>
      <c r="D981" s="141"/>
      <c r="E981" s="141"/>
      <c r="F981" s="141"/>
      <c r="G981" s="141"/>
      <c r="H981" s="141"/>
      <c r="I981" s="141"/>
      <c r="J981" s="141"/>
      <c r="K981" s="141"/>
      <c r="L981" s="141"/>
    </row>
    <row r="982">
      <c r="A982" s="141"/>
      <c r="B982" s="141"/>
      <c r="C982" s="141"/>
      <c r="D982" s="141"/>
      <c r="E982" s="141"/>
      <c r="F982" s="141"/>
      <c r="G982" s="141"/>
      <c r="H982" s="141"/>
      <c r="I982" s="141"/>
      <c r="J982" s="141"/>
      <c r="K982" s="141"/>
      <c r="L982" s="141"/>
    </row>
    <row r="983">
      <c r="A983" s="141"/>
      <c r="B983" s="141"/>
      <c r="C983" s="141"/>
      <c r="D983" s="141"/>
      <c r="E983" s="141"/>
      <c r="F983" s="141"/>
      <c r="G983" s="141"/>
      <c r="H983" s="141"/>
      <c r="I983" s="141"/>
      <c r="J983" s="141"/>
      <c r="K983" s="141"/>
      <c r="L983" s="141"/>
    </row>
    <row r="984">
      <c r="A984" s="141"/>
      <c r="B984" s="141"/>
      <c r="C984" s="141"/>
      <c r="D984" s="141"/>
      <c r="E984" s="141"/>
      <c r="F984" s="141"/>
      <c r="G984" s="141"/>
      <c r="H984" s="141"/>
      <c r="I984" s="141"/>
      <c r="J984" s="141"/>
      <c r="K984" s="141"/>
      <c r="L984" s="141"/>
    </row>
    <row r="985">
      <c r="A985" s="141"/>
      <c r="B985" s="141"/>
      <c r="C985" s="141"/>
      <c r="D985" s="141"/>
      <c r="E985" s="141"/>
      <c r="F985" s="141"/>
      <c r="G985" s="141"/>
      <c r="H985" s="141"/>
      <c r="I985" s="141"/>
      <c r="J985" s="141"/>
      <c r="K985" s="141"/>
      <c r="L985" s="141"/>
    </row>
    <row r="986">
      <c r="A986" s="141"/>
      <c r="B986" s="141"/>
      <c r="C986" s="141"/>
      <c r="D986" s="141"/>
      <c r="E986" s="141"/>
      <c r="F986" s="141"/>
      <c r="G986" s="141"/>
      <c r="H986" s="141"/>
      <c r="I986" s="141"/>
      <c r="J986" s="141"/>
      <c r="K986" s="141"/>
      <c r="L986" s="141"/>
    </row>
    <row r="987">
      <c r="A987" s="141"/>
      <c r="B987" s="141"/>
      <c r="C987" s="141"/>
      <c r="D987" s="141"/>
      <c r="E987" s="141"/>
      <c r="F987" s="141"/>
      <c r="G987" s="141"/>
      <c r="H987" s="141"/>
      <c r="I987" s="141"/>
      <c r="J987" s="141"/>
      <c r="K987" s="141"/>
      <c r="L987" s="141"/>
    </row>
    <row r="988">
      <c r="A988" s="141"/>
      <c r="B988" s="141"/>
      <c r="C988" s="141"/>
      <c r="D988" s="141"/>
      <c r="E988" s="141"/>
      <c r="F988" s="141"/>
      <c r="G988" s="141"/>
      <c r="H988" s="141"/>
      <c r="I988" s="141"/>
      <c r="J988" s="141"/>
      <c r="K988" s="141"/>
      <c r="L988" s="141"/>
    </row>
    <row r="989">
      <c r="A989" s="141"/>
      <c r="B989" s="141"/>
      <c r="C989" s="141"/>
      <c r="D989" s="141"/>
      <c r="E989" s="141"/>
      <c r="F989" s="141"/>
      <c r="G989" s="141"/>
      <c r="H989" s="141"/>
      <c r="I989" s="141"/>
      <c r="J989" s="141"/>
      <c r="K989" s="141"/>
      <c r="L989" s="141"/>
    </row>
    <row r="990">
      <c r="A990" s="141"/>
      <c r="B990" s="141"/>
      <c r="C990" s="141"/>
      <c r="D990" s="141"/>
      <c r="E990" s="141"/>
      <c r="F990" s="141"/>
      <c r="G990" s="141"/>
      <c r="H990" s="141"/>
      <c r="I990" s="141"/>
      <c r="J990" s="141"/>
      <c r="K990" s="141"/>
      <c r="L990" s="141"/>
    </row>
    <row r="991">
      <c r="A991" s="141"/>
      <c r="B991" s="141"/>
      <c r="C991" s="141"/>
      <c r="D991" s="141"/>
      <c r="E991" s="141"/>
      <c r="F991" s="141"/>
      <c r="G991" s="141"/>
      <c r="H991" s="141"/>
      <c r="I991" s="141"/>
      <c r="J991" s="141"/>
      <c r="K991" s="141"/>
      <c r="L991" s="141"/>
    </row>
    <row r="992">
      <c r="A992" s="141"/>
      <c r="B992" s="141"/>
      <c r="C992" s="141"/>
      <c r="D992" s="141"/>
      <c r="E992" s="141"/>
      <c r="F992" s="141"/>
      <c r="G992" s="141"/>
      <c r="H992" s="141"/>
      <c r="I992" s="141"/>
      <c r="J992" s="141"/>
      <c r="K992" s="141"/>
      <c r="L992" s="141"/>
    </row>
    <row r="993">
      <c r="A993" s="141"/>
      <c r="B993" s="141"/>
      <c r="C993" s="141"/>
      <c r="D993" s="141"/>
      <c r="E993" s="141"/>
      <c r="F993" s="141"/>
      <c r="G993" s="141"/>
      <c r="H993" s="141"/>
      <c r="I993" s="141"/>
      <c r="J993" s="141"/>
      <c r="K993" s="141"/>
      <c r="L993" s="141"/>
    </row>
    <row r="994">
      <c r="A994" s="141"/>
      <c r="B994" s="141"/>
      <c r="C994" s="141"/>
      <c r="D994" s="141"/>
      <c r="E994" s="141"/>
      <c r="F994" s="141"/>
      <c r="G994" s="141"/>
      <c r="H994" s="141"/>
      <c r="I994" s="141"/>
      <c r="J994" s="141"/>
      <c r="K994" s="141"/>
      <c r="L994" s="141"/>
    </row>
    <row r="995">
      <c r="A995" s="141"/>
      <c r="B995" s="141"/>
      <c r="C995" s="141"/>
      <c r="D995" s="141"/>
      <c r="E995" s="141"/>
      <c r="F995" s="141"/>
      <c r="G995" s="141"/>
      <c r="H995" s="141"/>
      <c r="I995" s="141"/>
      <c r="J995" s="141"/>
      <c r="K995" s="141"/>
      <c r="L995" s="141"/>
    </row>
    <row r="996">
      <c r="A996" s="141"/>
      <c r="B996" s="141"/>
      <c r="C996" s="141"/>
      <c r="D996" s="141"/>
      <c r="E996" s="141"/>
      <c r="F996" s="141"/>
      <c r="G996" s="141"/>
      <c r="H996" s="141"/>
      <c r="I996" s="141"/>
      <c r="J996" s="141"/>
      <c r="K996" s="141"/>
      <c r="L996" s="141"/>
    </row>
    <row r="997">
      <c r="A997" s="141"/>
      <c r="B997" s="141"/>
      <c r="C997" s="141"/>
      <c r="D997" s="141"/>
      <c r="E997" s="141"/>
      <c r="F997" s="141"/>
      <c r="G997" s="141"/>
      <c r="H997" s="141"/>
      <c r="I997" s="141"/>
      <c r="J997" s="141"/>
      <c r="K997" s="141"/>
      <c r="L997" s="141"/>
    </row>
    <row r="998">
      <c r="A998" s="141"/>
      <c r="B998" s="141"/>
      <c r="C998" s="141"/>
      <c r="D998" s="141"/>
      <c r="E998" s="141"/>
      <c r="F998" s="141"/>
      <c r="G998" s="141"/>
      <c r="H998" s="141"/>
      <c r="I998" s="141"/>
      <c r="J998" s="141"/>
      <c r="K998" s="141"/>
      <c r="L998" s="141"/>
    </row>
    <row r="999">
      <c r="A999" s="141"/>
      <c r="B999" s="141"/>
      <c r="C999" s="141"/>
      <c r="D999" s="141"/>
      <c r="E999" s="141"/>
      <c r="F999" s="141"/>
      <c r="G999" s="141"/>
      <c r="H999" s="141"/>
      <c r="I999" s="141"/>
      <c r="J999" s="141"/>
      <c r="K999" s="141"/>
      <c r="L999" s="141"/>
    </row>
    <row r="1000">
      <c r="A1000" s="141"/>
      <c r="B1000" s="141"/>
      <c r="C1000" s="141"/>
      <c r="D1000" s="141"/>
      <c r="E1000" s="141"/>
      <c r="F1000" s="141"/>
      <c r="G1000" s="141"/>
      <c r="H1000" s="141"/>
      <c r="I1000" s="141"/>
      <c r="J1000" s="141"/>
      <c r="K1000" s="141"/>
      <c r="L1000" s="141"/>
    </row>
  </sheetData>
  <hyperlinks>
    <hyperlink r:id="rId1" ref="B2"/>
    <hyperlink r:id="rId2" ref="B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40.88"/>
  </cols>
  <sheetData>
    <row r="1">
      <c r="A1" s="148" t="s">
        <v>502</v>
      </c>
      <c r="B1" s="148" t="s">
        <v>503</v>
      </c>
    </row>
    <row r="2">
      <c r="A2" s="149" t="s">
        <v>504</v>
      </c>
      <c r="B2" s="150">
        <v>340.0</v>
      </c>
    </row>
    <row r="3">
      <c r="A3" s="151" t="s">
        <v>505</v>
      </c>
      <c r="B3" s="150">
        <v>24.0</v>
      </c>
    </row>
    <row r="4">
      <c r="A4" s="151" t="s">
        <v>506</v>
      </c>
      <c r="B4" s="150">
        <v>16.0</v>
      </c>
    </row>
    <row r="5">
      <c r="A5" s="151" t="s">
        <v>507</v>
      </c>
      <c r="B5" s="150">
        <v>12.0</v>
      </c>
    </row>
    <row r="6">
      <c r="A6" s="151" t="s">
        <v>508</v>
      </c>
      <c r="B6" s="150">
        <v>12.0</v>
      </c>
    </row>
    <row r="7">
      <c r="A7" s="151" t="s">
        <v>509</v>
      </c>
      <c r="B7" s="150">
        <v>12.0</v>
      </c>
    </row>
    <row r="8">
      <c r="A8" s="151" t="s">
        <v>510</v>
      </c>
      <c r="B8" s="150">
        <v>10.0</v>
      </c>
    </row>
    <row r="9">
      <c r="A9" s="151" t="s">
        <v>511</v>
      </c>
      <c r="B9" s="150">
        <v>10.0</v>
      </c>
    </row>
    <row r="10">
      <c r="A10" s="151" t="s">
        <v>512</v>
      </c>
      <c r="B10" s="150">
        <v>9.0</v>
      </c>
    </row>
    <row r="11">
      <c r="A11" s="151" t="s">
        <v>513</v>
      </c>
      <c r="B11" s="150">
        <v>9.0</v>
      </c>
    </row>
    <row r="12">
      <c r="A12" s="151" t="s">
        <v>514</v>
      </c>
      <c r="B12" s="150">
        <v>9.0</v>
      </c>
    </row>
    <row r="13">
      <c r="A13" s="151" t="s">
        <v>515</v>
      </c>
      <c r="B13" s="150">
        <v>8.0</v>
      </c>
    </row>
    <row r="14">
      <c r="A14" s="151" t="s">
        <v>516</v>
      </c>
      <c r="B14" s="150">
        <v>8.0</v>
      </c>
    </row>
    <row r="15">
      <c r="A15" s="151" t="s">
        <v>517</v>
      </c>
      <c r="B15" s="150">
        <v>8.0</v>
      </c>
    </row>
    <row r="16">
      <c r="A16" s="151" t="s">
        <v>518</v>
      </c>
      <c r="B16" s="150">
        <v>8.0</v>
      </c>
    </row>
    <row r="17">
      <c r="A17" s="151" t="s">
        <v>519</v>
      </c>
      <c r="B17" s="150">
        <v>8.0</v>
      </c>
    </row>
    <row r="18">
      <c r="A18" s="151" t="s">
        <v>520</v>
      </c>
      <c r="B18" s="150">
        <v>8.0</v>
      </c>
    </row>
    <row r="19">
      <c r="A19" s="151" t="s">
        <v>521</v>
      </c>
      <c r="B19" s="150">
        <v>8.0</v>
      </c>
    </row>
    <row r="20">
      <c r="A20" s="151" t="s">
        <v>522</v>
      </c>
      <c r="B20" s="150">
        <v>8.0</v>
      </c>
    </row>
    <row r="21">
      <c r="A21" s="151" t="s">
        <v>523</v>
      </c>
      <c r="B21" s="150">
        <v>7.0</v>
      </c>
    </row>
    <row r="22">
      <c r="A22" s="151" t="s">
        <v>524</v>
      </c>
      <c r="B22" s="150">
        <v>7.0</v>
      </c>
    </row>
    <row r="23">
      <c r="A23" s="151" t="s">
        <v>525</v>
      </c>
      <c r="B23" s="150">
        <v>7.0</v>
      </c>
    </row>
    <row r="24">
      <c r="A24" s="151" t="s">
        <v>526</v>
      </c>
      <c r="B24" s="150">
        <v>7.0</v>
      </c>
    </row>
    <row r="25">
      <c r="A25" s="151" t="s">
        <v>527</v>
      </c>
      <c r="B25" s="150">
        <v>6.0</v>
      </c>
    </row>
    <row r="26">
      <c r="A26" s="151" t="s">
        <v>528</v>
      </c>
      <c r="B26" s="150">
        <v>6.0</v>
      </c>
    </row>
    <row r="27">
      <c r="A27" s="151" t="s">
        <v>529</v>
      </c>
      <c r="B27" s="150">
        <v>6.0</v>
      </c>
    </row>
    <row r="28">
      <c r="A28" s="151" t="s">
        <v>530</v>
      </c>
      <c r="B28" s="150">
        <v>6.0</v>
      </c>
    </row>
    <row r="29">
      <c r="A29" s="151" t="s">
        <v>531</v>
      </c>
      <c r="B29" s="150">
        <v>5.0</v>
      </c>
    </row>
    <row r="30">
      <c r="A30" s="151" t="s">
        <v>532</v>
      </c>
      <c r="B30" s="150">
        <v>5.0</v>
      </c>
    </row>
    <row r="31">
      <c r="A31" s="151" t="s">
        <v>533</v>
      </c>
      <c r="B31" s="150">
        <v>5.0</v>
      </c>
    </row>
    <row r="32">
      <c r="A32" s="151" t="s">
        <v>534</v>
      </c>
      <c r="B32" s="150">
        <v>5.0</v>
      </c>
    </row>
    <row r="33">
      <c r="A33" s="151" t="s">
        <v>535</v>
      </c>
      <c r="B33" s="150">
        <v>5.0</v>
      </c>
    </row>
    <row r="34">
      <c r="A34" s="151" t="s">
        <v>536</v>
      </c>
      <c r="B34" s="150">
        <v>5.0</v>
      </c>
    </row>
    <row r="35">
      <c r="A35" s="151" t="s">
        <v>537</v>
      </c>
      <c r="B35" s="150">
        <v>5.0</v>
      </c>
    </row>
    <row r="36">
      <c r="A36" s="151" t="s">
        <v>538</v>
      </c>
      <c r="B36" s="150">
        <v>5.0</v>
      </c>
    </row>
    <row r="37">
      <c r="A37" s="151" t="s">
        <v>539</v>
      </c>
      <c r="B37" s="150">
        <v>4.0</v>
      </c>
    </row>
    <row r="38">
      <c r="A38" s="151" t="s">
        <v>540</v>
      </c>
      <c r="B38" s="150">
        <v>4.0</v>
      </c>
    </row>
    <row r="39">
      <c r="A39" s="151" t="s">
        <v>541</v>
      </c>
      <c r="B39" s="150">
        <v>4.0</v>
      </c>
    </row>
    <row r="40">
      <c r="A40" s="151" t="s">
        <v>542</v>
      </c>
      <c r="B40" s="150">
        <v>4.0</v>
      </c>
    </row>
    <row r="41">
      <c r="A41" s="151" t="s">
        <v>543</v>
      </c>
      <c r="B41" s="150">
        <v>4.0</v>
      </c>
    </row>
    <row r="42">
      <c r="A42" s="151" t="s">
        <v>544</v>
      </c>
      <c r="B42" s="150">
        <v>4.0</v>
      </c>
    </row>
    <row r="43">
      <c r="A43" s="151" t="s">
        <v>545</v>
      </c>
      <c r="B43" s="150">
        <v>4.0</v>
      </c>
    </row>
    <row r="44">
      <c r="A44" s="151" t="s">
        <v>546</v>
      </c>
      <c r="B44" s="150">
        <v>4.0</v>
      </c>
    </row>
    <row r="45">
      <c r="A45" s="151" t="s">
        <v>547</v>
      </c>
      <c r="B45" s="150">
        <v>4.0</v>
      </c>
    </row>
    <row r="46">
      <c r="A46" s="151" t="s">
        <v>548</v>
      </c>
      <c r="B46" s="150">
        <v>4.0</v>
      </c>
    </row>
    <row r="47">
      <c r="A47" s="151" t="s">
        <v>549</v>
      </c>
      <c r="B47" s="150">
        <v>4.0</v>
      </c>
    </row>
    <row r="48">
      <c r="A48" s="151" t="s">
        <v>550</v>
      </c>
      <c r="B48" s="150">
        <v>4.0</v>
      </c>
    </row>
    <row r="49">
      <c r="A49" s="151" t="s">
        <v>551</v>
      </c>
      <c r="B49" s="150">
        <v>4.0</v>
      </c>
    </row>
    <row r="50">
      <c r="A50" s="151" t="s">
        <v>552</v>
      </c>
      <c r="B50" s="150">
        <v>4.0</v>
      </c>
    </row>
    <row r="51">
      <c r="A51" s="151" t="s">
        <v>553</v>
      </c>
      <c r="B51" s="150">
        <v>4.0</v>
      </c>
    </row>
    <row r="52">
      <c r="A52" s="151" t="s">
        <v>554</v>
      </c>
      <c r="B52" s="150">
        <v>4.0</v>
      </c>
    </row>
    <row r="53">
      <c r="A53" s="151" t="s">
        <v>555</v>
      </c>
      <c r="B53" s="150">
        <v>4.0</v>
      </c>
    </row>
    <row r="54">
      <c r="A54" s="151" t="s">
        <v>556</v>
      </c>
      <c r="B54" s="150">
        <v>4.0</v>
      </c>
    </row>
    <row r="55">
      <c r="A55" s="151" t="s">
        <v>557</v>
      </c>
      <c r="B55" s="150">
        <v>4.0</v>
      </c>
    </row>
    <row r="56">
      <c r="A56" s="151" t="s">
        <v>558</v>
      </c>
      <c r="B56" s="150">
        <v>4.0</v>
      </c>
    </row>
    <row r="57">
      <c r="A57" s="151" t="s">
        <v>559</v>
      </c>
      <c r="B57" s="150">
        <v>4.0</v>
      </c>
    </row>
    <row r="58">
      <c r="A58" s="151" t="s">
        <v>560</v>
      </c>
      <c r="B58" s="150">
        <v>4.0</v>
      </c>
    </row>
    <row r="59">
      <c r="A59" s="151" t="s">
        <v>561</v>
      </c>
      <c r="B59" s="150">
        <v>4.0</v>
      </c>
    </row>
    <row r="60">
      <c r="A60" s="151" t="s">
        <v>562</v>
      </c>
      <c r="B60" s="150">
        <v>4.0</v>
      </c>
    </row>
    <row r="61">
      <c r="A61" s="151" t="s">
        <v>563</v>
      </c>
      <c r="B61" s="150">
        <v>4.0</v>
      </c>
    </row>
    <row r="62">
      <c r="A62" s="151" t="s">
        <v>564</v>
      </c>
      <c r="B62" s="150">
        <v>4.0</v>
      </c>
    </row>
    <row r="63">
      <c r="A63" s="151" t="s">
        <v>565</v>
      </c>
      <c r="B63" s="150">
        <v>4.0</v>
      </c>
    </row>
    <row r="64">
      <c r="A64" s="151" t="s">
        <v>566</v>
      </c>
      <c r="B64" s="150">
        <v>3.0</v>
      </c>
    </row>
    <row r="65">
      <c r="A65" s="151" t="s">
        <v>98</v>
      </c>
      <c r="B65" s="150">
        <v>3.0</v>
      </c>
    </row>
    <row r="66">
      <c r="A66" s="151" t="s">
        <v>567</v>
      </c>
      <c r="B66" s="150">
        <v>3.0</v>
      </c>
    </row>
    <row r="67">
      <c r="A67" s="151" t="s">
        <v>568</v>
      </c>
      <c r="B67" s="150">
        <v>3.0</v>
      </c>
    </row>
    <row r="68">
      <c r="A68" s="151" t="s">
        <v>569</v>
      </c>
      <c r="B68" s="150">
        <v>3.0</v>
      </c>
    </row>
    <row r="69">
      <c r="A69" s="151" t="s">
        <v>570</v>
      </c>
      <c r="B69" s="150">
        <v>3.0</v>
      </c>
    </row>
    <row r="70">
      <c r="A70" s="151" t="s">
        <v>571</v>
      </c>
      <c r="B70" s="150">
        <v>3.0</v>
      </c>
    </row>
    <row r="71">
      <c r="A71" s="151" t="s">
        <v>572</v>
      </c>
      <c r="B71" s="150">
        <v>3.0</v>
      </c>
    </row>
    <row r="72">
      <c r="A72" s="151" t="s">
        <v>573</v>
      </c>
      <c r="B72" s="150">
        <v>3.0</v>
      </c>
    </row>
    <row r="73">
      <c r="A73" s="151" t="s">
        <v>574</v>
      </c>
      <c r="B73" s="150">
        <v>3.0</v>
      </c>
    </row>
    <row r="74">
      <c r="A74" s="151" t="s">
        <v>575</v>
      </c>
      <c r="B74" s="150">
        <v>3.0</v>
      </c>
    </row>
    <row r="75">
      <c r="A75" s="151" t="s">
        <v>576</v>
      </c>
      <c r="B75" s="150">
        <v>3.0</v>
      </c>
    </row>
    <row r="76">
      <c r="A76" s="151" t="s">
        <v>577</v>
      </c>
      <c r="B76" s="150">
        <v>3.0</v>
      </c>
    </row>
    <row r="77">
      <c r="A77" s="151" t="s">
        <v>578</v>
      </c>
      <c r="B77" s="150">
        <v>3.0</v>
      </c>
    </row>
    <row r="78">
      <c r="A78" s="151" t="s">
        <v>579</v>
      </c>
      <c r="B78" s="150">
        <v>3.0</v>
      </c>
    </row>
    <row r="79">
      <c r="A79" s="151" t="s">
        <v>580</v>
      </c>
      <c r="B79" s="150">
        <v>3.0</v>
      </c>
    </row>
    <row r="80">
      <c r="A80" s="151" t="s">
        <v>581</v>
      </c>
      <c r="B80" s="150">
        <v>3.0</v>
      </c>
    </row>
    <row r="81">
      <c r="A81" s="151" t="s">
        <v>582</v>
      </c>
      <c r="B81" s="150">
        <v>3.0</v>
      </c>
    </row>
    <row r="82">
      <c r="A82" s="151" t="s">
        <v>583</v>
      </c>
      <c r="B82" s="150">
        <v>3.0</v>
      </c>
    </row>
    <row r="83">
      <c r="A83" s="151" t="s">
        <v>584</v>
      </c>
      <c r="B83" s="150">
        <v>3.0</v>
      </c>
    </row>
    <row r="84">
      <c r="A84" s="151" t="s">
        <v>585</v>
      </c>
      <c r="B84" s="150">
        <v>3.0</v>
      </c>
    </row>
    <row r="85">
      <c r="A85" s="151" t="s">
        <v>586</v>
      </c>
      <c r="B85" s="150">
        <v>3.0</v>
      </c>
    </row>
    <row r="86">
      <c r="A86" s="151" t="s">
        <v>587</v>
      </c>
      <c r="B86" s="150">
        <v>3.0</v>
      </c>
    </row>
    <row r="87">
      <c r="A87" s="151" t="s">
        <v>588</v>
      </c>
      <c r="B87" s="150">
        <v>3.0</v>
      </c>
    </row>
    <row r="88">
      <c r="A88" s="151" t="s">
        <v>589</v>
      </c>
      <c r="B88" s="150">
        <v>3.0</v>
      </c>
    </row>
    <row r="89">
      <c r="A89" s="151" t="s">
        <v>590</v>
      </c>
      <c r="B89" s="150">
        <v>3.0</v>
      </c>
    </row>
    <row r="90">
      <c r="A90" s="151" t="s">
        <v>591</v>
      </c>
      <c r="B90" s="150">
        <v>3.0</v>
      </c>
    </row>
    <row r="91">
      <c r="A91" s="151" t="s">
        <v>592</v>
      </c>
      <c r="B91" s="150">
        <v>3.0</v>
      </c>
    </row>
    <row r="92">
      <c r="A92" s="151" t="s">
        <v>593</v>
      </c>
      <c r="B92" s="150">
        <v>3.0</v>
      </c>
    </row>
    <row r="93">
      <c r="A93" s="151" t="s">
        <v>594</v>
      </c>
      <c r="B93" s="150">
        <v>3.0</v>
      </c>
    </row>
    <row r="94">
      <c r="A94" s="151" t="s">
        <v>595</v>
      </c>
      <c r="B94" s="150">
        <v>3.0</v>
      </c>
    </row>
    <row r="95">
      <c r="A95" s="151" t="s">
        <v>596</v>
      </c>
      <c r="B95" s="150">
        <v>3.0</v>
      </c>
    </row>
    <row r="96">
      <c r="A96" s="151" t="s">
        <v>597</v>
      </c>
      <c r="B96" s="150">
        <v>3.0</v>
      </c>
    </row>
    <row r="97">
      <c r="A97" s="151" t="s">
        <v>598</v>
      </c>
      <c r="B97" s="150">
        <v>3.0</v>
      </c>
    </row>
    <row r="98">
      <c r="A98" s="151" t="s">
        <v>599</v>
      </c>
      <c r="B98" s="150">
        <v>3.0</v>
      </c>
    </row>
    <row r="99">
      <c r="A99" s="151" t="s">
        <v>600</v>
      </c>
      <c r="B99" s="150">
        <v>2.0</v>
      </c>
    </row>
    <row r="100">
      <c r="A100" s="151" t="s">
        <v>601</v>
      </c>
      <c r="B100" s="150">
        <v>2.0</v>
      </c>
    </row>
    <row r="101">
      <c r="A101" s="151" t="s">
        <v>602</v>
      </c>
      <c r="B101" s="150">
        <v>2.0</v>
      </c>
    </row>
    <row r="102">
      <c r="A102" s="151" t="s">
        <v>603</v>
      </c>
      <c r="B102" s="150">
        <v>2.0</v>
      </c>
    </row>
    <row r="103">
      <c r="A103" s="151" t="s">
        <v>604</v>
      </c>
      <c r="B103" s="150">
        <v>2.0</v>
      </c>
    </row>
    <row r="104">
      <c r="A104" s="151" t="s">
        <v>605</v>
      </c>
      <c r="B104" s="150">
        <v>2.0</v>
      </c>
    </row>
    <row r="105">
      <c r="A105" s="151" t="s">
        <v>606</v>
      </c>
      <c r="B105" s="150">
        <v>2.0</v>
      </c>
    </row>
    <row r="106">
      <c r="A106" s="151" t="s">
        <v>607</v>
      </c>
      <c r="B106" s="150">
        <v>2.0</v>
      </c>
    </row>
    <row r="107">
      <c r="A107" s="151" t="s">
        <v>608</v>
      </c>
      <c r="B107" s="150">
        <v>2.0</v>
      </c>
    </row>
    <row r="108">
      <c r="A108" s="151" t="s">
        <v>609</v>
      </c>
      <c r="B108" s="150">
        <v>2.0</v>
      </c>
    </row>
    <row r="109">
      <c r="A109" s="151" t="s">
        <v>610</v>
      </c>
      <c r="B109" s="150">
        <v>2.0</v>
      </c>
    </row>
    <row r="110">
      <c r="A110" s="151" t="s">
        <v>115</v>
      </c>
      <c r="B110" s="150">
        <v>2.0</v>
      </c>
    </row>
    <row r="111">
      <c r="A111" s="151" t="s">
        <v>611</v>
      </c>
      <c r="B111" s="150">
        <v>2.0</v>
      </c>
    </row>
    <row r="112">
      <c r="A112" s="151" t="s">
        <v>612</v>
      </c>
      <c r="B112" s="150">
        <v>2.0</v>
      </c>
    </row>
    <row r="113">
      <c r="A113" s="151" t="s">
        <v>613</v>
      </c>
      <c r="B113" s="150">
        <v>2.0</v>
      </c>
    </row>
    <row r="114">
      <c r="A114" s="151" t="s">
        <v>614</v>
      </c>
      <c r="B114" s="150">
        <v>2.0</v>
      </c>
    </row>
    <row r="115">
      <c r="A115" s="151" t="s">
        <v>615</v>
      </c>
      <c r="B115" s="150">
        <v>2.0</v>
      </c>
    </row>
    <row r="116">
      <c r="A116" s="151" t="s">
        <v>616</v>
      </c>
      <c r="B116" s="150">
        <v>2.0</v>
      </c>
    </row>
    <row r="117">
      <c r="A117" s="151" t="s">
        <v>617</v>
      </c>
      <c r="B117" s="150">
        <v>2.0</v>
      </c>
    </row>
    <row r="118">
      <c r="A118" s="151" t="s">
        <v>618</v>
      </c>
      <c r="B118" s="150">
        <v>2.0</v>
      </c>
    </row>
    <row r="119">
      <c r="A119" s="151" t="s">
        <v>619</v>
      </c>
      <c r="B119" s="150">
        <v>2.0</v>
      </c>
    </row>
    <row r="120">
      <c r="A120" s="151" t="s">
        <v>620</v>
      </c>
      <c r="B120" s="150">
        <v>2.0</v>
      </c>
    </row>
    <row r="121">
      <c r="A121" s="151" t="s">
        <v>621</v>
      </c>
      <c r="B121" s="150">
        <v>2.0</v>
      </c>
    </row>
    <row r="122">
      <c r="A122" s="151" t="s">
        <v>622</v>
      </c>
      <c r="B122" s="150">
        <v>2.0</v>
      </c>
    </row>
    <row r="123">
      <c r="A123" s="151" t="s">
        <v>623</v>
      </c>
      <c r="B123" s="150">
        <v>2.0</v>
      </c>
    </row>
    <row r="124">
      <c r="A124" s="151" t="s">
        <v>624</v>
      </c>
      <c r="B124" s="150">
        <v>2.0</v>
      </c>
    </row>
    <row r="125">
      <c r="A125" s="151" t="s">
        <v>625</v>
      </c>
      <c r="B125" s="150">
        <v>2.0</v>
      </c>
    </row>
    <row r="126">
      <c r="A126" s="151" t="s">
        <v>626</v>
      </c>
      <c r="B126" s="150">
        <v>2.0</v>
      </c>
    </row>
    <row r="127">
      <c r="A127" s="151" t="s">
        <v>627</v>
      </c>
      <c r="B127" s="150">
        <v>2.0</v>
      </c>
    </row>
    <row r="128">
      <c r="A128" s="151" t="s">
        <v>628</v>
      </c>
      <c r="B128" s="150">
        <v>2.0</v>
      </c>
    </row>
    <row r="129">
      <c r="A129" s="151" t="s">
        <v>629</v>
      </c>
      <c r="B129" s="150">
        <v>2.0</v>
      </c>
    </row>
    <row r="130">
      <c r="A130" s="151" t="s">
        <v>630</v>
      </c>
      <c r="B130" s="150">
        <v>2.0</v>
      </c>
    </row>
    <row r="131">
      <c r="A131" s="151" t="s">
        <v>631</v>
      </c>
      <c r="B131" s="150">
        <v>2.0</v>
      </c>
    </row>
    <row r="132">
      <c r="A132" s="151" t="s">
        <v>632</v>
      </c>
      <c r="B132" s="150">
        <v>2.0</v>
      </c>
    </row>
    <row r="133">
      <c r="A133" s="151" t="s">
        <v>633</v>
      </c>
      <c r="B133" s="150">
        <v>2.0</v>
      </c>
    </row>
    <row r="134">
      <c r="A134" s="151" t="s">
        <v>634</v>
      </c>
      <c r="B134" s="150">
        <v>2.0</v>
      </c>
    </row>
    <row r="135">
      <c r="A135" s="151" t="s">
        <v>635</v>
      </c>
      <c r="B135" s="150">
        <v>2.0</v>
      </c>
    </row>
    <row r="136">
      <c r="A136" s="151" t="s">
        <v>636</v>
      </c>
      <c r="B136" s="150">
        <v>2.0</v>
      </c>
    </row>
    <row r="137">
      <c r="A137" s="151" t="s">
        <v>637</v>
      </c>
      <c r="B137" s="150">
        <v>2.0</v>
      </c>
    </row>
    <row r="138">
      <c r="A138" s="151" t="s">
        <v>638</v>
      </c>
      <c r="B138" s="150">
        <v>2.0</v>
      </c>
    </row>
    <row r="139">
      <c r="A139" s="151" t="s">
        <v>639</v>
      </c>
      <c r="B139" s="150">
        <v>2.0</v>
      </c>
    </row>
    <row r="140">
      <c r="A140" s="151" t="s">
        <v>640</v>
      </c>
      <c r="B140" s="150">
        <v>2.0</v>
      </c>
    </row>
    <row r="141">
      <c r="A141" s="151" t="s">
        <v>641</v>
      </c>
      <c r="B141" s="150">
        <v>2.0</v>
      </c>
    </row>
    <row r="142">
      <c r="A142" s="151" t="s">
        <v>642</v>
      </c>
      <c r="B142" s="150">
        <v>2.0</v>
      </c>
    </row>
    <row r="143">
      <c r="A143" s="151" t="s">
        <v>643</v>
      </c>
      <c r="B143" s="150">
        <v>2.0</v>
      </c>
    </row>
    <row r="144">
      <c r="A144" s="151" t="s">
        <v>644</v>
      </c>
      <c r="B144" s="150">
        <v>2.0</v>
      </c>
    </row>
    <row r="145">
      <c r="A145" s="151" t="s">
        <v>645</v>
      </c>
      <c r="B145" s="150">
        <v>2.0</v>
      </c>
    </row>
    <row r="146">
      <c r="A146" s="151" t="s">
        <v>646</v>
      </c>
      <c r="B146" s="150">
        <v>2.0</v>
      </c>
    </row>
    <row r="147">
      <c r="A147" s="151" t="s">
        <v>647</v>
      </c>
      <c r="B147" s="150">
        <v>2.0</v>
      </c>
    </row>
    <row r="148">
      <c r="A148" s="151" t="s">
        <v>648</v>
      </c>
      <c r="B148" s="150">
        <v>2.0</v>
      </c>
    </row>
    <row r="149">
      <c r="A149" s="151" t="s">
        <v>649</v>
      </c>
      <c r="B149" s="150">
        <v>2.0</v>
      </c>
    </row>
    <row r="150">
      <c r="A150" s="151" t="s">
        <v>650</v>
      </c>
      <c r="B150" s="150">
        <v>2.0</v>
      </c>
    </row>
    <row r="151">
      <c r="A151" s="151" t="s">
        <v>651</v>
      </c>
      <c r="B151" s="150">
        <v>2.0</v>
      </c>
    </row>
    <row r="152">
      <c r="A152" s="151" t="s">
        <v>652</v>
      </c>
      <c r="B152" s="150">
        <v>2.0</v>
      </c>
    </row>
    <row r="153">
      <c r="A153" s="151" t="s">
        <v>653</v>
      </c>
      <c r="B153" s="150">
        <v>2.0</v>
      </c>
    </row>
    <row r="154">
      <c r="A154" s="151" t="s">
        <v>654</v>
      </c>
      <c r="B154" s="150">
        <v>2.0</v>
      </c>
    </row>
    <row r="155">
      <c r="A155" s="151" t="s">
        <v>655</v>
      </c>
      <c r="B155" s="150">
        <v>2.0</v>
      </c>
    </row>
    <row r="156">
      <c r="A156" s="151" t="s">
        <v>656</v>
      </c>
      <c r="B156" s="150">
        <v>2.0</v>
      </c>
    </row>
    <row r="157">
      <c r="A157" s="151" t="s">
        <v>657</v>
      </c>
      <c r="B157" s="150">
        <v>2.0</v>
      </c>
    </row>
    <row r="158">
      <c r="A158" s="151" t="s">
        <v>658</v>
      </c>
      <c r="B158" s="150">
        <v>2.0</v>
      </c>
    </row>
    <row r="159">
      <c r="A159" s="151" t="s">
        <v>659</v>
      </c>
      <c r="B159" s="150">
        <v>2.0</v>
      </c>
    </row>
    <row r="160">
      <c r="A160" s="151" t="s">
        <v>660</v>
      </c>
      <c r="B160" s="150">
        <v>2.0</v>
      </c>
    </row>
    <row r="161">
      <c r="A161" s="151" t="s">
        <v>661</v>
      </c>
      <c r="B161" s="150">
        <v>2.0</v>
      </c>
    </row>
    <row r="162">
      <c r="A162" s="151" t="s">
        <v>662</v>
      </c>
      <c r="B162" s="150">
        <v>2.0</v>
      </c>
    </row>
    <row r="163">
      <c r="A163" s="151" t="s">
        <v>663</v>
      </c>
      <c r="B163" s="150">
        <v>2.0</v>
      </c>
    </row>
    <row r="164">
      <c r="A164" s="151" t="s">
        <v>664</v>
      </c>
      <c r="B164" s="150">
        <v>2.0</v>
      </c>
    </row>
    <row r="165">
      <c r="A165" s="151" t="s">
        <v>665</v>
      </c>
      <c r="B165" s="150">
        <v>2.0</v>
      </c>
    </row>
    <row r="166">
      <c r="A166" s="151" t="s">
        <v>666</v>
      </c>
      <c r="B166" s="150">
        <v>2.0</v>
      </c>
    </row>
    <row r="167">
      <c r="A167" s="151" t="s">
        <v>667</v>
      </c>
      <c r="B167" s="150">
        <v>2.0</v>
      </c>
    </row>
    <row r="168">
      <c r="A168" s="151" t="s">
        <v>668</v>
      </c>
      <c r="B168" s="150">
        <v>2.0</v>
      </c>
    </row>
    <row r="169">
      <c r="A169" s="151" t="s">
        <v>669</v>
      </c>
      <c r="B169" s="150">
        <v>2.0</v>
      </c>
    </row>
    <row r="170">
      <c r="A170" s="151" t="s">
        <v>670</v>
      </c>
      <c r="B170" s="150">
        <v>2.0</v>
      </c>
    </row>
    <row r="171">
      <c r="A171" s="151" t="s">
        <v>671</v>
      </c>
      <c r="B171" s="150">
        <v>2.0</v>
      </c>
    </row>
    <row r="172">
      <c r="A172" s="151" t="s">
        <v>672</v>
      </c>
      <c r="B172" s="150">
        <v>2.0</v>
      </c>
    </row>
    <row r="173">
      <c r="A173" s="151" t="s">
        <v>673</v>
      </c>
      <c r="B173" s="150">
        <v>2.0</v>
      </c>
    </row>
    <row r="174">
      <c r="A174" s="151" t="s">
        <v>674</v>
      </c>
      <c r="B174" s="150">
        <v>2.0</v>
      </c>
    </row>
    <row r="175">
      <c r="A175" s="151" t="s">
        <v>675</v>
      </c>
      <c r="B175" s="150">
        <v>2.0</v>
      </c>
    </row>
    <row r="176">
      <c r="A176" s="151" t="s">
        <v>676</v>
      </c>
      <c r="B176" s="150">
        <v>2.0</v>
      </c>
    </row>
    <row r="177">
      <c r="A177" s="151" t="s">
        <v>677</v>
      </c>
      <c r="B177" s="150">
        <v>2.0</v>
      </c>
    </row>
    <row r="178">
      <c r="A178" s="151" t="s">
        <v>678</v>
      </c>
      <c r="B178" s="150">
        <v>2.0</v>
      </c>
    </row>
    <row r="179">
      <c r="A179" s="151" t="s">
        <v>679</v>
      </c>
      <c r="B179" s="150">
        <v>2.0</v>
      </c>
    </row>
    <row r="180">
      <c r="A180" s="151" t="s">
        <v>680</v>
      </c>
      <c r="B180" s="150">
        <v>2.0</v>
      </c>
    </row>
    <row r="181">
      <c r="A181" s="151" t="s">
        <v>681</v>
      </c>
      <c r="B181" s="150">
        <v>2.0</v>
      </c>
    </row>
    <row r="182">
      <c r="A182" s="151" t="s">
        <v>682</v>
      </c>
      <c r="B182" s="150">
        <v>2.0</v>
      </c>
    </row>
    <row r="183">
      <c r="A183" s="151" t="s">
        <v>683</v>
      </c>
      <c r="B183" s="150">
        <v>2.0</v>
      </c>
    </row>
    <row r="184">
      <c r="A184" s="151" t="s">
        <v>684</v>
      </c>
      <c r="B184" s="150">
        <v>2.0</v>
      </c>
    </row>
    <row r="185">
      <c r="A185" s="151" t="s">
        <v>685</v>
      </c>
      <c r="B185" s="150">
        <v>2.0</v>
      </c>
    </row>
    <row r="186">
      <c r="A186" s="151" t="s">
        <v>686</v>
      </c>
      <c r="B186" s="150">
        <v>2.0</v>
      </c>
    </row>
    <row r="187">
      <c r="A187" s="151" t="s">
        <v>687</v>
      </c>
      <c r="B187" s="150">
        <v>2.0</v>
      </c>
    </row>
    <row r="188">
      <c r="A188" s="151" t="s">
        <v>688</v>
      </c>
      <c r="B188" s="150">
        <v>2.0</v>
      </c>
    </row>
    <row r="189">
      <c r="A189" s="151" t="s">
        <v>689</v>
      </c>
      <c r="B189" s="150">
        <v>2.0</v>
      </c>
    </row>
    <row r="190">
      <c r="A190" s="151" t="s">
        <v>690</v>
      </c>
      <c r="B190" s="150">
        <v>1.0</v>
      </c>
    </row>
    <row r="191">
      <c r="A191" s="151" t="s">
        <v>691</v>
      </c>
      <c r="B191" s="150">
        <v>1.0</v>
      </c>
    </row>
    <row r="192">
      <c r="A192" s="151" t="s">
        <v>692</v>
      </c>
      <c r="B192" s="150">
        <v>1.0</v>
      </c>
    </row>
    <row r="193">
      <c r="A193" s="151" t="s">
        <v>693</v>
      </c>
      <c r="B193" s="150">
        <v>1.0</v>
      </c>
    </row>
    <row r="194">
      <c r="A194" s="151" t="s">
        <v>694</v>
      </c>
      <c r="B194" s="150">
        <v>1.0</v>
      </c>
    </row>
    <row r="195">
      <c r="A195" s="151" t="s">
        <v>695</v>
      </c>
      <c r="B195" s="150">
        <v>1.0</v>
      </c>
    </row>
    <row r="196">
      <c r="A196" s="151" t="s">
        <v>696</v>
      </c>
      <c r="B196" s="150">
        <v>1.0</v>
      </c>
    </row>
    <row r="197">
      <c r="A197" s="151" t="s">
        <v>697</v>
      </c>
      <c r="B197" s="150">
        <v>1.0</v>
      </c>
    </row>
    <row r="198">
      <c r="A198" s="151" t="s">
        <v>698</v>
      </c>
      <c r="B198" s="150">
        <v>1.0</v>
      </c>
    </row>
    <row r="199">
      <c r="A199" s="151" t="s">
        <v>699</v>
      </c>
      <c r="B199" s="150">
        <v>1.0</v>
      </c>
    </row>
    <row r="200">
      <c r="A200" s="151" t="s">
        <v>700</v>
      </c>
      <c r="B200" s="150">
        <v>1.0</v>
      </c>
    </row>
    <row r="201">
      <c r="A201" s="151" t="s">
        <v>701</v>
      </c>
      <c r="B201" s="150">
        <v>1.0</v>
      </c>
    </row>
    <row r="202">
      <c r="A202" s="151" t="s">
        <v>702</v>
      </c>
      <c r="B202" s="150">
        <v>1.0</v>
      </c>
    </row>
    <row r="203">
      <c r="A203" s="151" t="s">
        <v>703</v>
      </c>
      <c r="B203" s="150">
        <v>1.0</v>
      </c>
    </row>
    <row r="204">
      <c r="A204" s="151" t="s">
        <v>704</v>
      </c>
      <c r="B204" s="150">
        <v>1.0</v>
      </c>
    </row>
    <row r="205">
      <c r="A205" s="151" t="s">
        <v>705</v>
      </c>
      <c r="B205" s="150">
        <v>1.0</v>
      </c>
    </row>
    <row r="206">
      <c r="A206" s="151" t="s">
        <v>706</v>
      </c>
      <c r="B206" s="150">
        <v>1.0</v>
      </c>
    </row>
    <row r="207">
      <c r="A207" s="151" t="s">
        <v>707</v>
      </c>
      <c r="B207" s="150">
        <v>1.0</v>
      </c>
    </row>
    <row r="208">
      <c r="A208" s="151" t="s">
        <v>708</v>
      </c>
      <c r="B208" s="150">
        <v>1.0</v>
      </c>
    </row>
    <row r="209">
      <c r="A209" s="151" t="s">
        <v>709</v>
      </c>
      <c r="B209" s="150">
        <v>1.0</v>
      </c>
    </row>
    <row r="210">
      <c r="A210" s="151" t="s">
        <v>710</v>
      </c>
      <c r="B210" s="150">
        <v>1.0</v>
      </c>
    </row>
    <row r="211">
      <c r="A211" s="151" t="s">
        <v>711</v>
      </c>
      <c r="B211" s="150">
        <v>1.0</v>
      </c>
    </row>
    <row r="212">
      <c r="A212" s="151" t="s">
        <v>712</v>
      </c>
      <c r="B212" s="150">
        <v>1.0</v>
      </c>
    </row>
    <row r="213">
      <c r="A213" s="151" t="s">
        <v>713</v>
      </c>
      <c r="B213" s="150">
        <v>1.0</v>
      </c>
    </row>
    <row r="214">
      <c r="A214" s="151" t="s">
        <v>714</v>
      </c>
      <c r="B214" s="150">
        <v>1.0</v>
      </c>
    </row>
    <row r="215">
      <c r="A215" s="151" t="s">
        <v>715</v>
      </c>
      <c r="B215" s="150">
        <v>1.0</v>
      </c>
    </row>
    <row r="216">
      <c r="A216" s="151" t="s">
        <v>716</v>
      </c>
      <c r="B216" s="150">
        <v>1.0</v>
      </c>
    </row>
    <row r="217">
      <c r="A217" s="151" t="s">
        <v>717</v>
      </c>
      <c r="B217" s="150">
        <v>1.0</v>
      </c>
    </row>
    <row r="218">
      <c r="A218" s="151" t="s">
        <v>718</v>
      </c>
      <c r="B218" s="150">
        <v>1.0</v>
      </c>
    </row>
    <row r="219">
      <c r="A219" s="151" t="s">
        <v>719</v>
      </c>
      <c r="B219" s="150">
        <v>1.0</v>
      </c>
    </row>
    <row r="220">
      <c r="A220" s="151" t="s">
        <v>720</v>
      </c>
      <c r="B220" s="150">
        <v>1.0</v>
      </c>
    </row>
    <row r="221">
      <c r="A221" s="151" t="s">
        <v>721</v>
      </c>
      <c r="B221" s="150">
        <v>1.0</v>
      </c>
    </row>
    <row r="222">
      <c r="A222" s="151" t="s">
        <v>722</v>
      </c>
      <c r="B222" s="150">
        <v>1.0</v>
      </c>
    </row>
    <row r="223">
      <c r="A223" s="151" t="s">
        <v>723</v>
      </c>
      <c r="B223" s="150">
        <v>1.0</v>
      </c>
    </row>
    <row r="224">
      <c r="A224" s="151" t="s">
        <v>724</v>
      </c>
      <c r="B224" s="150">
        <v>1.0</v>
      </c>
    </row>
    <row r="225">
      <c r="A225" s="151" t="s">
        <v>725</v>
      </c>
      <c r="B225" s="150">
        <v>1.0</v>
      </c>
    </row>
    <row r="226">
      <c r="A226" s="151" t="s">
        <v>726</v>
      </c>
      <c r="B226" s="150">
        <v>1.0</v>
      </c>
    </row>
    <row r="227">
      <c r="A227" s="151" t="s">
        <v>727</v>
      </c>
      <c r="B227" s="150">
        <v>1.0</v>
      </c>
    </row>
    <row r="228">
      <c r="A228" s="151" t="s">
        <v>728</v>
      </c>
      <c r="B228" s="150">
        <v>1.0</v>
      </c>
    </row>
    <row r="229">
      <c r="A229" s="151" t="s">
        <v>729</v>
      </c>
      <c r="B229" s="150">
        <v>1.0</v>
      </c>
    </row>
    <row r="230">
      <c r="A230" s="151" t="s">
        <v>730</v>
      </c>
      <c r="B230" s="150">
        <v>1.0</v>
      </c>
    </row>
    <row r="231">
      <c r="A231" s="151" t="s">
        <v>731</v>
      </c>
      <c r="B231" s="150">
        <v>1.0</v>
      </c>
    </row>
    <row r="232">
      <c r="A232" s="151" t="s">
        <v>732</v>
      </c>
      <c r="B232" s="150">
        <v>1.0</v>
      </c>
    </row>
    <row r="233">
      <c r="A233" s="151" t="s">
        <v>733</v>
      </c>
      <c r="B233" s="150">
        <v>1.0</v>
      </c>
    </row>
    <row r="234">
      <c r="A234" s="151" t="s">
        <v>734</v>
      </c>
      <c r="B234" s="150">
        <v>1.0</v>
      </c>
    </row>
    <row r="235">
      <c r="A235" s="151" t="s">
        <v>735</v>
      </c>
      <c r="B235" s="150">
        <v>1.0</v>
      </c>
    </row>
    <row r="236">
      <c r="A236" s="151" t="s">
        <v>736</v>
      </c>
      <c r="B236" s="150">
        <v>1.0</v>
      </c>
    </row>
    <row r="237">
      <c r="A237" s="151" t="s">
        <v>737</v>
      </c>
      <c r="B237" s="150">
        <v>1.0</v>
      </c>
    </row>
    <row r="238">
      <c r="A238" s="151" t="s">
        <v>738</v>
      </c>
      <c r="B238" s="150">
        <v>1.0</v>
      </c>
    </row>
    <row r="239">
      <c r="A239" s="151" t="s">
        <v>739</v>
      </c>
      <c r="B239" s="150">
        <v>1.0</v>
      </c>
    </row>
    <row r="240">
      <c r="A240" s="151" t="s">
        <v>740</v>
      </c>
      <c r="B240" s="150">
        <v>1.0</v>
      </c>
    </row>
    <row r="241">
      <c r="A241" s="151" t="s">
        <v>741</v>
      </c>
      <c r="B241" s="150">
        <v>1.0</v>
      </c>
    </row>
    <row r="242">
      <c r="A242" s="151" t="s">
        <v>742</v>
      </c>
      <c r="B242" s="150">
        <v>1.0</v>
      </c>
    </row>
    <row r="243">
      <c r="A243" s="151" t="s">
        <v>743</v>
      </c>
      <c r="B243" s="150">
        <v>1.0</v>
      </c>
    </row>
    <row r="244">
      <c r="A244" s="151" t="s">
        <v>744</v>
      </c>
      <c r="B244" s="150">
        <v>1.0</v>
      </c>
    </row>
    <row r="245">
      <c r="A245" s="151" t="s">
        <v>745</v>
      </c>
      <c r="B245" s="150">
        <v>1.0</v>
      </c>
    </row>
    <row r="246">
      <c r="A246" s="151" t="s">
        <v>746</v>
      </c>
      <c r="B246" s="150">
        <v>1.0</v>
      </c>
    </row>
    <row r="247">
      <c r="A247" s="151" t="s">
        <v>747</v>
      </c>
      <c r="B247" s="150">
        <v>1.0</v>
      </c>
    </row>
    <row r="248">
      <c r="A248" s="151" t="s">
        <v>748</v>
      </c>
      <c r="B248" s="150">
        <v>1.0</v>
      </c>
    </row>
    <row r="249">
      <c r="A249" s="151" t="s">
        <v>749</v>
      </c>
      <c r="B249" s="150">
        <v>1.0</v>
      </c>
    </row>
    <row r="250">
      <c r="A250" s="151" t="s">
        <v>750</v>
      </c>
      <c r="B250" s="150">
        <v>1.0</v>
      </c>
    </row>
    <row r="251">
      <c r="A251" s="151" t="s">
        <v>751</v>
      </c>
      <c r="B251" s="150">
        <v>1.0</v>
      </c>
    </row>
    <row r="252">
      <c r="A252" s="151" t="s">
        <v>752</v>
      </c>
      <c r="B252" s="150">
        <v>1.0</v>
      </c>
    </row>
    <row r="253">
      <c r="A253" s="151" t="s">
        <v>753</v>
      </c>
      <c r="B253" s="150">
        <v>1.0</v>
      </c>
    </row>
    <row r="254">
      <c r="A254" s="151" t="s">
        <v>754</v>
      </c>
      <c r="B254" s="150">
        <v>1.0</v>
      </c>
    </row>
    <row r="255">
      <c r="A255" s="151" t="s">
        <v>755</v>
      </c>
      <c r="B255" s="150">
        <v>1.0</v>
      </c>
    </row>
    <row r="256">
      <c r="A256" s="151" t="s">
        <v>756</v>
      </c>
      <c r="B256" s="150">
        <v>1.0</v>
      </c>
    </row>
    <row r="257">
      <c r="A257" s="151" t="s">
        <v>757</v>
      </c>
      <c r="B257" s="150">
        <v>1.0</v>
      </c>
    </row>
    <row r="258">
      <c r="A258" s="151" t="s">
        <v>758</v>
      </c>
      <c r="B258" s="150">
        <v>1.0</v>
      </c>
    </row>
    <row r="259">
      <c r="A259" s="151" t="s">
        <v>759</v>
      </c>
      <c r="B259" s="150">
        <v>1.0</v>
      </c>
    </row>
    <row r="260">
      <c r="A260" s="151" t="s">
        <v>760</v>
      </c>
      <c r="B260" s="150">
        <v>1.0</v>
      </c>
    </row>
    <row r="261">
      <c r="A261" s="151" t="s">
        <v>761</v>
      </c>
      <c r="B261" s="150">
        <v>1.0</v>
      </c>
    </row>
    <row r="262">
      <c r="A262" s="151" t="s">
        <v>762</v>
      </c>
      <c r="B262" s="150">
        <v>1.0</v>
      </c>
    </row>
    <row r="263">
      <c r="A263" s="151" t="s">
        <v>763</v>
      </c>
      <c r="B263" s="150">
        <v>1.0</v>
      </c>
    </row>
    <row r="264">
      <c r="A264" s="151" t="s">
        <v>764</v>
      </c>
      <c r="B264" s="150">
        <v>1.0</v>
      </c>
    </row>
    <row r="265">
      <c r="A265" s="151" t="s">
        <v>765</v>
      </c>
      <c r="B265" s="150">
        <v>1.0</v>
      </c>
    </row>
    <row r="266">
      <c r="A266" s="151" t="s">
        <v>766</v>
      </c>
      <c r="B266" s="150">
        <v>1.0</v>
      </c>
    </row>
    <row r="267">
      <c r="A267" s="151" t="s">
        <v>767</v>
      </c>
      <c r="B267" s="150">
        <v>1.0</v>
      </c>
    </row>
    <row r="268">
      <c r="A268" s="151" t="s">
        <v>768</v>
      </c>
      <c r="B268" s="150">
        <v>1.0</v>
      </c>
    </row>
    <row r="269">
      <c r="A269" s="151" t="s">
        <v>769</v>
      </c>
      <c r="B269" s="150">
        <v>1.0</v>
      </c>
    </row>
    <row r="270">
      <c r="A270" s="151" t="s">
        <v>770</v>
      </c>
      <c r="B270" s="150">
        <v>1.0</v>
      </c>
    </row>
    <row r="271">
      <c r="A271" s="151" t="s">
        <v>771</v>
      </c>
      <c r="B271" s="150">
        <v>1.0</v>
      </c>
    </row>
    <row r="272">
      <c r="A272" s="151" t="s">
        <v>772</v>
      </c>
      <c r="B272" s="150">
        <v>1.0</v>
      </c>
    </row>
    <row r="273">
      <c r="A273" s="151" t="s">
        <v>773</v>
      </c>
      <c r="B273" s="150">
        <v>1.0</v>
      </c>
    </row>
    <row r="274">
      <c r="A274" s="151" t="s">
        <v>774</v>
      </c>
      <c r="B274" s="150">
        <v>1.0</v>
      </c>
    </row>
    <row r="275">
      <c r="A275" s="151" t="s">
        <v>775</v>
      </c>
      <c r="B275" s="150">
        <v>1.0</v>
      </c>
    </row>
    <row r="276">
      <c r="A276" s="151" t="s">
        <v>776</v>
      </c>
      <c r="B276" s="150">
        <v>1.0</v>
      </c>
    </row>
    <row r="277">
      <c r="A277" s="151" t="s">
        <v>777</v>
      </c>
      <c r="B277" s="150">
        <v>1.0</v>
      </c>
    </row>
    <row r="278">
      <c r="A278" s="151" t="s">
        <v>778</v>
      </c>
      <c r="B278" s="150">
        <v>1.0</v>
      </c>
    </row>
    <row r="279">
      <c r="A279" s="151" t="s">
        <v>779</v>
      </c>
      <c r="B279" s="150">
        <v>1.0</v>
      </c>
    </row>
    <row r="280">
      <c r="A280" s="151" t="s">
        <v>780</v>
      </c>
      <c r="B280" s="150">
        <v>1.0</v>
      </c>
    </row>
    <row r="281">
      <c r="A281" s="151" t="s">
        <v>781</v>
      </c>
      <c r="B281" s="150">
        <v>1.0</v>
      </c>
    </row>
    <row r="282">
      <c r="A282" s="151" t="s">
        <v>782</v>
      </c>
      <c r="B282" s="150">
        <v>1.0</v>
      </c>
    </row>
    <row r="283">
      <c r="A283" s="151" t="s">
        <v>783</v>
      </c>
      <c r="B283" s="150">
        <v>1.0</v>
      </c>
    </row>
    <row r="284">
      <c r="A284" s="151" t="s">
        <v>784</v>
      </c>
      <c r="B284" s="150">
        <v>1.0</v>
      </c>
    </row>
    <row r="285">
      <c r="A285" s="151" t="s">
        <v>785</v>
      </c>
      <c r="B285" s="150">
        <v>1.0</v>
      </c>
    </row>
    <row r="286">
      <c r="A286" s="151" t="s">
        <v>786</v>
      </c>
      <c r="B286" s="150">
        <v>1.0</v>
      </c>
    </row>
    <row r="287">
      <c r="A287" s="151" t="s">
        <v>787</v>
      </c>
      <c r="B287" s="150">
        <v>1.0</v>
      </c>
    </row>
    <row r="288">
      <c r="A288" s="151" t="s">
        <v>788</v>
      </c>
      <c r="B288" s="150">
        <v>1.0</v>
      </c>
    </row>
    <row r="289">
      <c r="A289" s="151" t="s">
        <v>789</v>
      </c>
      <c r="B289" s="150">
        <v>1.0</v>
      </c>
    </row>
    <row r="290">
      <c r="A290" s="151" t="s">
        <v>790</v>
      </c>
      <c r="B290" s="150">
        <v>1.0</v>
      </c>
    </row>
    <row r="291">
      <c r="A291" s="151" t="s">
        <v>791</v>
      </c>
      <c r="B291" s="150">
        <v>1.0</v>
      </c>
    </row>
    <row r="292">
      <c r="A292" s="151" t="s">
        <v>792</v>
      </c>
      <c r="B292" s="150">
        <v>1.0</v>
      </c>
    </row>
    <row r="293">
      <c r="A293" s="151" t="s">
        <v>793</v>
      </c>
      <c r="B293" s="150">
        <v>1.0</v>
      </c>
    </row>
    <row r="294">
      <c r="A294" s="151" t="s">
        <v>794</v>
      </c>
      <c r="B294" s="150">
        <v>1.0</v>
      </c>
    </row>
    <row r="295">
      <c r="A295" s="151" t="s">
        <v>795</v>
      </c>
      <c r="B295" s="150">
        <v>1.0</v>
      </c>
    </row>
    <row r="296">
      <c r="A296" s="151" t="s">
        <v>796</v>
      </c>
      <c r="B296" s="150">
        <v>1.0</v>
      </c>
    </row>
    <row r="297">
      <c r="A297" s="151" t="s">
        <v>797</v>
      </c>
      <c r="B297" s="150">
        <v>1.0</v>
      </c>
    </row>
    <row r="298">
      <c r="A298" s="151" t="s">
        <v>798</v>
      </c>
      <c r="B298" s="150">
        <v>1.0</v>
      </c>
    </row>
    <row r="299">
      <c r="A299" s="151" t="s">
        <v>799</v>
      </c>
      <c r="B299" s="150">
        <v>1.0</v>
      </c>
    </row>
    <row r="300">
      <c r="A300" s="151" t="s">
        <v>800</v>
      </c>
      <c r="B300" s="150">
        <v>1.0</v>
      </c>
    </row>
    <row r="301">
      <c r="A301" s="151" t="s">
        <v>801</v>
      </c>
      <c r="B301" s="150">
        <v>1.0</v>
      </c>
    </row>
    <row r="302">
      <c r="A302" s="151" t="s">
        <v>802</v>
      </c>
      <c r="B302" s="150">
        <v>1.0</v>
      </c>
    </row>
    <row r="303">
      <c r="A303" s="151" t="s">
        <v>803</v>
      </c>
      <c r="B303" s="150">
        <v>1.0</v>
      </c>
    </row>
    <row r="304">
      <c r="A304" s="151" t="s">
        <v>804</v>
      </c>
      <c r="B304" s="150">
        <v>1.0</v>
      </c>
    </row>
    <row r="305">
      <c r="A305" s="151" t="s">
        <v>805</v>
      </c>
      <c r="B305" s="150">
        <v>1.0</v>
      </c>
    </row>
    <row r="306">
      <c r="A306" s="151" t="s">
        <v>806</v>
      </c>
      <c r="B306" s="150">
        <v>1.0</v>
      </c>
    </row>
    <row r="307">
      <c r="A307" s="151" t="s">
        <v>807</v>
      </c>
      <c r="B307" s="150">
        <v>1.0</v>
      </c>
    </row>
    <row r="308">
      <c r="A308" s="151" t="s">
        <v>808</v>
      </c>
      <c r="B308" s="150">
        <v>1.0</v>
      </c>
    </row>
    <row r="309">
      <c r="A309" s="151" t="s">
        <v>809</v>
      </c>
      <c r="B309" s="150">
        <v>1.0</v>
      </c>
    </row>
    <row r="310">
      <c r="A310" s="151" t="s">
        <v>810</v>
      </c>
      <c r="B310" s="150">
        <v>1.0</v>
      </c>
    </row>
    <row r="311">
      <c r="A311" s="151" t="s">
        <v>811</v>
      </c>
      <c r="B311" s="150">
        <v>1.0</v>
      </c>
    </row>
    <row r="312">
      <c r="A312" s="151" t="s">
        <v>812</v>
      </c>
      <c r="B312" s="150">
        <v>1.0</v>
      </c>
    </row>
    <row r="313">
      <c r="A313" s="151" t="s">
        <v>813</v>
      </c>
      <c r="B313" s="150">
        <v>1.0</v>
      </c>
    </row>
    <row r="314">
      <c r="A314" s="151" t="s">
        <v>814</v>
      </c>
      <c r="B314" s="150">
        <v>1.0</v>
      </c>
    </row>
    <row r="315">
      <c r="A315" s="151" t="s">
        <v>815</v>
      </c>
      <c r="B315" s="150">
        <v>1.0</v>
      </c>
    </row>
    <row r="316">
      <c r="A316" s="151" t="s">
        <v>816</v>
      </c>
      <c r="B316" s="150">
        <v>1.0</v>
      </c>
    </row>
    <row r="317">
      <c r="A317" s="151" t="s">
        <v>817</v>
      </c>
      <c r="B317" s="150">
        <v>1.0</v>
      </c>
    </row>
    <row r="318">
      <c r="A318" s="151" t="s">
        <v>818</v>
      </c>
      <c r="B318" s="150">
        <v>1.0</v>
      </c>
    </row>
    <row r="319">
      <c r="A319" s="151" t="s">
        <v>819</v>
      </c>
      <c r="B319" s="150">
        <v>1.0</v>
      </c>
    </row>
    <row r="320">
      <c r="A320" s="151" t="s">
        <v>820</v>
      </c>
      <c r="B320" s="150">
        <v>1.0</v>
      </c>
    </row>
    <row r="321">
      <c r="A321" s="151" t="s">
        <v>821</v>
      </c>
      <c r="B321" s="150">
        <v>1.0</v>
      </c>
    </row>
    <row r="322">
      <c r="A322" s="151" t="s">
        <v>822</v>
      </c>
      <c r="B322" s="150">
        <v>1.0</v>
      </c>
    </row>
    <row r="323">
      <c r="A323" s="151" t="s">
        <v>823</v>
      </c>
      <c r="B323" s="150">
        <v>1.0</v>
      </c>
    </row>
    <row r="324">
      <c r="A324" s="151" t="s">
        <v>824</v>
      </c>
      <c r="B324" s="150">
        <v>1.0</v>
      </c>
    </row>
    <row r="325">
      <c r="A325" s="151" t="s">
        <v>825</v>
      </c>
      <c r="B325" s="150">
        <v>1.0</v>
      </c>
    </row>
    <row r="326">
      <c r="A326" s="151" t="s">
        <v>826</v>
      </c>
      <c r="B326" s="150">
        <v>1.0</v>
      </c>
    </row>
    <row r="327">
      <c r="A327" s="151" t="s">
        <v>827</v>
      </c>
      <c r="B327" s="150">
        <v>1.0</v>
      </c>
    </row>
    <row r="328">
      <c r="A328" s="151" t="s">
        <v>828</v>
      </c>
      <c r="B328" s="150">
        <v>1.0</v>
      </c>
    </row>
    <row r="329">
      <c r="A329" s="151" t="s">
        <v>829</v>
      </c>
      <c r="B329" s="150">
        <v>1.0</v>
      </c>
    </row>
    <row r="330">
      <c r="A330" s="151" t="s">
        <v>830</v>
      </c>
      <c r="B330" s="150">
        <v>1.0</v>
      </c>
    </row>
    <row r="331">
      <c r="A331" s="151" t="s">
        <v>831</v>
      </c>
      <c r="B331" s="150">
        <v>1.0</v>
      </c>
    </row>
    <row r="332">
      <c r="A332" s="151" t="s">
        <v>832</v>
      </c>
      <c r="B332" s="150">
        <v>1.0</v>
      </c>
    </row>
    <row r="333">
      <c r="A333" s="151" t="s">
        <v>833</v>
      </c>
      <c r="B333" s="150">
        <v>1.0</v>
      </c>
    </row>
    <row r="334">
      <c r="A334" s="151" t="s">
        <v>834</v>
      </c>
      <c r="B334" s="150">
        <v>1.0</v>
      </c>
    </row>
    <row r="335">
      <c r="A335" s="151" t="s">
        <v>835</v>
      </c>
      <c r="B335" s="150">
        <v>1.0</v>
      </c>
    </row>
    <row r="336">
      <c r="A336" s="151" t="s">
        <v>836</v>
      </c>
      <c r="B336" s="150">
        <v>1.0</v>
      </c>
    </row>
    <row r="337">
      <c r="A337" s="151" t="s">
        <v>837</v>
      </c>
      <c r="B337" s="150">
        <v>1.0</v>
      </c>
    </row>
    <row r="338">
      <c r="A338" s="151" t="s">
        <v>838</v>
      </c>
      <c r="B338" s="150">
        <v>1.0</v>
      </c>
    </row>
    <row r="339">
      <c r="A339" s="151" t="s">
        <v>839</v>
      </c>
      <c r="B339" s="150">
        <v>1.0</v>
      </c>
    </row>
    <row r="340">
      <c r="A340" s="151" t="s">
        <v>840</v>
      </c>
      <c r="B340" s="150">
        <v>1.0</v>
      </c>
    </row>
    <row r="341">
      <c r="A341" s="151" t="s">
        <v>841</v>
      </c>
      <c r="B341" s="150">
        <v>1.0</v>
      </c>
    </row>
    <row r="342">
      <c r="A342" s="151" t="s">
        <v>842</v>
      </c>
      <c r="B342" s="150">
        <v>1.0</v>
      </c>
    </row>
    <row r="343">
      <c r="A343" s="151" t="s">
        <v>843</v>
      </c>
      <c r="B343" s="150">
        <v>1.0</v>
      </c>
    </row>
    <row r="344">
      <c r="A344" s="151" t="s">
        <v>844</v>
      </c>
      <c r="B344" s="150">
        <v>1.0</v>
      </c>
    </row>
    <row r="345">
      <c r="A345" s="151" t="s">
        <v>845</v>
      </c>
      <c r="B345" s="150">
        <v>1.0</v>
      </c>
    </row>
    <row r="346">
      <c r="A346" s="151" t="s">
        <v>846</v>
      </c>
      <c r="B346" s="150">
        <v>1.0</v>
      </c>
    </row>
    <row r="347">
      <c r="A347" s="151" t="s">
        <v>847</v>
      </c>
      <c r="B347" s="150">
        <v>1.0</v>
      </c>
    </row>
    <row r="348">
      <c r="A348" s="151" t="s">
        <v>848</v>
      </c>
      <c r="B348" s="150">
        <v>1.0</v>
      </c>
    </row>
    <row r="349">
      <c r="A349" s="151" t="s">
        <v>849</v>
      </c>
      <c r="B349" s="150">
        <v>1.0</v>
      </c>
    </row>
    <row r="350">
      <c r="A350" s="151" t="s">
        <v>850</v>
      </c>
      <c r="B350" s="150">
        <v>1.0</v>
      </c>
    </row>
    <row r="351">
      <c r="A351" s="151" t="s">
        <v>851</v>
      </c>
      <c r="B351" s="150">
        <v>1.0</v>
      </c>
    </row>
    <row r="352">
      <c r="A352" s="151" t="s">
        <v>852</v>
      </c>
      <c r="B352" s="150">
        <v>1.0</v>
      </c>
    </row>
    <row r="353">
      <c r="A353" s="151" t="s">
        <v>853</v>
      </c>
      <c r="B353" s="150">
        <v>1.0</v>
      </c>
    </row>
    <row r="354">
      <c r="A354" s="151" t="s">
        <v>854</v>
      </c>
      <c r="B354" s="150">
        <v>1.0</v>
      </c>
    </row>
    <row r="355">
      <c r="A355" s="151" t="s">
        <v>855</v>
      </c>
      <c r="B355" s="150">
        <v>1.0</v>
      </c>
    </row>
    <row r="356">
      <c r="A356" s="151" t="s">
        <v>856</v>
      </c>
      <c r="B356" s="150">
        <v>1.0</v>
      </c>
    </row>
    <row r="357">
      <c r="A357" s="151" t="s">
        <v>857</v>
      </c>
      <c r="B357" s="150">
        <v>1.0</v>
      </c>
    </row>
    <row r="358">
      <c r="A358" s="151" t="s">
        <v>858</v>
      </c>
      <c r="B358" s="150">
        <v>1.0</v>
      </c>
    </row>
    <row r="359">
      <c r="A359" s="151" t="s">
        <v>859</v>
      </c>
      <c r="B359" s="150">
        <v>1.0</v>
      </c>
    </row>
    <row r="360">
      <c r="A360" s="151" t="s">
        <v>860</v>
      </c>
      <c r="B360" s="150">
        <v>1.0</v>
      </c>
    </row>
    <row r="361">
      <c r="A361" s="151" t="s">
        <v>861</v>
      </c>
      <c r="B361" s="150">
        <v>1.0</v>
      </c>
    </row>
    <row r="362">
      <c r="A362" s="151" t="s">
        <v>862</v>
      </c>
      <c r="B362" s="150">
        <v>1.0</v>
      </c>
    </row>
    <row r="363">
      <c r="A363" s="151" t="s">
        <v>863</v>
      </c>
      <c r="B363" s="150">
        <v>1.0</v>
      </c>
    </row>
    <row r="364">
      <c r="A364" s="151" t="s">
        <v>864</v>
      </c>
      <c r="B364" s="150">
        <v>1.0</v>
      </c>
    </row>
    <row r="365">
      <c r="A365" s="151" t="s">
        <v>865</v>
      </c>
      <c r="B365" s="150">
        <v>1.0</v>
      </c>
    </row>
    <row r="366">
      <c r="A366" s="151" t="s">
        <v>866</v>
      </c>
      <c r="B366" s="150">
        <v>1.0</v>
      </c>
    </row>
    <row r="367">
      <c r="A367" s="151" t="s">
        <v>867</v>
      </c>
      <c r="B367" s="150">
        <v>1.0</v>
      </c>
    </row>
    <row r="368">
      <c r="A368" s="151" t="s">
        <v>868</v>
      </c>
      <c r="B368" s="150">
        <v>1.0</v>
      </c>
    </row>
    <row r="369">
      <c r="A369" s="151" t="s">
        <v>869</v>
      </c>
      <c r="B369" s="150">
        <v>1.0</v>
      </c>
    </row>
    <row r="370">
      <c r="A370" s="151" t="s">
        <v>870</v>
      </c>
      <c r="B370" s="150">
        <v>1.0</v>
      </c>
    </row>
    <row r="371">
      <c r="A371" s="151" t="s">
        <v>871</v>
      </c>
      <c r="B371" s="150">
        <v>1.0</v>
      </c>
    </row>
    <row r="372">
      <c r="A372" s="151" t="s">
        <v>872</v>
      </c>
      <c r="B372" s="150">
        <v>1.0</v>
      </c>
    </row>
    <row r="373">
      <c r="A373" s="151" t="s">
        <v>873</v>
      </c>
      <c r="B373" s="150">
        <v>1.0</v>
      </c>
    </row>
    <row r="374">
      <c r="A374" s="151" t="s">
        <v>874</v>
      </c>
      <c r="B374" s="150">
        <v>1.0</v>
      </c>
    </row>
    <row r="375">
      <c r="A375" s="151" t="s">
        <v>875</v>
      </c>
      <c r="B375" s="150">
        <v>1.0</v>
      </c>
    </row>
    <row r="376">
      <c r="A376" s="151" t="s">
        <v>876</v>
      </c>
      <c r="B376" s="150">
        <v>1.0</v>
      </c>
    </row>
    <row r="377">
      <c r="A377" s="151" t="s">
        <v>877</v>
      </c>
      <c r="B377" s="150">
        <v>1.0</v>
      </c>
    </row>
    <row r="378">
      <c r="A378" s="151" t="s">
        <v>878</v>
      </c>
      <c r="B378" s="150">
        <v>1.0</v>
      </c>
    </row>
    <row r="379">
      <c r="A379" s="151" t="s">
        <v>879</v>
      </c>
      <c r="B379" s="150">
        <v>1.0</v>
      </c>
    </row>
    <row r="380">
      <c r="A380" s="151" t="s">
        <v>880</v>
      </c>
      <c r="B380" s="150">
        <v>1.0</v>
      </c>
    </row>
    <row r="381">
      <c r="A381" s="151" t="s">
        <v>881</v>
      </c>
      <c r="B381" s="150">
        <v>1.0</v>
      </c>
    </row>
    <row r="382">
      <c r="A382" s="151" t="s">
        <v>882</v>
      </c>
      <c r="B382" s="150">
        <v>1.0</v>
      </c>
    </row>
    <row r="383">
      <c r="A383" s="151" t="s">
        <v>883</v>
      </c>
      <c r="B383" s="150">
        <v>1.0</v>
      </c>
    </row>
    <row r="384">
      <c r="A384" s="151" t="s">
        <v>884</v>
      </c>
      <c r="B384" s="150">
        <v>1.0</v>
      </c>
    </row>
    <row r="385">
      <c r="A385" s="151" t="s">
        <v>885</v>
      </c>
      <c r="B385" s="150">
        <v>1.0</v>
      </c>
    </row>
    <row r="386">
      <c r="A386" s="151" t="s">
        <v>886</v>
      </c>
      <c r="B386" s="150">
        <v>1.0</v>
      </c>
    </row>
    <row r="387">
      <c r="A387" s="151" t="s">
        <v>887</v>
      </c>
      <c r="B387" s="150">
        <v>1.0</v>
      </c>
    </row>
    <row r="388">
      <c r="A388" s="151" t="s">
        <v>888</v>
      </c>
      <c r="B388" s="150">
        <v>1.0</v>
      </c>
    </row>
    <row r="389">
      <c r="A389" s="151" t="s">
        <v>889</v>
      </c>
      <c r="B389" s="150">
        <v>1.0</v>
      </c>
    </row>
    <row r="390">
      <c r="A390" s="151" t="s">
        <v>890</v>
      </c>
      <c r="B390" s="150">
        <v>1.0</v>
      </c>
    </row>
    <row r="391">
      <c r="A391" s="151" t="s">
        <v>891</v>
      </c>
      <c r="B391" s="150">
        <v>1.0</v>
      </c>
    </row>
    <row r="392">
      <c r="A392" s="151" t="s">
        <v>892</v>
      </c>
      <c r="B392" s="150">
        <v>1.0</v>
      </c>
    </row>
    <row r="393">
      <c r="A393" s="151" t="s">
        <v>893</v>
      </c>
      <c r="B393" s="150">
        <v>1.0</v>
      </c>
    </row>
    <row r="394">
      <c r="A394" s="151" t="s">
        <v>894</v>
      </c>
      <c r="B394" s="150">
        <v>1.0</v>
      </c>
    </row>
    <row r="395">
      <c r="A395" s="151" t="s">
        <v>895</v>
      </c>
      <c r="B395" s="150">
        <v>1.0</v>
      </c>
    </row>
    <row r="396">
      <c r="A396" s="151" t="s">
        <v>896</v>
      </c>
      <c r="B396" s="150">
        <v>1.0</v>
      </c>
    </row>
    <row r="397">
      <c r="A397" s="151" t="s">
        <v>897</v>
      </c>
      <c r="B397" s="150">
        <v>1.0</v>
      </c>
    </row>
    <row r="398">
      <c r="A398" s="151" t="s">
        <v>898</v>
      </c>
      <c r="B398" s="150">
        <v>1.0</v>
      </c>
    </row>
    <row r="399">
      <c r="A399" s="151" t="s">
        <v>899</v>
      </c>
      <c r="B399" s="150">
        <v>1.0</v>
      </c>
    </row>
    <row r="400">
      <c r="A400" s="151" t="s">
        <v>900</v>
      </c>
      <c r="B400" s="150">
        <v>1.0</v>
      </c>
    </row>
    <row r="401">
      <c r="A401" s="151" t="s">
        <v>901</v>
      </c>
      <c r="B401" s="150">
        <v>1.0</v>
      </c>
    </row>
    <row r="402">
      <c r="A402" s="151" t="s">
        <v>902</v>
      </c>
      <c r="B402" s="150">
        <v>1.0</v>
      </c>
    </row>
    <row r="403">
      <c r="A403" s="151" t="s">
        <v>903</v>
      </c>
      <c r="B403" s="150">
        <v>1.0</v>
      </c>
    </row>
    <row r="404">
      <c r="A404" s="151" t="s">
        <v>904</v>
      </c>
      <c r="B404" s="150">
        <v>1.0</v>
      </c>
    </row>
    <row r="405">
      <c r="A405" s="151" t="s">
        <v>905</v>
      </c>
      <c r="B405" s="150">
        <v>1.0</v>
      </c>
    </row>
    <row r="406">
      <c r="A406" s="151" t="s">
        <v>906</v>
      </c>
      <c r="B406" s="150">
        <v>1.0</v>
      </c>
    </row>
    <row r="407">
      <c r="A407" s="151" t="s">
        <v>907</v>
      </c>
      <c r="B407" s="150">
        <v>1.0</v>
      </c>
    </row>
    <row r="408">
      <c r="A408" s="151" t="s">
        <v>908</v>
      </c>
      <c r="B408" s="150">
        <v>1.0</v>
      </c>
    </row>
    <row r="409">
      <c r="A409" s="151" t="s">
        <v>909</v>
      </c>
      <c r="B409" s="150">
        <v>1.0</v>
      </c>
    </row>
    <row r="410">
      <c r="A410" s="151" t="s">
        <v>910</v>
      </c>
      <c r="B410" s="150">
        <v>1.0</v>
      </c>
    </row>
    <row r="411">
      <c r="A411" s="151" t="s">
        <v>911</v>
      </c>
      <c r="B411" s="150">
        <v>1.0</v>
      </c>
    </row>
    <row r="412">
      <c r="A412" s="151" t="s">
        <v>912</v>
      </c>
      <c r="B412" s="150">
        <v>1.0</v>
      </c>
    </row>
    <row r="413">
      <c r="A413" s="151" t="s">
        <v>913</v>
      </c>
      <c r="B413" s="150">
        <v>1.0</v>
      </c>
    </row>
    <row r="414">
      <c r="A414" s="151" t="s">
        <v>914</v>
      </c>
      <c r="B414" s="150">
        <v>1.0</v>
      </c>
    </row>
    <row r="415">
      <c r="A415" s="151" t="s">
        <v>915</v>
      </c>
      <c r="B415" s="150">
        <v>1.0</v>
      </c>
    </row>
    <row r="416">
      <c r="A416" s="151" t="s">
        <v>916</v>
      </c>
      <c r="B416" s="150">
        <v>1.0</v>
      </c>
    </row>
    <row r="417">
      <c r="A417" s="151" t="s">
        <v>917</v>
      </c>
      <c r="B417" s="150">
        <v>1.0</v>
      </c>
    </row>
    <row r="418">
      <c r="A418" s="151" t="s">
        <v>918</v>
      </c>
      <c r="B418" s="150">
        <v>1.0</v>
      </c>
    </row>
    <row r="419">
      <c r="A419" s="151" t="s">
        <v>919</v>
      </c>
      <c r="B419" s="150">
        <v>1.0</v>
      </c>
    </row>
    <row r="420">
      <c r="A420" s="151" t="s">
        <v>920</v>
      </c>
      <c r="B420" s="150">
        <v>1.0</v>
      </c>
    </row>
    <row r="421">
      <c r="A421" s="151" t="s">
        <v>921</v>
      </c>
      <c r="B421" s="150">
        <v>1.0</v>
      </c>
    </row>
    <row r="422">
      <c r="A422" s="151" t="s">
        <v>922</v>
      </c>
      <c r="B422" s="150">
        <v>1.0</v>
      </c>
    </row>
    <row r="423">
      <c r="A423" s="151" t="s">
        <v>923</v>
      </c>
      <c r="B423" s="150">
        <v>1.0</v>
      </c>
    </row>
    <row r="424">
      <c r="A424" s="151" t="s">
        <v>924</v>
      </c>
      <c r="B424" s="150">
        <v>1.0</v>
      </c>
    </row>
    <row r="425">
      <c r="A425" s="151" t="s">
        <v>925</v>
      </c>
      <c r="B425" s="150">
        <v>1.0</v>
      </c>
    </row>
    <row r="426">
      <c r="A426" s="151" t="s">
        <v>926</v>
      </c>
      <c r="B426" s="150">
        <v>1.0</v>
      </c>
    </row>
    <row r="427">
      <c r="A427" s="151" t="s">
        <v>927</v>
      </c>
      <c r="B427" s="150">
        <v>1.0</v>
      </c>
    </row>
    <row r="428">
      <c r="A428" s="151" t="s">
        <v>928</v>
      </c>
      <c r="B428" s="150">
        <v>1.0</v>
      </c>
    </row>
    <row r="429">
      <c r="A429" s="151" t="s">
        <v>929</v>
      </c>
      <c r="B429" s="150">
        <v>1.0</v>
      </c>
    </row>
    <row r="430">
      <c r="A430" s="151" t="s">
        <v>930</v>
      </c>
      <c r="B430" s="150">
        <v>1.0</v>
      </c>
    </row>
    <row r="431">
      <c r="A431" s="151" t="s">
        <v>931</v>
      </c>
      <c r="B431" s="150">
        <v>1.0</v>
      </c>
    </row>
    <row r="432">
      <c r="A432" s="151" t="s">
        <v>932</v>
      </c>
      <c r="B432" s="150">
        <v>1.0</v>
      </c>
    </row>
    <row r="433">
      <c r="A433" s="151" t="s">
        <v>933</v>
      </c>
      <c r="B433" s="150">
        <v>1.0</v>
      </c>
    </row>
    <row r="434">
      <c r="A434" s="151" t="s">
        <v>934</v>
      </c>
      <c r="B434" s="150">
        <v>1.0</v>
      </c>
    </row>
    <row r="435">
      <c r="A435" s="151" t="s">
        <v>935</v>
      </c>
      <c r="B435" s="150">
        <v>1.0</v>
      </c>
    </row>
    <row r="436">
      <c r="A436" s="151" t="s">
        <v>936</v>
      </c>
      <c r="B436" s="150">
        <v>1.0</v>
      </c>
    </row>
    <row r="437">
      <c r="A437" s="151" t="s">
        <v>937</v>
      </c>
      <c r="B437" s="150">
        <v>1.0</v>
      </c>
    </row>
    <row r="438">
      <c r="A438" s="151" t="s">
        <v>938</v>
      </c>
      <c r="B438" s="150">
        <v>1.0</v>
      </c>
    </row>
    <row r="439">
      <c r="A439" s="151" t="s">
        <v>939</v>
      </c>
      <c r="B439" s="150">
        <v>1.0</v>
      </c>
    </row>
    <row r="440">
      <c r="A440" s="151" t="s">
        <v>940</v>
      </c>
      <c r="B440" s="150">
        <v>1.0</v>
      </c>
    </row>
    <row r="441">
      <c r="A441" s="151" t="s">
        <v>941</v>
      </c>
      <c r="B441" s="150">
        <v>1.0</v>
      </c>
    </row>
    <row r="442">
      <c r="A442" s="151" t="s">
        <v>942</v>
      </c>
      <c r="B442" s="150">
        <v>1.0</v>
      </c>
    </row>
    <row r="443">
      <c r="A443" s="151" t="s">
        <v>943</v>
      </c>
      <c r="B443" s="150">
        <v>1.0</v>
      </c>
    </row>
    <row r="444">
      <c r="A444" s="151" t="s">
        <v>944</v>
      </c>
      <c r="B444" s="150">
        <v>1.0</v>
      </c>
    </row>
    <row r="445">
      <c r="A445" s="151" t="s">
        <v>945</v>
      </c>
      <c r="B445" s="150">
        <v>1.0</v>
      </c>
    </row>
    <row r="446">
      <c r="A446" s="151" t="s">
        <v>946</v>
      </c>
      <c r="B446" s="150">
        <v>1.0</v>
      </c>
    </row>
    <row r="447">
      <c r="A447" s="151" t="s">
        <v>947</v>
      </c>
      <c r="B447" s="150">
        <v>1.0</v>
      </c>
    </row>
    <row r="448">
      <c r="A448" s="151" t="s">
        <v>948</v>
      </c>
      <c r="B448" s="150">
        <v>1.0</v>
      </c>
    </row>
    <row r="449">
      <c r="A449" s="151" t="s">
        <v>949</v>
      </c>
      <c r="B449" s="150">
        <v>1.0</v>
      </c>
    </row>
    <row r="450">
      <c r="A450" s="151" t="s">
        <v>950</v>
      </c>
      <c r="B450" s="150">
        <v>1.0</v>
      </c>
    </row>
    <row r="451">
      <c r="A451" s="151" t="s">
        <v>951</v>
      </c>
      <c r="B451" s="150">
        <v>1.0</v>
      </c>
    </row>
    <row r="452">
      <c r="A452" s="151" t="s">
        <v>952</v>
      </c>
      <c r="B452" s="150">
        <v>1.0</v>
      </c>
    </row>
    <row r="453">
      <c r="A453" s="151" t="s">
        <v>953</v>
      </c>
      <c r="B453" s="150">
        <v>1.0</v>
      </c>
    </row>
    <row r="454">
      <c r="A454" s="151" t="s">
        <v>954</v>
      </c>
      <c r="B454" s="150">
        <v>1.0</v>
      </c>
    </row>
    <row r="455">
      <c r="A455" s="151" t="s">
        <v>955</v>
      </c>
      <c r="B455" s="150">
        <v>1.0</v>
      </c>
    </row>
    <row r="456">
      <c r="A456" s="151" t="s">
        <v>956</v>
      </c>
      <c r="B456" s="150">
        <v>1.0</v>
      </c>
    </row>
    <row r="457">
      <c r="A457" s="151" t="s">
        <v>957</v>
      </c>
      <c r="B457" s="150">
        <v>1.0</v>
      </c>
    </row>
    <row r="458">
      <c r="A458" s="151" t="s">
        <v>958</v>
      </c>
      <c r="B458" s="150">
        <v>1.0</v>
      </c>
    </row>
    <row r="459">
      <c r="A459" s="151" t="s">
        <v>959</v>
      </c>
      <c r="B459" s="150">
        <v>1.0</v>
      </c>
    </row>
    <row r="460">
      <c r="A460" s="151" t="s">
        <v>960</v>
      </c>
      <c r="B460" s="150">
        <v>1.0</v>
      </c>
    </row>
    <row r="461">
      <c r="A461" s="151" t="s">
        <v>961</v>
      </c>
      <c r="B461" s="150">
        <v>1.0</v>
      </c>
    </row>
    <row r="462">
      <c r="A462" s="151" t="s">
        <v>962</v>
      </c>
      <c r="B462" s="150">
        <v>1.0</v>
      </c>
    </row>
    <row r="463">
      <c r="A463" s="151" t="s">
        <v>963</v>
      </c>
      <c r="B463" s="150">
        <v>1.0</v>
      </c>
    </row>
    <row r="464">
      <c r="A464" s="151" t="s">
        <v>964</v>
      </c>
      <c r="B464" s="150">
        <v>1.0</v>
      </c>
    </row>
    <row r="465">
      <c r="A465" s="151" t="s">
        <v>965</v>
      </c>
      <c r="B465" s="150">
        <v>1.0</v>
      </c>
    </row>
    <row r="466">
      <c r="A466" s="151" t="s">
        <v>966</v>
      </c>
      <c r="B466" s="150">
        <v>1.0</v>
      </c>
    </row>
    <row r="467">
      <c r="A467" s="151" t="s">
        <v>967</v>
      </c>
      <c r="B467" s="150">
        <v>1.0</v>
      </c>
    </row>
    <row r="468">
      <c r="A468" s="151" t="s">
        <v>968</v>
      </c>
      <c r="B468" s="150">
        <v>1.0</v>
      </c>
    </row>
    <row r="469">
      <c r="A469" s="151" t="s">
        <v>969</v>
      </c>
      <c r="B469" s="150">
        <v>1.0</v>
      </c>
    </row>
    <row r="470">
      <c r="A470" s="151" t="s">
        <v>970</v>
      </c>
      <c r="B470" s="150">
        <v>1.0</v>
      </c>
    </row>
    <row r="471">
      <c r="A471" s="151" t="s">
        <v>971</v>
      </c>
      <c r="B471" s="150">
        <v>1.0</v>
      </c>
    </row>
    <row r="472">
      <c r="A472" s="151" t="s">
        <v>972</v>
      </c>
      <c r="B472" s="150">
        <v>1.0</v>
      </c>
    </row>
    <row r="473">
      <c r="A473" s="151" t="s">
        <v>973</v>
      </c>
      <c r="B473" s="150">
        <v>1.0</v>
      </c>
    </row>
    <row r="474">
      <c r="A474" s="151" t="s">
        <v>974</v>
      </c>
      <c r="B474" s="150">
        <v>1.0</v>
      </c>
    </row>
    <row r="475">
      <c r="A475" s="151" t="s">
        <v>975</v>
      </c>
      <c r="B475" s="150">
        <v>1.0</v>
      </c>
    </row>
    <row r="476">
      <c r="A476" s="151" t="s">
        <v>976</v>
      </c>
      <c r="B476" s="150">
        <v>1.0</v>
      </c>
    </row>
    <row r="477">
      <c r="A477" s="151" t="s">
        <v>977</v>
      </c>
      <c r="B477" s="150">
        <v>1.0</v>
      </c>
    </row>
    <row r="478">
      <c r="A478" s="151" t="s">
        <v>978</v>
      </c>
      <c r="B478" s="150">
        <v>1.0</v>
      </c>
    </row>
    <row r="479">
      <c r="A479" s="151" t="s">
        <v>979</v>
      </c>
      <c r="B479" s="150">
        <v>1.0</v>
      </c>
    </row>
    <row r="480">
      <c r="A480" s="151" t="s">
        <v>980</v>
      </c>
      <c r="B480" s="150">
        <v>1.0</v>
      </c>
    </row>
    <row r="481">
      <c r="A481" s="151" t="s">
        <v>981</v>
      </c>
      <c r="B481" s="150">
        <v>1.0</v>
      </c>
    </row>
    <row r="482">
      <c r="A482" s="151" t="s">
        <v>982</v>
      </c>
      <c r="B482" s="150">
        <v>1.0</v>
      </c>
    </row>
    <row r="483">
      <c r="A483" s="151" t="s">
        <v>983</v>
      </c>
      <c r="B483" s="150">
        <v>1.0</v>
      </c>
    </row>
    <row r="484">
      <c r="A484" s="151" t="s">
        <v>984</v>
      </c>
      <c r="B484" s="150">
        <v>1.0</v>
      </c>
    </row>
    <row r="485">
      <c r="A485" s="151" t="s">
        <v>985</v>
      </c>
      <c r="B485" s="150">
        <v>1.0</v>
      </c>
    </row>
    <row r="486">
      <c r="A486" s="151" t="s">
        <v>986</v>
      </c>
      <c r="B486" s="150">
        <v>1.0</v>
      </c>
    </row>
    <row r="487">
      <c r="A487" s="151" t="s">
        <v>987</v>
      </c>
      <c r="B487" s="150">
        <v>1.0</v>
      </c>
    </row>
    <row r="488">
      <c r="A488" s="151" t="s">
        <v>988</v>
      </c>
      <c r="B488" s="150">
        <v>1.0</v>
      </c>
    </row>
    <row r="489">
      <c r="A489" s="151" t="s">
        <v>989</v>
      </c>
      <c r="B489" s="150">
        <v>1.0</v>
      </c>
    </row>
    <row r="490">
      <c r="A490" s="151" t="s">
        <v>990</v>
      </c>
      <c r="B490" s="150">
        <v>1.0</v>
      </c>
    </row>
    <row r="491">
      <c r="A491" s="151" t="s">
        <v>991</v>
      </c>
      <c r="B491" s="150">
        <v>1.0</v>
      </c>
    </row>
    <row r="492">
      <c r="A492" s="151" t="s">
        <v>992</v>
      </c>
      <c r="B492" s="150">
        <v>1.0</v>
      </c>
    </row>
    <row r="493">
      <c r="A493" s="151" t="s">
        <v>993</v>
      </c>
      <c r="B493" s="150">
        <v>1.0</v>
      </c>
    </row>
    <row r="494">
      <c r="A494" s="151" t="s">
        <v>994</v>
      </c>
      <c r="B494" s="150">
        <v>1.0</v>
      </c>
    </row>
    <row r="495">
      <c r="A495" s="151" t="s">
        <v>995</v>
      </c>
      <c r="B495" s="150">
        <v>1.0</v>
      </c>
    </row>
    <row r="496">
      <c r="A496" s="151" t="s">
        <v>996</v>
      </c>
      <c r="B496" s="150">
        <v>1.0</v>
      </c>
    </row>
    <row r="497">
      <c r="A497" s="151" t="s">
        <v>997</v>
      </c>
      <c r="B497" s="150">
        <v>1.0</v>
      </c>
    </row>
    <row r="498">
      <c r="A498" s="151" t="s">
        <v>998</v>
      </c>
      <c r="B498" s="150">
        <v>1.0</v>
      </c>
    </row>
    <row r="499">
      <c r="A499" s="151" t="s">
        <v>999</v>
      </c>
      <c r="B499" s="150">
        <v>1.0</v>
      </c>
    </row>
    <row r="500">
      <c r="A500" s="151" t="s">
        <v>1000</v>
      </c>
      <c r="B500" s="150">
        <v>1.0</v>
      </c>
    </row>
    <row r="501">
      <c r="A501" s="151" t="s">
        <v>1001</v>
      </c>
      <c r="B501" s="150">
        <v>1.0</v>
      </c>
    </row>
    <row r="502">
      <c r="A502" s="151" t="s">
        <v>1002</v>
      </c>
      <c r="B502" s="150">
        <v>1.0</v>
      </c>
    </row>
    <row r="503">
      <c r="A503" s="151" t="s">
        <v>1003</v>
      </c>
      <c r="B503" s="150">
        <v>1.0</v>
      </c>
    </row>
    <row r="504">
      <c r="A504" s="151" t="s">
        <v>1004</v>
      </c>
      <c r="B504" s="150">
        <v>1.0</v>
      </c>
    </row>
    <row r="505">
      <c r="A505" s="151" t="s">
        <v>1005</v>
      </c>
      <c r="B505" s="150">
        <v>1.0</v>
      </c>
    </row>
    <row r="506">
      <c r="A506" s="151" t="s">
        <v>1006</v>
      </c>
      <c r="B506" s="150">
        <v>1.0</v>
      </c>
    </row>
    <row r="507">
      <c r="A507" s="151" t="s">
        <v>1007</v>
      </c>
      <c r="B507" s="150">
        <v>1.0</v>
      </c>
    </row>
    <row r="508">
      <c r="A508" s="151" t="s">
        <v>1008</v>
      </c>
      <c r="B508" s="150">
        <v>1.0</v>
      </c>
    </row>
    <row r="509">
      <c r="A509" s="151" t="s">
        <v>1009</v>
      </c>
      <c r="B509" s="150">
        <v>1.0</v>
      </c>
    </row>
    <row r="510">
      <c r="A510" s="151" t="s">
        <v>1010</v>
      </c>
      <c r="B510" s="150">
        <v>1.0</v>
      </c>
    </row>
    <row r="511">
      <c r="A511" s="151" t="s">
        <v>1011</v>
      </c>
      <c r="B511" s="150">
        <v>1.0</v>
      </c>
    </row>
    <row r="512">
      <c r="A512" s="151" t="s">
        <v>1012</v>
      </c>
      <c r="B512" s="150">
        <v>1.0</v>
      </c>
    </row>
    <row r="513">
      <c r="A513" s="151" t="s">
        <v>1013</v>
      </c>
      <c r="B513" s="150">
        <v>1.0</v>
      </c>
    </row>
    <row r="514">
      <c r="A514" s="151" t="s">
        <v>1014</v>
      </c>
      <c r="B514" s="150">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2.75"/>
    <col customWidth="1" min="2" max="2" width="12.75"/>
    <col customWidth="1" min="3" max="3" width="12.63"/>
    <col customWidth="1" min="4" max="4" width="21.25"/>
    <col hidden="1" min="5" max="5" width="12.63"/>
    <col customWidth="1" min="6" max="6" width="25.63"/>
    <col hidden="1" min="7" max="7" width="12.63"/>
    <col customWidth="1" min="8" max="8" width="28.0"/>
    <col customWidth="1" min="9" max="9" width="104.25"/>
    <col customWidth="1" min="23" max="23" width="21.0"/>
  </cols>
  <sheetData>
    <row r="1">
      <c r="A1" s="152"/>
      <c r="B1" s="152"/>
    </row>
    <row r="2">
      <c r="A2" s="152"/>
      <c r="B2" s="152"/>
    </row>
    <row r="3">
      <c r="A3" s="152"/>
      <c r="B3" s="152"/>
    </row>
    <row r="4">
      <c r="A4" s="152"/>
      <c r="B4" s="152"/>
    </row>
    <row r="5">
      <c r="A5" s="29" t="s">
        <v>1015</v>
      </c>
      <c r="B5" s="153" t="s">
        <v>1016</v>
      </c>
      <c r="C5" s="154" t="s">
        <v>1017</v>
      </c>
      <c r="D5" s="154" t="s">
        <v>31</v>
      </c>
      <c r="E5" s="154" t="s">
        <v>1018</v>
      </c>
      <c r="F5" s="154" t="s">
        <v>1019</v>
      </c>
      <c r="G5" s="154" t="s">
        <v>1018</v>
      </c>
      <c r="H5" s="154" t="s">
        <v>1020</v>
      </c>
      <c r="I5" s="154" t="s">
        <v>1018</v>
      </c>
      <c r="J5" s="154"/>
      <c r="K5" s="154"/>
      <c r="L5" s="154"/>
      <c r="M5" s="154"/>
      <c r="N5" s="154"/>
      <c r="O5" s="154"/>
      <c r="P5" s="154"/>
      <c r="Q5" s="154"/>
      <c r="R5" s="154"/>
      <c r="S5" s="154"/>
      <c r="T5" s="154"/>
      <c r="U5" s="154"/>
      <c r="V5" s="154"/>
      <c r="W5" s="148" t="s">
        <v>1021</v>
      </c>
      <c r="X5" s="148" t="s">
        <v>1022</v>
      </c>
      <c r="Y5" s="148" t="s">
        <v>1023</v>
      </c>
      <c r="Z5" s="148" t="s">
        <v>1024</v>
      </c>
    </row>
    <row r="6">
      <c r="A6" s="152">
        <f>IFERROR(__xludf.DUMMYFUNCTION("query(Y:Z,""select Z Where Y ='""&amp;H6&amp;""'"",0)"),1.0)</f>
        <v>1</v>
      </c>
      <c r="B6" s="29" t="s">
        <v>305</v>
      </c>
      <c r="C6" s="155" t="s">
        <v>303</v>
      </c>
      <c r="D6" s="156" t="s">
        <v>37</v>
      </c>
      <c r="E6" s="33" t="s">
        <v>1025</v>
      </c>
      <c r="F6" s="157" t="s">
        <v>1026</v>
      </c>
      <c r="G6" s="33" t="s">
        <v>1027</v>
      </c>
      <c r="H6" s="90" t="s">
        <v>811</v>
      </c>
      <c r="I6" s="33" t="s">
        <v>1028</v>
      </c>
      <c r="W6" s="149" t="s">
        <v>504</v>
      </c>
      <c r="X6" s="150" t="s">
        <v>1029</v>
      </c>
      <c r="Y6" s="150" t="s">
        <v>585</v>
      </c>
      <c r="Z6" s="150">
        <v>1.0</v>
      </c>
    </row>
    <row r="7">
      <c r="A7" s="152">
        <f>IFERROR(__xludf.DUMMYFUNCTION("query(Y:Z,""select Z Where Y ='""&amp;H7&amp;""'"",0)"),1.0)</f>
        <v>1</v>
      </c>
      <c r="B7" s="29" t="s">
        <v>1030</v>
      </c>
      <c r="C7" s="8" t="s">
        <v>1031</v>
      </c>
      <c r="D7" s="156" t="s">
        <v>43</v>
      </c>
      <c r="E7" s="33" t="s">
        <v>1025</v>
      </c>
      <c r="F7" s="157" t="s">
        <v>1032</v>
      </c>
      <c r="G7" s="33" t="s">
        <v>1033</v>
      </c>
      <c r="H7" s="90" t="s">
        <v>870</v>
      </c>
      <c r="I7" s="33" t="s">
        <v>1034</v>
      </c>
      <c r="W7" s="151" t="s">
        <v>37</v>
      </c>
      <c r="X7" s="150" t="s">
        <v>1026</v>
      </c>
      <c r="Y7" s="150" t="s">
        <v>666</v>
      </c>
      <c r="Z7" s="150">
        <v>5.0</v>
      </c>
    </row>
    <row r="8">
      <c r="A8" s="152">
        <f>IFERROR(__xludf.DUMMYFUNCTION("query(Y:Z,""select Z Where Y ='""&amp;H8&amp;""'"",0)"),1.0)</f>
        <v>1</v>
      </c>
      <c r="B8" s="29" t="s">
        <v>1030</v>
      </c>
      <c r="C8" s="8" t="s">
        <v>1031</v>
      </c>
      <c r="D8" s="156" t="s">
        <v>43</v>
      </c>
      <c r="E8" s="33" t="s">
        <v>1025</v>
      </c>
      <c r="F8" s="157" t="s">
        <v>1032</v>
      </c>
      <c r="G8" s="33" t="s">
        <v>1033</v>
      </c>
      <c r="H8" s="90" t="s">
        <v>724</v>
      </c>
      <c r="I8" s="33" t="s">
        <v>1035</v>
      </c>
      <c r="W8" s="149" t="s">
        <v>504</v>
      </c>
      <c r="X8" s="150" t="s">
        <v>1026</v>
      </c>
      <c r="Y8" s="150" t="s">
        <v>869</v>
      </c>
      <c r="Z8" s="150">
        <v>19.0</v>
      </c>
    </row>
    <row r="9">
      <c r="A9" s="152">
        <f>IFERROR(__xludf.DUMMYFUNCTION("query(Y:Z,""select Z Where Y ='""&amp;H9&amp;""'"",0)"),1.0)</f>
        <v>1</v>
      </c>
      <c r="B9" s="29" t="s">
        <v>1030</v>
      </c>
      <c r="C9" s="8" t="s">
        <v>1031</v>
      </c>
      <c r="D9" s="156" t="s">
        <v>43</v>
      </c>
      <c r="E9" s="33" t="s">
        <v>1025</v>
      </c>
      <c r="F9" s="157" t="s">
        <v>1036</v>
      </c>
      <c r="G9" s="33" t="s">
        <v>1037</v>
      </c>
      <c r="H9" s="90" t="s">
        <v>711</v>
      </c>
      <c r="I9" s="33" t="s">
        <v>1038</v>
      </c>
      <c r="W9" s="149" t="s">
        <v>504</v>
      </c>
      <c r="X9" s="150" t="s">
        <v>1026</v>
      </c>
      <c r="Y9" s="150" t="s">
        <v>811</v>
      </c>
      <c r="Z9" s="150">
        <v>1.0</v>
      </c>
    </row>
    <row r="10">
      <c r="A10" s="152">
        <f>IFERROR(__xludf.DUMMYFUNCTION("query(Y:Z,""select Z Where Y ='""&amp;H10&amp;""'"",0)"),1.0)</f>
        <v>1</v>
      </c>
      <c r="B10" s="29" t="s">
        <v>1030</v>
      </c>
      <c r="C10" s="8" t="s">
        <v>1031</v>
      </c>
      <c r="D10" s="156" t="s">
        <v>43</v>
      </c>
      <c r="E10" s="33" t="s">
        <v>1025</v>
      </c>
      <c r="F10" s="157" t="s">
        <v>1036</v>
      </c>
      <c r="G10" s="33" t="s">
        <v>1037</v>
      </c>
      <c r="H10" s="90" t="s">
        <v>983</v>
      </c>
      <c r="I10" s="33" t="s">
        <v>1040</v>
      </c>
      <c r="W10" s="151" t="s">
        <v>108</v>
      </c>
      <c r="X10" s="150" t="s">
        <v>1041</v>
      </c>
      <c r="Y10" s="150" t="s">
        <v>857</v>
      </c>
      <c r="Z10" s="150">
        <v>18.0</v>
      </c>
    </row>
    <row r="11">
      <c r="A11" s="152">
        <f>IFERROR(__xludf.DUMMYFUNCTION("query(Y:Z,""select Z Where Y ='""&amp;H11&amp;""'"",0)"),1.0)</f>
        <v>1</v>
      </c>
      <c r="B11" s="29" t="s">
        <v>1030</v>
      </c>
      <c r="C11" s="164" t="s">
        <v>1044</v>
      </c>
      <c r="D11" s="156" t="s">
        <v>46</v>
      </c>
      <c r="E11" s="33" t="s">
        <v>1025</v>
      </c>
      <c r="F11" s="157" t="s">
        <v>1039</v>
      </c>
      <c r="G11" s="33" t="s">
        <v>1042</v>
      </c>
      <c r="H11" s="90" t="s">
        <v>999</v>
      </c>
      <c r="I11" s="33" t="s">
        <v>1045</v>
      </c>
      <c r="W11" s="151" t="s">
        <v>177</v>
      </c>
      <c r="X11" s="150" t="s">
        <v>1046</v>
      </c>
      <c r="Y11" s="150" t="s">
        <v>510</v>
      </c>
      <c r="Z11" s="150">
        <v>175.0</v>
      </c>
    </row>
    <row r="12">
      <c r="A12" s="152">
        <f>IFERROR(__xludf.DUMMYFUNCTION("query(Y:Z,""select Z Where Y ='""&amp;H12&amp;""'"",0)"),1.0)</f>
        <v>1</v>
      </c>
      <c r="B12" s="29" t="s">
        <v>1030</v>
      </c>
      <c r="C12" s="164" t="s">
        <v>1044</v>
      </c>
      <c r="D12" s="156" t="s">
        <v>46</v>
      </c>
      <c r="E12" s="33" t="s">
        <v>1025</v>
      </c>
      <c r="F12" s="157" t="s">
        <v>1048</v>
      </c>
      <c r="G12" s="33" t="s">
        <v>1050</v>
      </c>
      <c r="H12" s="90" t="s">
        <v>765</v>
      </c>
      <c r="I12" s="33" t="s">
        <v>1052</v>
      </c>
      <c r="W12" s="151" t="s">
        <v>177</v>
      </c>
      <c r="X12" s="150" t="s">
        <v>1046</v>
      </c>
      <c r="Y12" s="150" t="s">
        <v>560</v>
      </c>
      <c r="Z12" s="150">
        <v>42.0</v>
      </c>
    </row>
    <row r="13">
      <c r="A13" s="152">
        <f>IFERROR(__xludf.DUMMYFUNCTION("query(Y:Z,""select Z Where Y ='""&amp;H13&amp;""'"",0)"),1.0)</f>
        <v>1</v>
      </c>
      <c r="B13" s="29" t="s">
        <v>1030</v>
      </c>
      <c r="C13" s="164" t="s">
        <v>1044</v>
      </c>
      <c r="D13" s="156" t="s">
        <v>50</v>
      </c>
      <c r="E13" s="33" t="s">
        <v>1025</v>
      </c>
      <c r="F13" s="157" t="s">
        <v>1055</v>
      </c>
      <c r="G13" s="33" t="s">
        <v>1056</v>
      </c>
      <c r="H13" s="90" t="s">
        <v>990</v>
      </c>
      <c r="I13" s="33" t="s">
        <v>1058</v>
      </c>
      <c r="W13" s="149" t="s">
        <v>504</v>
      </c>
      <c r="X13" s="150" t="s">
        <v>1046</v>
      </c>
      <c r="Y13" s="150" t="s">
        <v>648</v>
      </c>
      <c r="Z13" s="150">
        <v>1.0</v>
      </c>
    </row>
    <row r="14">
      <c r="A14" s="152">
        <f>IFERROR(__xludf.DUMMYFUNCTION("query(Y:Z,""select Z Where Y ='""&amp;H14&amp;""'"",0)"),1.0)</f>
        <v>1</v>
      </c>
      <c r="B14" s="29" t="s">
        <v>1030</v>
      </c>
      <c r="C14" s="164" t="s">
        <v>1044</v>
      </c>
      <c r="D14" s="156" t="s">
        <v>50</v>
      </c>
      <c r="E14" s="33" t="s">
        <v>1025</v>
      </c>
      <c r="F14" s="157" t="s">
        <v>1055</v>
      </c>
      <c r="G14" s="33" t="s">
        <v>1056</v>
      </c>
      <c r="H14" s="90" t="s">
        <v>841</v>
      </c>
      <c r="I14" s="33" t="s">
        <v>1060</v>
      </c>
      <c r="W14" s="151" t="s">
        <v>96</v>
      </c>
      <c r="X14" s="150" t="s">
        <v>1046</v>
      </c>
      <c r="Y14" s="150" t="s">
        <v>604</v>
      </c>
      <c r="Z14" s="150">
        <v>1.0</v>
      </c>
    </row>
    <row r="15">
      <c r="A15" s="152">
        <f>IFERROR(__xludf.DUMMYFUNCTION("query(Y:Z,""select Z Where Y ='""&amp;H15&amp;""'"",0)"),1.0)</f>
        <v>1</v>
      </c>
      <c r="B15" s="29" t="s">
        <v>1030</v>
      </c>
      <c r="C15" s="164" t="s">
        <v>1044</v>
      </c>
      <c r="D15" s="156" t="s">
        <v>50</v>
      </c>
      <c r="E15" s="33" t="s">
        <v>1025</v>
      </c>
      <c r="F15" s="157" t="s">
        <v>1061</v>
      </c>
      <c r="G15" s="33" t="s">
        <v>1062</v>
      </c>
      <c r="H15" s="90" t="s">
        <v>924</v>
      </c>
      <c r="I15" s="33" t="s">
        <v>1064</v>
      </c>
      <c r="W15" s="151" t="s">
        <v>96</v>
      </c>
      <c r="X15" s="150" t="s">
        <v>1065</v>
      </c>
      <c r="Y15" s="150" t="s">
        <v>847</v>
      </c>
      <c r="Z15" s="150">
        <v>14.0</v>
      </c>
    </row>
    <row r="16">
      <c r="A16" s="152">
        <f>IFERROR(__xludf.DUMMYFUNCTION("query(Y:Z,""select Z Where Y ='""&amp;H16&amp;""'"",0)"),1.0)</f>
        <v>1</v>
      </c>
      <c r="B16" s="29" t="s">
        <v>1030</v>
      </c>
      <c r="C16" s="164" t="s">
        <v>1044</v>
      </c>
      <c r="D16" s="156" t="s">
        <v>50</v>
      </c>
      <c r="E16" s="33" t="s">
        <v>1025</v>
      </c>
      <c r="F16" s="157" t="s">
        <v>1061</v>
      </c>
      <c r="G16" s="33" t="s">
        <v>1062</v>
      </c>
      <c r="H16" s="90" t="s">
        <v>766</v>
      </c>
      <c r="I16" s="33" t="s">
        <v>1066</v>
      </c>
      <c r="W16" s="149" t="s">
        <v>504</v>
      </c>
      <c r="X16" s="150" t="s">
        <v>1065</v>
      </c>
      <c r="Y16" s="150" t="s">
        <v>847</v>
      </c>
      <c r="Z16" s="150">
        <v>1.0</v>
      </c>
    </row>
    <row r="17">
      <c r="A17" s="152">
        <f>IFERROR(__xludf.DUMMYFUNCTION("query(Y:Z,""select Z Where Y ='""&amp;H17&amp;""'"",0)"),1.0)</f>
        <v>1</v>
      </c>
      <c r="B17" s="29" t="s">
        <v>1030</v>
      </c>
      <c r="C17" s="164" t="s">
        <v>1044</v>
      </c>
      <c r="D17" s="156" t="s">
        <v>53</v>
      </c>
      <c r="E17" s="33" t="s">
        <v>1025</v>
      </c>
      <c r="F17" s="157" t="s">
        <v>1070</v>
      </c>
      <c r="G17" s="33" t="s">
        <v>1071</v>
      </c>
      <c r="H17" s="90" t="s">
        <v>894</v>
      </c>
      <c r="I17" s="33" t="s">
        <v>1072</v>
      </c>
      <c r="W17" s="151" t="s">
        <v>78</v>
      </c>
      <c r="X17" s="150" t="s">
        <v>1074</v>
      </c>
      <c r="Y17" s="150" t="s">
        <v>932</v>
      </c>
      <c r="Z17" s="150">
        <v>3.0</v>
      </c>
    </row>
    <row r="18">
      <c r="A18" s="152">
        <f>IFERROR(__xludf.DUMMYFUNCTION("query(Y:Z,""select Z Where Y ='""&amp;H18&amp;""'"",0)"),1.0)</f>
        <v>1</v>
      </c>
      <c r="B18" s="29" t="s">
        <v>1030</v>
      </c>
      <c r="C18" s="164" t="s">
        <v>1044</v>
      </c>
      <c r="D18" s="156" t="s">
        <v>53</v>
      </c>
      <c r="E18" s="33" t="s">
        <v>1025</v>
      </c>
      <c r="F18" s="157" t="s">
        <v>1070</v>
      </c>
      <c r="G18" s="33" t="s">
        <v>1071</v>
      </c>
      <c r="H18" s="90" t="s">
        <v>1077</v>
      </c>
      <c r="I18" s="33" t="s">
        <v>1078</v>
      </c>
      <c r="W18" s="151" t="s">
        <v>78</v>
      </c>
      <c r="X18" s="150" t="s">
        <v>1074</v>
      </c>
      <c r="Y18" s="150" t="s">
        <v>651</v>
      </c>
      <c r="Z18" s="150">
        <v>12.0</v>
      </c>
    </row>
    <row r="19">
      <c r="A19" s="152">
        <f>IFERROR(__xludf.DUMMYFUNCTION("query(Y:Z,""select Z Where Y ='""&amp;H19&amp;""'"",0)"),1.0)</f>
        <v>1</v>
      </c>
      <c r="B19" s="29" t="s">
        <v>1030</v>
      </c>
      <c r="C19" s="164" t="s">
        <v>1044</v>
      </c>
      <c r="D19" s="156" t="s">
        <v>53</v>
      </c>
      <c r="E19" s="33" t="s">
        <v>1025</v>
      </c>
      <c r="F19" s="157" t="s">
        <v>1070</v>
      </c>
      <c r="G19" s="33" t="s">
        <v>1071</v>
      </c>
      <c r="H19" s="90" t="s">
        <v>891</v>
      </c>
      <c r="I19" s="33" t="s">
        <v>1080</v>
      </c>
      <c r="W19" s="149" t="s">
        <v>504</v>
      </c>
      <c r="X19" s="150" t="s">
        <v>1081</v>
      </c>
      <c r="Y19" s="150" t="s">
        <v>549</v>
      </c>
      <c r="Z19" s="150">
        <v>20.0</v>
      </c>
    </row>
    <row r="20">
      <c r="A20" s="152">
        <f>IFERROR(__xludf.DUMMYFUNCTION("query(Y:Z,""select Z Where Y ='""&amp;H20&amp;""'"",0)"),1.0)</f>
        <v>1</v>
      </c>
      <c r="B20" s="29" t="s">
        <v>1030</v>
      </c>
      <c r="C20" s="164" t="s">
        <v>1044</v>
      </c>
      <c r="D20" s="156" t="s">
        <v>53</v>
      </c>
      <c r="E20" s="33" t="s">
        <v>1025</v>
      </c>
      <c r="F20" s="157" t="s">
        <v>1083</v>
      </c>
      <c r="G20" s="33" t="s">
        <v>1084</v>
      </c>
      <c r="H20" s="90" t="s">
        <v>756</v>
      </c>
      <c r="I20" s="33" t="s">
        <v>1085</v>
      </c>
      <c r="W20" s="151" t="s">
        <v>46</v>
      </c>
      <c r="X20" s="150" t="s">
        <v>1048</v>
      </c>
      <c r="Y20" s="150" t="s">
        <v>765</v>
      </c>
      <c r="Z20" s="150">
        <v>1.0</v>
      </c>
    </row>
    <row r="21">
      <c r="A21" s="152">
        <f>IFERROR(__xludf.DUMMYFUNCTION("query(Y:Z,""select Z Where Y ='""&amp;H21&amp;""'"",0)"),1.0)</f>
        <v>1</v>
      </c>
      <c r="B21" s="29" t="s">
        <v>1030</v>
      </c>
      <c r="C21" s="164" t="s">
        <v>1044</v>
      </c>
      <c r="D21" s="156" t="s">
        <v>53</v>
      </c>
      <c r="E21" s="33" t="s">
        <v>1025</v>
      </c>
      <c r="F21" s="157" t="s">
        <v>1083</v>
      </c>
      <c r="G21" s="33" t="s">
        <v>1084</v>
      </c>
      <c r="H21" s="90" t="s">
        <v>873</v>
      </c>
      <c r="I21" s="33" t="s">
        <v>1088</v>
      </c>
      <c r="W21" s="151" t="s">
        <v>78</v>
      </c>
      <c r="X21" s="150" t="s">
        <v>1089</v>
      </c>
      <c r="Y21" s="150" t="s">
        <v>893</v>
      </c>
      <c r="Z21" s="150">
        <v>2.0</v>
      </c>
    </row>
    <row r="22">
      <c r="A22" s="152">
        <f>IFERROR(__xludf.DUMMYFUNCTION("query(Y:Z,""select Z Where Y ='""&amp;H22&amp;""'"",0)"),1.0)</f>
        <v>1</v>
      </c>
      <c r="B22" s="29" t="s">
        <v>1030</v>
      </c>
      <c r="C22" s="164" t="s">
        <v>1044</v>
      </c>
      <c r="D22" s="156" t="s">
        <v>53</v>
      </c>
      <c r="E22" s="33" t="s">
        <v>1025</v>
      </c>
      <c r="F22" s="157" t="s">
        <v>1083</v>
      </c>
      <c r="G22" s="33" t="s">
        <v>1084</v>
      </c>
      <c r="H22" s="90" t="s">
        <v>810</v>
      </c>
      <c r="I22" s="33" t="s">
        <v>1091</v>
      </c>
      <c r="W22" s="151" t="s">
        <v>78</v>
      </c>
      <c r="X22" s="150" t="s">
        <v>1089</v>
      </c>
      <c r="Y22" s="150" t="s">
        <v>787</v>
      </c>
      <c r="Z22" s="150">
        <v>12.0</v>
      </c>
    </row>
    <row r="23">
      <c r="A23" s="152">
        <f>IFERROR(__xludf.DUMMYFUNCTION("query(Y:Z,""select Z Where Y ='""&amp;H23&amp;""'"",0)"),1.0)</f>
        <v>1</v>
      </c>
      <c r="B23" s="29" t="s">
        <v>1030</v>
      </c>
      <c r="C23" s="164" t="s">
        <v>1044</v>
      </c>
      <c r="D23" s="156" t="s">
        <v>53</v>
      </c>
      <c r="E23" s="33" t="s">
        <v>1025</v>
      </c>
      <c r="F23" s="157" t="s">
        <v>1083</v>
      </c>
      <c r="G23" s="33" t="s">
        <v>1084</v>
      </c>
      <c r="H23" s="90" t="s">
        <v>973</v>
      </c>
      <c r="I23" s="33" t="s">
        <v>1094</v>
      </c>
      <c r="W23" s="151" t="s">
        <v>78</v>
      </c>
      <c r="X23" s="150" t="s">
        <v>1089</v>
      </c>
      <c r="Y23" s="150" t="s">
        <v>910</v>
      </c>
      <c r="Z23" s="150">
        <v>10.0</v>
      </c>
    </row>
    <row r="24">
      <c r="A24" s="152">
        <f>IFERROR(__xludf.DUMMYFUNCTION("query(Y:Z,""select Z Where Y ='""&amp;H24&amp;""'"",0)"),1.0)</f>
        <v>1</v>
      </c>
      <c r="B24" s="29" t="s">
        <v>1030</v>
      </c>
      <c r="C24" s="164" t="s">
        <v>1044</v>
      </c>
      <c r="D24" s="156" t="s">
        <v>53</v>
      </c>
      <c r="E24" s="33" t="s">
        <v>1025</v>
      </c>
      <c r="F24" s="157" t="s">
        <v>1095</v>
      </c>
      <c r="G24" s="33" t="s">
        <v>1096</v>
      </c>
      <c r="H24" s="90" t="s">
        <v>1097</v>
      </c>
      <c r="I24" s="33" t="s">
        <v>1098</v>
      </c>
      <c r="W24" s="151" t="s">
        <v>50</v>
      </c>
      <c r="X24" s="150" t="s">
        <v>1099</v>
      </c>
      <c r="Y24" s="150" t="s">
        <v>1100</v>
      </c>
      <c r="Z24" s="150">
        <v>1.0</v>
      </c>
    </row>
    <row r="25">
      <c r="A25" s="152">
        <f>IFERROR(__xludf.DUMMYFUNCTION("query(Y:Z,""select Z Where Y ='""&amp;H25&amp;""'"",0)"),1.0)</f>
        <v>1</v>
      </c>
      <c r="B25" s="29" t="s">
        <v>1030</v>
      </c>
      <c r="C25" s="164" t="s">
        <v>1044</v>
      </c>
      <c r="D25" s="156" t="s">
        <v>53</v>
      </c>
      <c r="E25" s="33" t="s">
        <v>1025</v>
      </c>
      <c r="F25" s="157" t="s">
        <v>1095</v>
      </c>
      <c r="G25" s="33" t="s">
        <v>1096</v>
      </c>
      <c r="H25" s="90" t="s">
        <v>623</v>
      </c>
      <c r="I25" s="33" t="s">
        <v>1101</v>
      </c>
      <c r="W25" s="149" t="s">
        <v>504</v>
      </c>
      <c r="X25" s="150" t="s">
        <v>1061</v>
      </c>
      <c r="Y25" s="150" t="s">
        <v>777</v>
      </c>
      <c r="Z25" s="150">
        <v>3.0</v>
      </c>
    </row>
    <row r="26">
      <c r="A26" s="152">
        <f>IFERROR(__xludf.DUMMYFUNCTION("query(Y:Z,""select Z Where Y ='""&amp;H26&amp;""'"",0)"),1.0)</f>
        <v>1</v>
      </c>
      <c r="B26" s="29" t="s">
        <v>1030</v>
      </c>
      <c r="C26" s="164" t="s">
        <v>1044</v>
      </c>
      <c r="D26" s="156" t="s">
        <v>53</v>
      </c>
      <c r="E26" s="33" t="s">
        <v>1025</v>
      </c>
      <c r="F26" s="157" t="s">
        <v>1103</v>
      </c>
      <c r="G26" s="33" t="s">
        <v>1105</v>
      </c>
      <c r="H26" s="90" t="s">
        <v>994</v>
      </c>
      <c r="I26" s="33" t="s">
        <v>1106</v>
      </c>
      <c r="W26" s="151" t="s">
        <v>125</v>
      </c>
      <c r="X26" s="150" t="s">
        <v>1070</v>
      </c>
      <c r="Y26" s="150" t="s">
        <v>826</v>
      </c>
      <c r="Z26" s="150">
        <v>4.0</v>
      </c>
    </row>
    <row r="27">
      <c r="A27" s="152">
        <f>IFERROR(__xludf.DUMMYFUNCTION("query(Y:Z,""select Z Where Y ='""&amp;H27&amp;""'"",0)"),1.0)</f>
        <v>1</v>
      </c>
      <c r="B27" s="29" t="s">
        <v>1030</v>
      </c>
      <c r="C27" s="164" t="s">
        <v>1044</v>
      </c>
      <c r="D27" s="156" t="s">
        <v>53</v>
      </c>
      <c r="E27" s="33" t="s">
        <v>1025</v>
      </c>
      <c r="F27" s="157" t="s">
        <v>1103</v>
      </c>
      <c r="G27" s="33" t="s">
        <v>1105</v>
      </c>
      <c r="H27" s="90" t="s">
        <v>638</v>
      </c>
      <c r="I27" s="33" t="s">
        <v>1108</v>
      </c>
      <c r="W27" s="151" t="s">
        <v>125</v>
      </c>
      <c r="X27" s="150" t="s">
        <v>1070</v>
      </c>
      <c r="Y27" s="150" t="s">
        <v>883</v>
      </c>
      <c r="Z27" s="150">
        <v>2.0</v>
      </c>
    </row>
    <row r="28">
      <c r="A28" s="152">
        <f>IFERROR(__xludf.DUMMYFUNCTION("query(Y:Z,""select Z Where Y ='""&amp;H28&amp;""'"",0)"),1.0)</f>
        <v>1</v>
      </c>
      <c r="B28" s="29" t="s">
        <v>1030</v>
      </c>
      <c r="C28" s="164" t="s">
        <v>1044</v>
      </c>
      <c r="D28" s="156" t="s">
        <v>53</v>
      </c>
      <c r="E28" s="33" t="s">
        <v>1025</v>
      </c>
      <c r="F28" s="157" t="s">
        <v>1109</v>
      </c>
      <c r="G28" s="33" t="s">
        <v>1110</v>
      </c>
      <c r="H28" s="90" t="s">
        <v>829</v>
      </c>
      <c r="I28" s="33" t="s">
        <v>1112</v>
      </c>
      <c r="W28" s="149" t="s">
        <v>504</v>
      </c>
      <c r="X28" s="150" t="s">
        <v>1113</v>
      </c>
      <c r="Y28" s="150" t="s">
        <v>531</v>
      </c>
      <c r="Z28" s="150">
        <v>5.0</v>
      </c>
    </row>
    <row r="29">
      <c r="A29" s="152">
        <f>IFERROR(__xludf.DUMMYFUNCTION("query(Y:Z,""select Z Where Y ='""&amp;H29&amp;""'"",0)"),1.0)</f>
        <v>1</v>
      </c>
      <c r="B29" s="29" t="s">
        <v>1030</v>
      </c>
      <c r="C29" s="164" t="s">
        <v>1044</v>
      </c>
      <c r="D29" s="156" t="s">
        <v>53</v>
      </c>
      <c r="E29" s="33" t="s">
        <v>1025</v>
      </c>
      <c r="F29" s="157" t="s">
        <v>1109</v>
      </c>
      <c r="G29" s="33" t="s">
        <v>1110</v>
      </c>
      <c r="H29" s="90" t="s">
        <v>859</v>
      </c>
      <c r="I29" s="33" t="s">
        <v>1115</v>
      </c>
      <c r="W29" s="151" t="s">
        <v>1116</v>
      </c>
      <c r="X29" s="150" t="s">
        <v>182</v>
      </c>
      <c r="Y29" s="150" t="s">
        <v>507</v>
      </c>
      <c r="Z29" s="150">
        <v>2.0</v>
      </c>
    </row>
    <row r="30">
      <c r="A30" s="152">
        <f>IFERROR(__xludf.DUMMYFUNCTION("query(Y:Z,""select Z Where Y ='""&amp;H30&amp;""'"",0)"),1.0)</f>
        <v>1</v>
      </c>
      <c r="B30" s="29" t="s">
        <v>1030</v>
      </c>
      <c r="C30" s="164" t="s">
        <v>1044</v>
      </c>
      <c r="D30" s="156" t="s">
        <v>53</v>
      </c>
      <c r="E30" s="33" t="s">
        <v>1025</v>
      </c>
      <c r="F30" s="157" t="s">
        <v>1118</v>
      </c>
      <c r="G30" s="33" t="s">
        <v>1119</v>
      </c>
      <c r="H30" s="90" t="s">
        <v>820</v>
      </c>
      <c r="I30" s="33" t="s">
        <v>1120</v>
      </c>
      <c r="W30" s="151" t="s">
        <v>147</v>
      </c>
      <c r="X30" s="150" t="s">
        <v>1121</v>
      </c>
      <c r="Y30" s="150" t="s">
        <v>791</v>
      </c>
      <c r="Z30" s="150">
        <v>25.0</v>
      </c>
    </row>
    <row r="31">
      <c r="A31" s="152">
        <f>IFERROR(__xludf.DUMMYFUNCTION("query(Y:Z,""select Z Where Y ='""&amp;H31&amp;""'"",0)"),1.0)</f>
        <v>1</v>
      </c>
      <c r="B31" s="29" t="s">
        <v>1030</v>
      </c>
      <c r="C31" s="164" t="s">
        <v>1044</v>
      </c>
      <c r="D31" s="156" t="s">
        <v>57</v>
      </c>
      <c r="E31" s="33" t="s">
        <v>1025</v>
      </c>
      <c r="F31" s="157" t="s">
        <v>1122</v>
      </c>
      <c r="G31" s="33" t="s">
        <v>1123</v>
      </c>
      <c r="H31" s="90" t="s">
        <v>1124</v>
      </c>
      <c r="I31" s="33" t="s">
        <v>1125</v>
      </c>
      <c r="W31" s="151" t="s">
        <v>96</v>
      </c>
      <c r="X31" s="150" t="s">
        <v>1126</v>
      </c>
      <c r="Y31" s="150" t="s">
        <v>740</v>
      </c>
      <c r="Z31" s="150">
        <v>7.0</v>
      </c>
    </row>
    <row r="32">
      <c r="A32" s="152">
        <f>IFERROR(__xludf.DUMMYFUNCTION("query(Y:Z,""select Z Where Y ='""&amp;H32&amp;""'"",0)"),1.0)</f>
        <v>1</v>
      </c>
      <c r="B32" s="29" t="s">
        <v>1030</v>
      </c>
      <c r="C32" s="164" t="s">
        <v>1044</v>
      </c>
      <c r="D32" s="156" t="s">
        <v>60</v>
      </c>
      <c r="E32" s="33" t="s">
        <v>1025</v>
      </c>
      <c r="F32" s="157" t="s">
        <v>1130</v>
      </c>
      <c r="G32" s="33" t="s">
        <v>1131</v>
      </c>
      <c r="H32" s="90" t="s">
        <v>1132</v>
      </c>
      <c r="I32" s="33" t="s">
        <v>1133</v>
      </c>
      <c r="W32" s="149" t="s">
        <v>504</v>
      </c>
      <c r="X32" s="150" t="s">
        <v>1134</v>
      </c>
      <c r="Y32" s="150" t="s">
        <v>569</v>
      </c>
      <c r="Z32" s="150">
        <v>1.0</v>
      </c>
    </row>
    <row r="33">
      <c r="A33" s="152">
        <f>IFERROR(__xludf.DUMMYFUNCTION("query(Y:Z,""select Z Where Y ='""&amp;H33&amp;""'"",0)"),1.0)</f>
        <v>1</v>
      </c>
      <c r="B33" s="29" t="s">
        <v>1030</v>
      </c>
      <c r="C33" s="164" t="s">
        <v>1044</v>
      </c>
      <c r="D33" s="156" t="s">
        <v>78</v>
      </c>
      <c r="E33" s="33" t="s">
        <v>1025</v>
      </c>
      <c r="F33" s="157" t="s">
        <v>1136</v>
      </c>
      <c r="G33" s="33" t="s">
        <v>1138</v>
      </c>
      <c r="H33" s="90" t="s">
        <v>916</v>
      </c>
      <c r="I33" s="33" t="s">
        <v>1139</v>
      </c>
      <c r="W33" s="149" t="s">
        <v>504</v>
      </c>
      <c r="X33" s="150" t="s">
        <v>1103</v>
      </c>
      <c r="Y33" s="150" t="s">
        <v>947</v>
      </c>
      <c r="Z33" s="150">
        <v>1.0</v>
      </c>
    </row>
    <row r="34">
      <c r="A34" s="152">
        <f>IFERROR(__xludf.DUMMYFUNCTION("query(Y:Z,""select Z Where Y ='""&amp;H34&amp;""'"",0)"),1.0)</f>
        <v>1</v>
      </c>
      <c r="B34" s="29" t="s">
        <v>1030</v>
      </c>
      <c r="C34" s="164" t="s">
        <v>1044</v>
      </c>
      <c r="D34" s="156" t="s">
        <v>78</v>
      </c>
      <c r="E34" s="33" t="s">
        <v>1025</v>
      </c>
      <c r="F34" s="157" t="s">
        <v>1143</v>
      </c>
      <c r="G34" s="33" t="s">
        <v>1144</v>
      </c>
      <c r="H34" s="90" t="s">
        <v>855</v>
      </c>
      <c r="I34" s="33" t="s">
        <v>1145</v>
      </c>
      <c r="W34" s="151" t="s">
        <v>125</v>
      </c>
      <c r="X34" s="150" t="s">
        <v>1103</v>
      </c>
      <c r="Y34" s="150" t="s">
        <v>785</v>
      </c>
      <c r="Z34" s="150">
        <v>2.0</v>
      </c>
    </row>
    <row r="35">
      <c r="A35" s="152">
        <f>IFERROR(__xludf.DUMMYFUNCTION("query(Y:Z,""select Z Where Y ='""&amp;H35&amp;""'"",0)"),1.0)</f>
        <v>1</v>
      </c>
      <c r="B35" s="29" t="s">
        <v>1030</v>
      </c>
      <c r="C35" s="164" t="s">
        <v>1044</v>
      </c>
      <c r="D35" s="156" t="s">
        <v>78</v>
      </c>
      <c r="E35" s="33" t="s">
        <v>1025</v>
      </c>
      <c r="F35" s="157" t="s">
        <v>1089</v>
      </c>
      <c r="G35" s="33" t="s">
        <v>1147</v>
      </c>
      <c r="H35" s="90" t="s">
        <v>794</v>
      </c>
      <c r="I35" s="33" t="s">
        <v>1148</v>
      </c>
      <c r="W35" s="151" t="s">
        <v>125</v>
      </c>
      <c r="X35" s="150" t="s">
        <v>1109</v>
      </c>
      <c r="Y35" s="150" t="s">
        <v>587</v>
      </c>
      <c r="Z35" s="150">
        <v>10.0</v>
      </c>
    </row>
    <row r="36">
      <c r="A36" s="152">
        <f>IFERROR(__xludf.DUMMYFUNCTION("query(Y:Z,""select Z Where Y ='""&amp;H36&amp;""'"",0)"),1.0)</f>
        <v>1</v>
      </c>
      <c r="B36" s="29" t="s">
        <v>1030</v>
      </c>
      <c r="C36" s="164" t="s">
        <v>1044</v>
      </c>
      <c r="D36" s="156" t="s">
        <v>78</v>
      </c>
      <c r="E36" s="33" t="s">
        <v>1025</v>
      </c>
      <c r="F36" s="157" t="s">
        <v>1089</v>
      </c>
      <c r="G36" s="33" t="s">
        <v>1147</v>
      </c>
      <c r="H36" s="90" t="s">
        <v>904</v>
      </c>
      <c r="I36" s="33" t="s">
        <v>1151</v>
      </c>
      <c r="W36" s="151" t="s">
        <v>125</v>
      </c>
      <c r="X36" s="150" t="s">
        <v>1109</v>
      </c>
      <c r="Y36" s="150" t="s">
        <v>938</v>
      </c>
      <c r="Z36" s="150">
        <v>3.0</v>
      </c>
    </row>
    <row r="37">
      <c r="A37" s="152">
        <f>IFERROR(__xludf.DUMMYFUNCTION("query(Y:Z,""select Z Where Y ='""&amp;H37&amp;""'"",0)"),1.0)</f>
        <v>1</v>
      </c>
      <c r="B37" s="29" t="s">
        <v>1030</v>
      </c>
      <c r="C37" s="164" t="s">
        <v>1044</v>
      </c>
      <c r="D37" s="156" t="s">
        <v>78</v>
      </c>
      <c r="E37" s="33" t="s">
        <v>1025</v>
      </c>
      <c r="F37" s="157" t="s">
        <v>1153</v>
      </c>
      <c r="G37" s="33" t="s">
        <v>1154</v>
      </c>
      <c r="H37" s="90" t="s">
        <v>690</v>
      </c>
      <c r="I37" s="33" t="s">
        <v>1155</v>
      </c>
      <c r="W37" s="149" t="s">
        <v>504</v>
      </c>
      <c r="X37" s="150" t="s">
        <v>1127</v>
      </c>
      <c r="Y37" s="150" t="s">
        <v>98</v>
      </c>
      <c r="Z37" s="150">
        <v>2.0</v>
      </c>
    </row>
    <row r="38">
      <c r="A38" s="152">
        <f>IFERROR(__xludf.DUMMYFUNCTION("query(Y:Z,""select Z Where Y ='""&amp;H38&amp;""'"",0)"),1.0)</f>
        <v>1</v>
      </c>
      <c r="B38" s="29" t="s">
        <v>1030</v>
      </c>
      <c r="C38" s="164" t="s">
        <v>1044</v>
      </c>
      <c r="D38" s="156" t="s">
        <v>78</v>
      </c>
      <c r="E38" s="33" t="s">
        <v>1025</v>
      </c>
      <c r="F38" s="157" t="s">
        <v>1153</v>
      </c>
      <c r="G38" s="33" t="s">
        <v>1154</v>
      </c>
      <c r="H38" s="90" t="s">
        <v>818</v>
      </c>
      <c r="I38" s="33" t="s">
        <v>1158</v>
      </c>
      <c r="W38" s="151" t="s">
        <v>125</v>
      </c>
      <c r="X38" s="150" t="s">
        <v>1159</v>
      </c>
      <c r="Y38" s="150" t="s">
        <v>1160</v>
      </c>
      <c r="Z38" s="150">
        <v>1.0</v>
      </c>
    </row>
    <row r="39">
      <c r="A39" s="152">
        <f>IFERROR(__xludf.DUMMYFUNCTION("query(Y:Z,""select Z Where Y ='""&amp;H39&amp;""'"",0)"),1.0)</f>
        <v>1</v>
      </c>
      <c r="B39" s="29" t="s">
        <v>1030</v>
      </c>
      <c r="C39" s="164" t="s">
        <v>1044</v>
      </c>
      <c r="D39" s="156" t="s">
        <v>78</v>
      </c>
      <c r="E39" s="33" t="s">
        <v>1025</v>
      </c>
      <c r="F39" s="157" t="s">
        <v>1153</v>
      </c>
      <c r="G39" s="33" t="s">
        <v>1154</v>
      </c>
      <c r="H39" s="90" t="s">
        <v>884</v>
      </c>
      <c r="I39" s="33" t="s">
        <v>1162</v>
      </c>
      <c r="W39" s="151" t="s">
        <v>1164</v>
      </c>
      <c r="X39" s="150" t="s">
        <v>169</v>
      </c>
      <c r="Y39" s="150" t="s">
        <v>631</v>
      </c>
      <c r="Z39" s="150">
        <v>1.0</v>
      </c>
    </row>
    <row r="40">
      <c r="A40" s="152">
        <f>IFERROR(__xludf.DUMMYFUNCTION("query(Y:Z,""select Z Where Y ='""&amp;H40&amp;""'"",0)"),1.0)</f>
        <v>1</v>
      </c>
      <c r="B40" s="29" t="s">
        <v>1030</v>
      </c>
      <c r="C40" s="164" t="s">
        <v>1044</v>
      </c>
      <c r="D40" s="156" t="s">
        <v>78</v>
      </c>
      <c r="E40" s="33" t="s">
        <v>1025</v>
      </c>
      <c r="F40" s="157" t="s">
        <v>1167</v>
      </c>
      <c r="G40" s="33" t="s">
        <v>1168</v>
      </c>
      <c r="H40" s="90" t="s">
        <v>944</v>
      </c>
      <c r="I40" s="33" t="s">
        <v>1169</v>
      </c>
      <c r="W40" s="151" t="s">
        <v>84</v>
      </c>
      <c r="X40" s="150" t="s">
        <v>1170</v>
      </c>
      <c r="Y40" s="150" t="s">
        <v>599</v>
      </c>
      <c r="Z40" s="150">
        <v>116.0</v>
      </c>
    </row>
    <row r="41">
      <c r="A41" s="152">
        <f>IFERROR(__xludf.DUMMYFUNCTION("query(Y:Z,""select Z Where Y ='""&amp;H41&amp;""'"",0)"),1.0)</f>
        <v>1</v>
      </c>
      <c r="B41" s="29" t="s">
        <v>1030</v>
      </c>
      <c r="C41" s="164" t="s">
        <v>1044</v>
      </c>
      <c r="D41" s="156" t="s">
        <v>78</v>
      </c>
      <c r="E41" s="33" t="s">
        <v>1025</v>
      </c>
      <c r="F41" s="157" t="s">
        <v>1167</v>
      </c>
      <c r="G41" s="33" t="s">
        <v>1168</v>
      </c>
      <c r="H41" s="90" t="s">
        <v>773</v>
      </c>
      <c r="I41" s="33" t="s">
        <v>1173</v>
      </c>
      <c r="W41" s="151" t="s">
        <v>147</v>
      </c>
      <c r="X41" s="150" t="s">
        <v>1174</v>
      </c>
      <c r="Y41" s="150" t="s">
        <v>860</v>
      </c>
      <c r="Z41" s="150">
        <v>88.0</v>
      </c>
    </row>
    <row r="42">
      <c r="A42" s="152">
        <f>IFERROR(__xludf.DUMMYFUNCTION("query(Y:Z,""select Z Where Y ='""&amp;H42&amp;""'"",0)"),1.0)</f>
        <v>1</v>
      </c>
      <c r="B42" s="29" t="s">
        <v>1030</v>
      </c>
      <c r="C42" s="164" t="s">
        <v>1044</v>
      </c>
      <c r="D42" s="156" t="s">
        <v>84</v>
      </c>
      <c r="E42" s="33" t="s">
        <v>1025</v>
      </c>
      <c r="F42" s="157" t="s">
        <v>1176</v>
      </c>
      <c r="G42" s="33" t="s">
        <v>1177</v>
      </c>
      <c r="H42" s="90" t="s">
        <v>1178</v>
      </c>
      <c r="I42" s="33" t="s">
        <v>1179</v>
      </c>
      <c r="W42" s="151" t="s">
        <v>147</v>
      </c>
      <c r="X42" s="150" t="s">
        <v>1174</v>
      </c>
      <c r="Y42" s="150" t="s">
        <v>878</v>
      </c>
      <c r="Z42" s="150">
        <v>13.0</v>
      </c>
    </row>
    <row r="43">
      <c r="A43" s="152">
        <f>IFERROR(__xludf.DUMMYFUNCTION("query(Y:Z,""select Z Where Y ='""&amp;H43&amp;""'"",0)"),1.0)</f>
        <v>1</v>
      </c>
      <c r="B43" s="29" t="s">
        <v>1030</v>
      </c>
      <c r="C43" s="164" t="s">
        <v>1044</v>
      </c>
      <c r="D43" s="156" t="s">
        <v>96</v>
      </c>
      <c r="E43" s="33" t="s">
        <v>1025</v>
      </c>
      <c r="F43" s="157" t="s">
        <v>1113</v>
      </c>
      <c r="G43" s="33" t="s">
        <v>1182</v>
      </c>
      <c r="H43" s="90" t="s">
        <v>795</v>
      </c>
      <c r="I43" s="33" t="s">
        <v>1183</v>
      </c>
      <c r="W43" s="151" t="s">
        <v>125</v>
      </c>
      <c r="X43" s="150" t="s">
        <v>1095</v>
      </c>
      <c r="Y43" s="150" t="s">
        <v>966</v>
      </c>
      <c r="Z43" s="150">
        <v>6.0</v>
      </c>
    </row>
    <row r="44">
      <c r="A44" s="152">
        <f>IFERROR(__xludf.DUMMYFUNCTION("query(Y:Z,""select Z Where Y ='""&amp;H44&amp;""'"",0)"),1.0)</f>
        <v>1</v>
      </c>
      <c r="B44" s="29" t="s">
        <v>1030</v>
      </c>
      <c r="C44" s="164" t="s">
        <v>1044</v>
      </c>
      <c r="D44" s="156" t="s">
        <v>102</v>
      </c>
      <c r="E44" s="33" t="s">
        <v>1025</v>
      </c>
      <c r="F44" s="157" t="s">
        <v>1186</v>
      </c>
      <c r="G44" s="33" t="s">
        <v>1187</v>
      </c>
      <c r="H44" s="90" t="s">
        <v>912</v>
      </c>
      <c r="I44" s="33" t="s">
        <v>1189</v>
      </c>
      <c r="W44" s="151" t="s">
        <v>46</v>
      </c>
      <c r="X44" s="150" t="s">
        <v>1039</v>
      </c>
      <c r="Y44" s="150" t="s">
        <v>722</v>
      </c>
      <c r="Z44" s="150">
        <v>4.0</v>
      </c>
    </row>
    <row r="45">
      <c r="A45" s="152">
        <f>IFERROR(__xludf.DUMMYFUNCTION("query(Y:Z,""select Z Where Y ='""&amp;H45&amp;""'"",0)"),2.0)</f>
        <v>2</v>
      </c>
      <c r="B45" s="29" t="s">
        <v>305</v>
      </c>
      <c r="C45" s="155" t="s">
        <v>303</v>
      </c>
      <c r="D45" s="156" t="s">
        <v>37</v>
      </c>
      <c r="E45" s="33" t="s">
        <v>1025</v>
      </c>
      <c r="F45" s="157" t="s">
        <v>1026</v>
      </c>
      <c r="G45" s="33" t="s">
        <v>1027</v>
      </c>
      <c r="H45" s="90" t="s">
        <v>851</v>
      </c>
      <c r="I45" s="33" t="s">
        <v>1191</v>
      </c>
      <c r="W45" s="151" t="s">
        <v>108</v>
      </c>
      <c r="X45" s="150" t="s">
        <v>1192</v>
      </c>
      <c r="Y45" s="150" t="s">
        <v>637</v>
      </c>
      <c r="Z45" s="150">
        <v>18.0</v>
      </c>
    </row>
    <row r="46">
      <c r="A46" s="152">
        <f>IFERROR(__xludf.DUMMYFUNCTION("query(Y:Z,""select Z Where Y ='""&amp;H46&amp;""'"",0)"),2.0)</f>
        <v>2</v>
      </c>
      <c r="B46" s="29" t="s">
        <v>1030</v>
      </c>
      <c r="C46" s="8" t="s">
        <v>1031</v>
      </c>
      <c r="D46" s="156" t="s">
        <v>43</v>
      </c>
      <c r="E46" s="33" t="s">
        <v>1025</v>
      </c>
      <c r="F46" s="157" t="s">
        <v>1194</v>
      </c>
      <c r="G46" s="33" t="s">
        <v>1195</v>
      </c>
      <c r="H46" s="90" t="s">
        <v>747</v>
      </c>
      <c r="I46" s="33" t="s">
        <v>1196</v>
      </c>
      <c r="W46" s="151" t="s">
        <v>108</v>
      </c>
      <c r="X46" s="150" t="s">
        <v>1197</v>
      </c>
      <c r="Y46" s="150" t="s">
        <v>115</v>
      </c>
      <c r="Z46" s="150">
        <v>1.0</v>
      </c>
    </row>
    <row r="47">
      <c r="A47" s="152">
        <f>IFERROR(__xludf.DUMMYFUNCTION("query(Y:Z,""select Z Where Y ='""&amp;H47&amp;""'"",0)"),2.0)</f>
        <v>2</v>
      </c>
      <c r="B47" s="29" t="s">
        <v>1030</v>
      </c>
      <c r="C47" s="8" t="s">
        <v>1031</v>
      </c>
      <c r="D47" s="156" t="s">
        <v>108</v>
      </c>
      <c r="E47" s="33" t="s">
        <v>1025</v>
      </c>
      <c r="F47" s="157" t="s">
        <v>1200</v>
      </c>
      <c r="G47" s="33" t="s">
        <v>1201</v>
      </c>
      <c r="H47" s="90" t="s">
        <v>720</v>
      </c>
      <c r="I47" s="33" t="s">
        <v>1202</v>
      </c>
      <c r="W47" s="151" t="s">
        <v>108</v>
      </c>
      <c r="X47" s="150" t="s">
        <v>1041</v>
      </c>
      <c r="Y47" s="150" t="s">
        <v>946</v>
      </c>
      <c r="Z47" s="150">
        <v>73.0</v>
      </c>
    </row>
    <row r="48">
      <c r="A48" s="152">
        <f>IFERROR(__xludf.DUMMYFUNCTION("query(Y:Z,""select Z Where Y ='""&amp;H48&amp;""'"",0)"),2.0)</f>
        <v>2</v>
      </c>
      <c r="B48" s="29" t="s">
        <v>1030</v>
      </c>
      <c r="C48" s="8" t="s">
        <v>1031</v>
      </c>
      <c r="D48" s="156" t="s">
        <v>108</v>
      </c>
      <c r="E48" s="33" t="s">
        <v>1025</v>
      </c>
      <c r="F48" s="157" t="s">
        <v>1204</v>
      </c>
      <c r="G48" s="33" t="s">
        <v>1205</v>
      </c>
      <c r="H48" s="90" t="s">
        <v>704</v>
      </c>
      <c r="I48" s="33" t="s">
        <v>1206</v>
      </c>
      <c r="W48" s="151" t="s">
        <v>108</v>
      </c>
      <c r="X48" s="150" t="s">
        <v>1208</v>
      </c>
      <c r="Y48" s="150" t="s">
        <v>688</v>
      </c>
      <c r="Z48" s="150">
        <v>103.0</v>
      </c>
    </row>
    <row r="49">
      <c r="A49" s="152">
        <f>IFERROR(__xludf.DUMMYFUNCTION("query(Y:Z,""select Z Where Y ='""&amp;H49&amp;""'"",0)"),2.0)</f>
        <v>2</v>
      </c>
      <c r="B49" s="29" t="s">
        <v>1030</v>
      </c>
      <c r="C49" s="8" t="s">
        <v>1031</v>
      </c>
      <c r="D49" s="156" t="s">
        <v>108</v>
      </c>
      <c r="E49" s="33" t="s">
        <v>1025</v>
      </c>
      <c r="F49" s="157" t="s">
        <v>1210</v>
      </c>
      <c r="G49" s="33" t="s">
        <v>1211</v>
      </c>
      <c r="H49" s="90" t="s">
        <v>1212</v>
      </c>
      <c r="I49" s="33" t="s">
        <v>1213</v>
      </c>
      <c r="W49" s="151" t="s">
        <v>108</v>
      </c>
      <c r="X49" s="150" t="s">
        <v>1208</v>
      </c>
      <c r="Y49" s="150" t="s">
        <v>802</v>
      </c>
      <c r="Z49" s="150">
        <v>16.0</v>
      </c>
    </row>
    <row r="50">
      <c r="A50" s="152">
        <f>IFERROR(__xludf.DUMMYFUNCTION("query(Y:Z,""select Z Where Y ='""&amp;H50&amp;""'"",0)"),2.0)</f>
        <v>2</v>
      </c>
      <c r="B50" s="29" t="s">
        <v>1030</v>
      </c>
      <c r="C50" s="164" t="s">
        <v>1044</v>
      </c>
      <c r="D50" s="156" t="s">
        <v>46</v>
      </c>
      <c r="E50" s="33" t="s">
        <v>1025</v>
      </c>
      <c r="F50" s="157" t="s">
        <v>1039</v>
      </c>
      <c r="G50" s="33" t="s">
        <v>1042</v>
      </c>
      <c r="H50" s="90" t="s">
        <v>925</v>
      </c>
      <c r="I50" s="33" t="s">
        <v>1053</v>
      </c>
      <c r="W50" s="149" t="s">
        <v>504</v>
      </c>
      <c r="X50" s="150" t="s">
        <v>1046</v>
      </c>
      <c r="Y50" s="150" t="s">
        <v>510</v>
      </c>
      <c r="Z50" s="150">
        <v>2.0</v>
      </c>
    </row>
    <row r="51">
      <c r="A51" s="152">
        <f>IFERROR(__xludf.DUMMYFUNCTION("query(Y:Z,""select Z Where Y ='""&amp;H51&amp;""'"",0)"),2.0)</f>
        <v>2</v>
      </c>
      <c r="B51" s="29" t="s">
        <v>1030</v>
      </c>
      <c r="C51" s="164" t="s">
        <v>1044</v>
      </c>
      <c r="D51" s="156" t="s">
        <v>53</v>
      </c>
      <c r="E51" s="33" t="s">
        <v>1025</v>
      </c>
      <c r="F51" s="157" t="s">
        <v>1070</v>
      </c>
      <c r="G51" s="33" t="s">
        <v>1071</v>
      </c>
      <c r="H51" s="90" t="s">
        <v>883</v>
      </c>
      <c r="I51" s="33" t="s">
        <v>1218</v>
      </c>
      <c r="W51" s="149" t="s">
        <v>504</v>
      </c>
      <c r="X51" s="150" t="s">
        <v>1081</v>
      </c>
      <c r="Y51" s="150" t="s">
        <v>895</v>
      </c>
      <c r="Z51" s="150">
        <v>13.0</v>
      </c>
    </row>
    <row r="52">
      <c r="A52" s="152">
        <f>IFERROR(__xludf.DUMMYFUNCTION("query(Y:Z,""select Z Where Y ='""&amp;H52&amp;""'"",0)"),2.0)</f>
        <v>2</v>
      </c>
      <c r="B52" s="29" t="s">
        <v>1030</v>
      </c>
      <c r="C52" s="164" t="s">
        <v>1044</v>
      </c>
      <c r="D52" s="156" t="s">
        <v>53</v>
      </c>
      <c r="E52" s="33" t="s">
        <v>1025</v>
      </c>
      <c r="F52" s="157" t="s">
        <v>1070</v>
      </c>
      <c r="G52" s="33" t="s">
        <v>1071</v>
      </c>
      <c r="H52" s="90" t="s">
        <v>998</v>
      </c>
      <c r="I52" s="33" t="s">
        <v>1219</v>
      </c>
      <c r="W52" s="149" t="s">
        <v>504</v>
      </c>
      <c r="X52" s="150" t="s">
        <v>1220</v>
      </c>
      <c r="Y52" s="150" t="s">
        <v>718</v>
      </c>
      <c r="Z52" s="150">
        <v>2.0</v>
      </c>
    </row>
    <row r="53">
      <c r="A53" s="152">
        <f>IFERROR(__xludf.DUMMYFUNCTION("query(Y:Z,""select Z Where Y ='""&amp;H53&amp;""'"",0)"),2.0)</f>
        <v>2</v>
      </c>
      <c r="B53" s="29" t="s">
        <v>1030</v>
      </c>
      <c r="C53" s="164" t="s">
        <v>1044</v>
      </c>
      <c r="D53" s="156" t="s">
        <v>53</v>
      </c>
      <c r="E53" s="33" t="s">
        <v>1025</v>
      </c>
      <c r="F53" s="157" t="s">
        <v>1083</v>
      </c>
      <c r="G53" s="33" t="s">
        <v>1084</v>
      </c>
      <c r="H53" s="90" t="s">
        <v>934</v>
      </c>
      <c r="I53" s="33" t="s">
        <v>1222</v>
      </c>
      <c r="W53" s="151" t="s">
        <v>96</v>
      </c>
      <c r="X53" s="150" t="s">
        <v>1220</v>
      </c>
      <c r="Y53" s="150" t="s">
        <v>739</v>
      </c>
      <c r="Z53" s="150">
        <v>6.0</v>
      </c>
    </row>
    <row r="54">
      <c r="A54" s="152">
        <f>IFERROR(__xludf.DUMMYFUNCTION("query(Y:Z,""select Z Where Y ='""&amp;H54&amp;""'"",0)"),2.0)</f>
        <v>2</v>
      </c>
      <c r="B54" s="29" t="s">
        <v>1030</v>
      </c>
      <c r="C54" s="164" t="s">
        <v>1044</v>
      </c>
      <c r="D54" s="156" t="s">
        <v>53</v>
      </c>
      <c r="E54" s="33" t="s">
        <v>1025</v>
      </c>
      <c r="F54" s="157" t="s">
        <v>1224</v>
      </c>
      <c r="G54" s="33" t="s">
        <v>1225</v>
      </c>
      <c r="H54" s="90" t="s">
        <v>927</v>
      </c>
      <c r="I54" s="33" t="s">
        <v>1226</v>
      </c>
      <c r="W54" s="151" t="s">
        <v>78</v>
      </c>
      <c r="X54" s="150" t="s">
        <v>1089</v>
      </c>
      <c r="Y54" s="150" t="s">
        <v>885</v>
      </c>
      <c r="Z54" s="150">
        <v>4.0</v>
      </c>
    </row>
    <row r="55">
      <c r="A55" s="152">
        <f>IFERROR(__xludf.DUMMYFUNCTION("query(Y:Z,""select Z Where Y ='""&amp;H55&amp;""'"",0)"),2.0)</f>
        <v>2</v>
      </c>
      <c r="B55" s="29" t="s">
        <v>1030</v>
      </c>
      <c r="C55" s="164" t="s">
        <v>1044</v>
      </c>
      <c r="D55" s="156" t="s">
        <v>53</v>
      </c>
      <c r="E55" s="33" t="s">
        <v>1025</v>
      </c>
      <c r="F55" s="157" t="s">
        <v>1224</v>
      </c>
      <c r="G55" s="33" t="s">
        <v>1225</v>
      </c>
      <c r="H55" s="90" t="s">
        <v>806</v>
      </c>
      <c r="I55" s="33" t="s">
        <v>1228</v>
      </c>
      <c r="W55" s="151" t="s">
        <v>78</v>
      </c>
      <c r="X55" s="150" t="s">
        <v>1089</v>
      </c>
      <c r="Y55" s="150" t="s">
        <v>753</v>
      </c>
      <c r="Z55" s="150">
        <v>7.0</v>
      </c>
    </row>
    <row r="56">
      <c r="A56" s="152">
        <f>IFERROR(__xludf.DUMMYFUNCTION("query(Y:Z,""select Z Where Y ='""&amp;H56&amp;""'"",0)"),2.0)</f>
        <v>2</v>
      </c>
      <c r="B56" s="29" t="s">
        <v>1030</v>
      </c>
      <c r="C56" s="164" t="s">
        <v>1044</v>
      </c>
      <c r="D56" s="156" t="s">
        <v>53</v>
      </c>
      <c r="E56" s="33" t="s">
        <v>1025</v>
      </c>
      <c r="F56" s="157" t="s">
        <v>1095</v>
      </c>
      <c r="G56" s="33" t="s">
        <v>1096</v>
      </c>
      <c r="H56" s="90" t="s">
        <v>836</v>
      </c>
      <c r="I56" s="33" t="s">
        <v>1231</v>
      </c>
      <c r="W56" s="151" t="s">
        <v>1067</v>
      </c>
      <c r="X56" s="150" t="s">
        <v>1067</v>
      </c>
      <c r="Y56" s="150" t="s">
        <v>508</v>
      </c>
      <c r="Z56" s="150">
        <v>2.0</v>
      </c>
    </row>
    <row r="57">
      <c r="A57" s="152">
        <f>IFERROR(__xludf.DUMMYFUNCTION("query(Y:Z,""select Z Where Y ='""&amp;H57&amp;""'"",0)"),2.0)</f>
        <v>2</v>
      </c>
      <c r="B57" s="29" t="s">
        <v>1030</v>
      </c>
      <c r="C57" s="164" t="s">
        <v>1044</v>
      </c>
      <c r="D57" s="156" t="s">
        <v>53</v>
      </c>
      <c r="E57" s="33" t="s">
        <v>1025</v>
      </c>
      <c r="F57" s="157" t="s">
        <v>1103</v>
      </c>
      <c r="G57" s="33" t="s">
        <v>1105</v>
      </c>
      <c r="H57" s="90" t="s">
        <v>922</v>
      </c>
      <c r="I57" s="33" t="s">
        <v>1232</v>
      </c>
      <c r="W57" s="151" t="s">
        <v>147</v>
      </c>
      <c r="X57" s="150" t="s">
        <v>1233</v>
      </c>
      <c r="Y57" s="150" t="s">
        <v>533</v>
      </c>
      <c r="Z57" s="150">
        <v>148.0</v>
      </c>
    </row>
    <row r="58">
      <c r="A58" s="152">
        <f>IFERROR(__xludf.DUMMYFUNCTION("query(Y:Z,""select Z Where Y ='""&amp;H58&amp;""'"",0)"),2.0)</f>
        <v>2</v>
      </c>
      <c r="B58" s="29" t="s">
        <v>1030</v>
      </c>
      <c r="C58" s="164" t="s">
        <v>1044</v>
      </c>
      <c r="D58" s="156" t="s">
        <v>53</v>
      </c>
      <c r="E58" s="33" t="s">
        <v>1025</v>
      </c>
      <c r="F58" s="157" t="s">
        <v>1103</v>
      </c>
      <c r="G58" s="33" t="s">
        <v>1105</v>
      </c>
      <c r="H58" s="90" t="s">
        <v>696</v>
      </c>
      <c r="I58" s="33" t="s">
        <v>1234</v>
      </c>
      <c r="W58" s="151" t="s">
        <v>147</v>
      </c>
      <c r="X58" s="150" t="s">
        <v>1233</v>
      </c>
      <c r="Y58" s="150" t="s">
        <v>1235</v>
      </c>
      <c r="Z58" s="150">
        <v>1.0</v>
      </c>
    </row>
    <row r="59">
      <c r="A59" s="152">
        <f>IFERROR(__xludf.DUMMYFUNCTION("query(Y:Z,""select Z Where Y ='""&amp;H59&amp;""'"",0)"),2.0)</f>
        <v>2</v>
      </c>
      <c r="B59" s="29" t="s">
        <v>1030</v>
      </c>
      <c r="C59" s="164" t="s">
        <v>1044</v>
      </c>
      <c r="D59" s="156" t="s">
        <v>53</v>
      </c>
      <c r="E59" s="33" t="s">
        <v>1025</v>
      </c>
      <c r="F59" s="157" t="s">
        <v>1103</v>
      </c>
      <c r="G59" s="33" t="s">
        <v>1105</v>
      </c>
      <c r="H59" s="90" t="s">
        <v>864</v>
      </c>
      <c r="I59" s="33" t="s">
        <v>1238</v>
      </c>
      <c r="W59" s="151" t="s">
        <v>147</v>
      </c>
      <c r="X59" s="150" t="s">
        <v>1239</v>
      </c>
      <c r="Y59" s="150" t="s">
        <v>1240</v>
      </c>
      <c r="Z59" s="150">
        <v>1.0</v>
      </c>
    </row>
    <row r="60">
      <c r="A60" s="152">
        <f>IFERROR(__xludf.DUMMYFUNCTION("query(Y:Z,""select Z Where Y ='""&amp;H60&amp;""'"",0)"),2.0)</f>
        <v>2</v>
      </c>
      <c r="B60" s="29" t="s">
        <v>1030</v>
      </c>
      <c r="C60" s="164" t="s">
        <v>1044</v>
      </c>
      <c r="D60" s="156" t="s">
        <v>53</v>
      </c>
      <c r="E60" s="33" t="s">
        <v>1025</v>
      </c>
      <c r="F60" s="157" t="s">
        <v>1103</v>
      </c>
      <c r="G60" s="33" t="s">
        <v>1105</v>
      </c>
      <c r="H60" s="90" t="s">
        <v>785</v>
      </c>
      <c r="I60" s="33" t="s">
        <v>1241</v>
      </c>
      <c r="W60" s="151" t="s">
        <v>125</v>
      </c>
      <c r="X60" s="150" t="s">
        <v>1070</v>
      </c>
      <c r="Y60" s="150" t="s">
        <v>918</v>
      </c>
      <c r="Z60" s="150">
        <v>3.0</v>
      </c>
    </row>
    <row r="61">
      <c r="A61" s="152">
        <f>IFERROR(__xludf.DUMMYFUNCTION("query(Y:Z,""select Z Where Y ='""&amp;H61&amp;""'"",0)"),2.0)</f>
        <v>2</v>
      </c>
      <c r="B61" s="29" t="s">
        <v>1030</v>
      </c>
      <c r="C61" s="164" t="s">
        <v>1044</v>
      </c>
      <c r="D61" s="156" t="s">
        <v>114</v>
      </c>
      <c r="E61" s="33" t="s">
        <v>1025</v>
      </c>
      <c r="F61" s="157" t="s">
        <v>1220</v>
      </c>
      <c r="G61" s="33" t="s">
        <v>1243</v>
      </c>
      <c r="H61" s="90" t="s">
        <v>881</v>
      </c>
      <c r="I61" s="33" t="s">
        <v>1244</v>
      </c>
      <c r="W61" s="151" t="s">
        <v>78</v>
      </c>
      <c r="X61" s="150" t="s">
        <v>1245</v>
      </c>
      <c r="Y61" s="150" t="s">
        <v>639</v>
      </c>
      <c r="Z61" s="150">
        <v>11.0</v>
      </c>
    </row>
    <row r="62">
      <c r="A62" s="152">
        <f>IFERROR(__xludf.DUMMYFUNCTION("query(Y:Z,""select Z Where Y ='""&amp;H62&amp;""'"",0)"),2.0)</f>
        <v>2</v>
      </c>
      <c r="B62" s="29" t="s">
        <v>1030</v>
      </c>
      <c r="C62" s="164" t="s">
        <v>1044</v>
      </c>
      <c r="D62" s="156" t="s">
        <v>57</v>
      </c>
      <c r="E62" s="33" t="s">
        <v>1025</v>
      </c>
      <c r="F62" s="157" t="s">
        <v>1246</v>
      </c>
      <c r="G62" s="33" t="s">
        <v>1248</v>
      </c>
      <c r="H62" s="90" t="s">
        <v>954</v>
      </c>
      <c r="I62" s="33" t="s">
        <v>1249</v>
      </c>
      <c r="W62" s="151" t="s">
        <v>182</v>
      </c>
      <c r="X62" s="150" t="s">
        <v>1214</v>
      </c>
      <c r="Y62" s="150" t="s">
        <v>1250</v>
      </c>
      <c r="Z62" s="150">
        <v>1.0</v>
      </c>
    </row>
    <row r="63">
      <c r="A63" s="152">
        <f>IFERROR(__xludf.DUMMYFUNCTION("query(Y:Z,""select Z Where Y ='""&amp;H63&amp;""'"",0)"),2.0)</f>
        <v>2</v>
      </c>
      <c r="B63" s="29" t="s">
        <v>1030</v>
      </c>
      <c r="C63" s="164" t="s">
        <v>1044</v>
      </c>
      <c r="D63" s="156" t="s">
        <v>57</v>
      </c>
      <c r="E63" s="33" t="s">
        <v>1025</v>
      </c>
      <c r="F63" s="157" t="s">
        <v>1254</v>
      </c>
      <c r="G63" s="33" t="s">
        <v>1255</v>
      </c>
      <c r="H63" s="90" t="s">
        <v>784</v>
      </c>
      <c r="I63" s="33" t="s">
        <v>1256</v>
      </c>
      <c r="W63" s="151" t="s">
        <v>125</v>
      </c>
      <c r="X63" s="150" t="s">
        <v>1118</v>
      </c>
      <c r="Y63" s="150" t="s">
        <v>691</v>
      </c>
      <c r="Z63" s="150">
        <v>4.0</v>
      </c>
    </row>
    <row r="64">
      <c r="A64" s="152">
        <f>IFERROR(__xludf.DUMMYFUNCTION("query(Y:Z,""select Z Where Y ='""&amp;H64&amp;""'"",0)"),2.0)</f>
        <v>2</v>
      </c>
      <c r="B64" s="29" t="s">
        <v>1030</v>
      </c>
      <c r="C64" s="164" t="s">
        <v>1044</v>
      </c>
      <c r="D64" s="156" t="s">
        <v>60</v>
      </c>
      <c r="E64" s="33" t="s">
        <v>1025</v>
      </c>
      <c r="F64" s="157" t="s">
        <v>1259</v>
      </c>
      <c r="G64" s="33" t="s">
        <v>1260</v>
      </c>
      <c r="H64" s="90" t="s">
        <v>822</v>
      </c>
      <c r="I64" s="33" t="s">
        <v>1261</v>
      </c>
      <c r="W64" s="151" t="s">
        <v>96</v>
      </c>
      <c r="X64" s="150" t="s">
        <v>1134</v>
      </c>
      <c r="Y64" s="150" t="s">
        <v>880</v>
      </c>
      <c r="Z64" s="150">
        <v>152.0</v>
      </c>
    </row>
    <row r="65">
      <c r="A65" s="152">
        <f>IFERROR(__xludf.DUMMYFUNCTION("query(Y:Z,""select Z Where Y ='""&amp;H65&amp;""'"",0)"),2.0)</f>
        <v>2</v>
      </c>
      <c r="B65" s="29" t="s">
        <v>1030</v>
      </c>
      <c r="C65" s="164" t="s">
        <v>1044</v>
      </c>
      <c r="D65" s="156" t="s">
        <v>78</v>
      </c>
      <c r="E65" s="33" t="s">
        <v>1025</v>
      </c>
      <c r="F65" s="157" t="s">
        <v>1136</v>
      </c>
      <c r="G65" s="33" t="s">
        <v>1138</v>
      </c>
      <c r="H65" s="90" t="s">
        <v>815</v>
      </c>
      <c r="I65" s="33" t="s">
        <v>1263</v>
      </c>
      <c r="W65" s="151" t="s">
        <v>125</v>
      </c>
      <c r="X65" s="150" t="s">
        <v>1103</v>
      </c>
      <c r="Y65" s="150" t="s">
        <v>1012</v>
      </c>
      <c r="Z65" s="150">
        <v>6.0</v>
      </c>
    </row>
    <row r="66">
      <c r="A66" s="152">
        <f>IFERROR(__xludf.DUMMYFUNCTION("query(Y:Z,""select Z Where Y ='""&amp;H66&amp;""'"",0)"),2.0)</f>
        <v>2</v>
      </c>
      <c r="B66" s="29" t="s">
        <v>1030</v>
      </c>
      <c r="C66" s="164" t="s">
        <v>1044</v>
      </c>
      <c r="D66" s="156" t="s">
        <v>78</v>
      </c>
      <c r="E66" s="33" t="s">
        <v>1025</v>
      </c>
      <c r="F66" s="157" t="s">
        <v>1143</v>
      </c>
      <c r="G66" s="33" t="s">
        <v>1144</v>
      </c>
      <c r="H66" s="90" t="s">
        <v>862</v>
      </c>
      <c r="I66" s="33" t="s">
        <v>1265</v>
      </c>
      <c r="W66" s="151" t="s">
        <v>53</v>
      </c>
      <c r="X66" s="150" t="s">
        <v>1266</v>
      </c>
      <c r="Y66" s="150" t="s">
        <v>551</v>
      </c>
      <c r="Z66" s="150">
        <v>4.0</v>
      </c>
    </row>
    <row r="67">
      <c r="A67" s="152">
        <f>IFERROR(__xludf.DUMMYFUNCTION("query(Y:Z,""select Z Where Y ='""&amp;H67&amp;""'"",0)"),2.0)</f>
        <v>2</v>
      </c>
      <c r="B67" s="29" t="s">
        <v>1030</v>
      </c>
      <c r="C67" s="164" t="s">
        <v>1044</v>
      </c>
      <c r="D67" s="156" t="s">
        <v>78</v>
      </c>
      <c r="E67" s="33" t="s">
        <v>1025</v>
      </c>
      <c r="F67" s="157" t="s">
        <v>1089</v>
      </c>
      <c r="G67" s="33" t="s">
        <v>1147</v>
      </c>
      <c r="H67" s="90" t="s">
        <v>893</v>
      </c>
      <c r="I67" s="33" t="s">
        <v>1269</v>
      </c>
      <c r="W67" s="151" t="s">
        <v>125</v>
      </c>
      <c r="X67" s="150" t="s">
        <v>1109</v>
      </c>
      <c r="Y67" s="150" t="s">
        <v>829</v>
      </c>
      <c r="Z67" s="150">
        <v>1.0</v>
      </c>
    </row>
    <row r="68">
      <c r="A68" s="152">
        <f>IFERROR(__xludf.DUMMYFUNCTION("query(Y:Z,""select Z Where Y ='""&amp;H68&amp;""'"",0)"),2.0)</f>
        <v>2</v>
      </c>
      <c r="B68" s="29" t="s">
        <v>1030</v>
      </c>
      <c r="C68" s="164" t="s">
        <v>1044</v>
      </c>
      <c r="D68" s="156" t="s">
        <v>78</v>
      </c>
      <c r="E68" s="33" t="s">
        <v>1025</v>
      </c>
      <c r="F68" s="157" t="s">
        <v>1089</v>
      </c>
      <c r="G68" s="33" t="s">
        <v>1147</v>
      </c>
      <c r="H68" s="90" t="s">
        <v>621</v>
      </c>
      <c r="I68" s="33" t="s">
        <v>1270</v>
      </c>
      <c r="W68" s="151" t="s">
        <v>125</v>
      </c>
      <c r="X68" s="150" t="s">
        <v>1271</v>
      </c>
      <c r="Y68" s="150" t="s">
        <v>1272</v>
      </c>
      <c r="Z68" s="150">
        <v>1.0</v>
      </c>
    </row>
    <row r="69">
      <c r="A69" s="152">
        <f>IFERROR(__xludf.DUMMYFUNCTION("query(Y:Z,""select Z Where Y ='""&amp;H69&amp;""'"",0)"),2.0)</f>
        <v>2</v>
      </c>
      <c r="B69" s="29" t="s">
        <v>1030</v>
      </c>
      <c r="C69" s="164" t="s">
        <v>1044</v>
      </c>
      <c r="D69" s="156" t="s">
        <v>78</v>
      </c>
      <c r="E69" s="33" t="s">
        <v>1025</v>
      </c>
      <c r="F69" s="157" t="s">
        <v>1153</v>
      </c>
      <c r="G69" s="33" t="s">
        <v>1154</v>
      </c>
      <c r="H69" s="90" t="s">
        <v>654</v>
      </c>
      <c r="I69" s="33" t="s">
        <v>1273</v>
      </c>
      <c r="W69" s="151" t="s">
        <v>125</v>
      </c>
      <c r="X69" s="150" t="s">
        <v>1127</v>
      </c>
      <c r="Y69" s="150" t="s">
        <v>988</v>
      </c>
      <c r="Z69" s="150">
        <v>37.0</v>
      </c>
    </row>
    <row r="70">
      <c r="A70" s="152">
        <f>IFERROR(__xludf.DUMMYFUNCTION("query(Y:Z,""select Z Where Y ='""&amp;H70&amp;""'"",0)"),2.0)</f>
        <v>2</v>
      </c>
      <c r="B70" s="29" t="s">
        <v>1030</v>
      </c>
      <c r="C70" s="164" t="s">
        <v>1044</v>
      </c>
      <c r="D70" s="156" t="s">
        <v>102</v>
      </c>
      <c r="E70" s="33" t="s">
        <v>1025</v>
      </c>
      <c r="F70" s="157" t="s">
        <v>1186</v>
      </c>
      <c r="G70" s="33" t="s">
        <v>1187</v>
      </c>
      <c r="H70" s="90" t="s">
        <v>914</v>
      </c>
      <c r="I70" s="33" t="s">
        <v>1276</v>
      </c>
      <c r="W70" s="149" t="s">
        <v>504</v>
      </c>
      <c r="X70" s="150" t="s">
        <v>1039</v>
      </c>
      <c r="Y70" s="150" t="s">
        <v>532</v>
      </c>
      <c r="Z70" s="150">
        <v>1.0</v>
      </c>
    </row>
    <row r="71">
      <c r="A71" s="152">
        <f>IFERROR(__xludf.DUMMYFUNCTION("query(Y:Z,""select Z Where Y ='""&amp;H71&amp;""'"",0)"),2.0)</f>
        <v>2</v>
      </c>
      <c r="B71" s="29" t="s">
        <v>1030</v>
      </c>
      <c r="C71" s="164" t="s">
        <v>1044</v>
      </c>
      <c r="D71" s="156" t="s">
        <v>102</v>
      </c>
      <c r="E71" s="33" t="s">
        <v>1025</v>
      </c>
      <c r="F71" s="157" t="s">
        <v>1278</v>
      </c>
      <c r="G71" s="33" t="s">
        <v>1279</v>
      </c>
      <c r="H71" s="90" t="s">
        <v>808</v>
      </c>
      <c r="I71" s="33" t="s">
        <v>1280</v>
      </c>
      <c r="W71" s="151" t="s">
        <v>46</v>
      </c>
      <c r="X71" s="150" t="s">
        <v>1039</v>
      </c>
      <c r="Y71" s="150" t="s">
        <v>999</v>
      </c>
      <c r="Z71" s="150">
        <v>1.0</v>
      </c>
    </row>
    <row r="72">
      <c r="A72" s="152">
        <f>IFERROR(__xludf.DUMMYFUNCTION("query(Y:Z,""select Z Where Y ='""&amp;H72&amp;""'"",0)"),2.0)</f>
        <v>2</v>
      </c>
      <c r="B72" s="29" t="s">
        <v>1030</v>
      </c>
      <c r="C72" s="164" t="s">
        <v>1044</v>
      </c>
      <c r="D72" s="156" t="s">
        <v>102</v>
      </c>
      <c r="E72" s="33" t="s">
        <v>1025</v>
      </c>
      <c r="F72" s="157" t="s">
        <v>1278</v>
      </c>
      <c r="G72" s="33" t="s">
        <v>1279</v>
      </c>
      <c r="H72" s="90" t="s">
        <v>701</v>
      </c>
      <c r="I72" s="33" t="s">
        <v>1282</v>
      </c>
      <c r="W72" s="151" t="s">
        <v>46</v>
      </c>
      <c r="X72" s="150" t="s">
        <v>1039</v>
      </c>
      <c r="Y72" s="150" t="s">
        <v>925</v>
      </c>
      <c r="Z72" s="150">
        <v>2.0</v>
      </c>
    </row>
    <row r="73">
      <c r="A73" s="152">
        <f>IFERROR(__xludf.DUMMYFUNCTION("query(Y:Z,""select Z Where Y ='""&amp;H73&amp;""'"",0)"),3.0)</f>
        <v>3</v>
      </c>
      <c r="B73" s="29" t="s">
        <v>1030</v>
      </c>
      <c r="C73" s="8" t="s">
        <v>1031</v>
      </c>
      <c r="D73" s="156" t="s">
        <v>43</v>
      </c>
      <c r="E73" s="33" t="s">
        <v>1025</v>
      </c>
      <c r="F73" s="157" t="s">
        <v>1194</v>
      </c>
      <c r="G73" s="33" t="s">
        <v>1195</v>
      </c>
      <c r="H73" s="90" t="s">
        <v>963</v>
      </c>
      <c r="I73" s="33" t="s">
        <v>1284</v>
      </c>
      <c r="W73" s="151" t="s">
        <v>108</v>
      </c>
      <c r="X73" s="150" t="s">
        <v>1286</v>
      </c>
      <c r="Y73" s="150" t="s">
        <v>1287</v>
      </c>
      <c r="Z73" s="150">
        <v>1.0</v>
      </c>
    </row>
    <row r="74">
      <c r="A74" s="152">
        <f>IFERROR(__xludf.DUMMYFUNCTION("query(Y:Z,""select Z Where Y ='""&amp;H74&amp;""'"",0)"),3.0)</f>
        <v>3</v>
      </c>
      <c r="B74" s="29" t="s">
        <v>1030</v>
      </c>
      <c r="C74" s="8" t="s">
        <v>1031</v>
      </c>
      <c r="D74" s="156" t="s">
        <v>43</v>
      </c>
      <c r="E74" s="33" t="s">
        <v>1025</v>
      </c>
      <c r="F74" s="157" t="s">
        <v>1194</v>
      </c>
      <c r="G74" s="33" t="s">
        <v>1195</v>
      </c>
      <c r="H74" s="90" t="s">
        <v>928</v>
      </c>
      <c r="I74" s="33" t="s">
        <v>1290</v>
      </c>
      <c r="W74" s="151" t="s">
        <v>57</v>
      </c>
      <c r="X74" s="150" t="s">
        <v>989</v>
      </c>
      <c r="Y74" s="150" t="s">
        <v>1291</v>
      </c>
      <c r="Z74" s="150">
        <v>1.0</v>
      </c>
    </row>
    <row r="75">
      <c r="A75" s="152">
        <f>IFERROR(__xludf.DUMMYFUNCTION("query(Y:Z,""select Z Where Y ='""&amp;H75&amp;""'"",0)"),3.0)</f>
        <v>3</v>
      </c>
      <c r="B75" s="29" t="s">
        <v>1030</v>
      </c>
      <c r="C75" s="8" t="s">
        <v>1031</v>
      </c>
      <c r="D75" s="156" t="s">
        <v>43</v>
      </c>
      <c r="E75" s="33" t="s">
        <v>1025</v>
      </c>
      <c r="F75" s="157" t="s">
        <v>1194</v>
      </c>
      <c r="G75" s="33" t="s">
        <v>1195</v>
      </c>
      <c r="H75" s="90" t="s">
        <v>978</v>
      </c>
      <c r="I75" s="33" t="s">
        <v>1292</v>
      </c>
      <c r="W75" s="149" t="s">
        <v>504</v>
      </c>
      <c r="X75" s="150" t="s">
        <v>1026</v>
      </c>
      <c r="Y75" s="150" t="s">
        <v>523</v>
      </c>
      <c r="Z75" s="150">
        <v>40.0</v>
      </c>
    </row>
    <row r="76">
      <c r="A76" s="152">
        <f>IFERROR(__xludf.DUMMYFUNCTION("query(Y:Z,""select Z Where Y ='""&amp;H76&amp;""'"",0)"),3.0)</f>
        <v>3</v>
      </c>
      <c r="B76" s="29" t="s">
        <v>1030</v>
      </c>
      <c r="C76" s="8" t="s">
        <v>1031</v>
      </c>
      <c r="D76" s="156" t="s">
        <v>108</v>
      </c>
      <c r="E76" s="33" t="s">
        <v>1025</v>
      </c>
      <c r="F76" s="157" t="s">
        <v>1208</v>
      </c>
      <c r="G76" s="33" t="s">
        <v>1295</v>
      </c>
      <c r="H76" s="90" t="s">
        <v>845</v>
      </c>
      <c r="I76" s="33" t="s">
        <v>1296</v>
      </c>
      <c r="W76" s="151" t="s">
        <v>50</v>
      </c>
      <c r="X76" s="150" t="s">
        <v>1055</v>
      </c>
      <c r="Y76" s="150" t="s">
        <v>902</v>
      </c>
      <c r="Z76" s="150">
        <v>7.0</v>
      </c>
    </row>
    <row r="77">
      <c r="A77" s="152">
        <f>IFERROR(__xludf.DUMMYFUNCTION("query(Y:Z,""select Z Where Y ='""&amp;H77&amp;""'"",0)"),3.0)</f>
        <v>3</v>
      </c>
      <c r="B77" s="29" t="s">
        <v>1030</v>
      </c>
      <c r="C77" s="164" t="s">
        <v>1044</v>
      </c>
      <c r="D77" s="156" t="s">
        <v>53</v>
      </c>
      <c r="E77" s="33" t="s">
        <v>1025</v>
      </c>
      <c r="F77" s="157" t="s">
        <v>1070</v>
      </c>
      <c r="G77" s="33" t="s">
        <v>1071</v>
      </c>
      <c r="H77" s="90" t="s">
        <v>918</v>
      </c>
      <c r="I77" s="33" t="s">
        <v>1227</v>
      </c>
      <c r="W77" s="151" t="s">
        <v>78</v>
      </c>
      <c r="X77" s="150" t="s">
        <v>1074</v>
      </c>
      <c r="Y77" s="150" t="s">
        <v>796</v>
      </c>
      <c r="Z77" s="150">
        <v>11.0</v>
      </c>
    </row>
    <row r="78">
      <c r="A78" s="152">
        <f>IFERROR(__xludf.DUMMYFUNCTION("query(Y:Z,""select Z Where Y ='""&amp;H78&amp;""'"",0)"),3.0)</f>
        <v>3</v>
      </c>
      <c r="B78" s="29" t="s">
        <v>1030</v>
      </c>
      <c r="C78" s="164" t="s">
        <v>1044</v>
      </c>
      <c r="D78" s="156" t="s">
        <v>53</v>
      </c>
      <c r="E78" s="33" t="s">
        <v>1025</v>
      </c>
      <c r="F78" s="157" t="s">
        <v>1224</v>
      </c>
      <c r="G78" s="33" t="s">
        <v>1225</v>
      </c>
      <c r="H78" s="90" t="s">
        <v>933</v>
      </c>
      <c r="I78" s="33" t="s">
        <v>1281</v>
      </c>
      <c r="W78" s="151" t="s">
        <v>78</v>
      </c>
      <c r="X78" s="150" t="s">
        <v>1089</v>
      </c>
      <c r="Y78" s="150" t="s">
        <v>621</v>
      </c>
      <c r="Z78" s="150">
        <v>2.0</v>
      </c>
    </row>
    <row r="79">
      <c r="A79" s="152">
        <f>IFERROR(__xludf.DUMMYFUNCTION("query(Y:Z,""select Z Where Y ='""&amp;H79&amp;""'"",0)"),3.0)</f>
        <v>3</v>
      </c>
      <c r="B79" s="29" t="s">
        <v>1030</v>
      </c>
      <c r="C79" s="164" t="s">
        <v>1044</v>
      </c>
      <c r="D79" s="156" t="s">
        <v>53</v>
      </c>
      <c r="E79" s="33" t="s">
        <v>1025</v>
      </c>
      <c r="F79" s="157" t="s">
        <v>1224</v>
      </c>
      <c r="G79" s="33" t="s">
        <v>1225</v>
      </c>
      <c r="H79" s="90" t="s">
        <v>736</v>
      </c>
      <c r="I79" s="33" t="s">
        <v>1294</v>
      </c>
      <c r="W79" s="151" t="s">
        <v>78</v>
      </c>
      <c r="X79" s="150" t="s">
        <v>1089</v>
      </c>
      <c r="Y79" s="150" t="s">
        <v>837</v>
      </c>
      <c r="Z79" s="150">
        <v>6.0</v>
      </c>
    </row>
    <row r="80">
      <c r="A80" s="152">
        <f>IFERROR(__xludf.DUMMYFUNCTION("query(Y:Z,""select Z Where Y ='""&amp;H80&amp;""'"",0)"),3.0)</f>
        <v>3</v>
      </c>
      <c r="B80" s="29" t="s">
        <v>1030</v>
      </c>
      <c r="C80" s="164" t="s">
        <v>1044</v>
      </c>
      <c r="D80" s="156" t="s">
        <v>53</v>
      </c>
      <c r="E80" s="33" t="s">
        <v>1025</v>
      </c>
      <c r="F80" s="157" t="s">
        <v>1095</v>
      </c>
      <c r="G80" s="33" t="s">
        <v>1096</v>
      </c>
      <c r="H80" s="90" t="s">
        <v>775</v>
      </c>
      <c r="I80" s="33" t="s">
        <v>1301</v>
      </c>
      <c r="W80" s="151" t="s">
        <v>50</v>
      </c>
      <c r="X80" s="150" t="s">
        <v>1067</v>
      </c>
      <c r="Y80" s="150" t="s">
        <v>508</v>
      </c>
      <c r="Z80" s="150">
        <v>1.0</v>
      </c>
    </row>
    <row r="81">
      <c r="A81" s="152">
        <f>IFERROR(__xludf.DUMMYFUNCTION("query(Y:Z,""select Z Where Y ='""&amp;H81&amp;""'"",0)"),3.0)</f>
        <v>3</v>
      </c>
      <c r="B81" s="29" t="s">
        <v>1030</v>
      </c>
      <c r="C81" s="164" t="s">
        <v>1044</v>
      </c>
      <c r="D81" s="156" t="s">
        <v>53</v>
      </c>
      <c r="E81" s="33" t="s">
        <v>1025</v>
      </c>
      <c r="F81" s="157" t="s">
        <v>1095</v>
      </c>
      <c r="G81" s="33" t="s">
        <v>1096</v>
      </c>
      <c r="H81" s="90" t="s">
        <v>1006</v>
      </c>
      <c r="I81" s="33" t="s">
        <v>1303</v>
      </c>
      <c r="W81" s="151" t="s">
        <v>50</v>
      </c>
      <c r="X81" s="150" t="s">
        <v>1061</v>
      </c>
      <c r="Y81" s="150" t="s">
        <v>597</v>
      </c>
      <c r="Z81" s="150">
        <v>28.0</v>
      </c>
    </row>
    <row r="82">
      <c r="A82" s="152">
        <f>IFERROR(__xludf.DUMMYFUNCTION("query(Y:Z,""select Z Where Y ='""&amp;H82&amp;""'"",0)"),3.0)</f>
        <v>3</v>
      </c>
      <c r="B82" s="29" t="s">
        <v>1030</v>
      </c>
      <c r="C82" s="164" t="s">
        <v>1044</v>
      </c>
      <c r="D82" s="156" t="s">
        <v>53</v>
      </c>
      <c r="E82" s="33" t="s">
        <v>1025</v>
      </c>
      <c r="F82" s="157" t="s">
        <v>1095</v>
      </c>
      <c r="G82" s="33" t="s">
        <v>1096</v>
      </c>
      <c r="H82" s="90" t="s">
        <v>825</v>
      </c>
      <c r="I82" s="33" t="s">
        <v>1305</v>
      </c>
      <c r="W82" s="151" t="s">
        <v>50</v>
      </c>
      <c r="X82" s="150" t="s">
        <v>1061</v>
      </c>
      <c r="Y82" s="150" t="s">
        <v>965</v>
      </c>
      <c r="Z82" s="150">
        <v>9.0</v>
      </c>
    </row>
    <row r="83">
      <c r="A83" s="152">
        <f>IFERROR(__xludf.DUMMYFUNCTION("query(Y:Z,""select Z Where Y ='""&amp;H83&amp;""'"",0)"),3.0)</f>
        <v>3</v>
      </c>
      <c r="B83" s="29" t="s">
        <v>1030</v>
      </c>
      <c r="C83" s="164" t="s">
        <v>1044</v>
      </c>
      <c r="D83" s="156" t="s">
        <v>53</v>
      </c>
      <c r="E83" s="33" t="s">
        <v>1025</v>
      </c>
      <c r="F83" s="157" t="s">
        <v>1103</v>
      </c>
      <c r="G83" s="33" t="s">
        <v>1105</v>
      </c>
      <c r="H83" s="90" t="s">
        <v>923</v>
      </c>
      <c r="I83" s="33" t="s">
        <v>1308</v>
      </c>
      <c r="W83" s="151" t="s">
        <v>50</v>
      </c>
      <c r="X83" s="150" t="s">
        <v>1061</v>
      </c>
      <c r="Y83" s="150" t="s">
        <v>942</v>
      </c>
      <c r="Z83" s="150">
        <v>5.0</v>
      </c>
    </row>
    <row r="84">
      <c r="A84" s="152">
        <f>IFERROR(__xludf.DUMMYFUNCTION("query(Y:Z,""select Z Where Y ='""&amp;H84&amp;""'"",0)"),3.0)</f>
        <v>3</v>
      </c>
      <c r="B84" s="29" t="s">
        <v>1030</v>
      </c>
      <c r="C84" s="164" t="s">
        <v>1044</v>
      </c>
      <c r="D84" s="156" t="s">
        <v>114</v>
      </c>
      <c r="E84" s="33" t="s">
        <v>1025</v>
      </c>
      <c r="F84" s="157" t="s">
        <v>1220</v>
      </c>
      <c r="G84" s="33" t="s">
        <v>1243</v>
      </c>
      <c r="H84" s="90" t="s">
        <v>726</v>
      </c>
      <c r="I84" s="33" t="s">
        <v>1310</v>
      </c>
      <c r="W84" s="151" t="s">
        <v>78</v>
      </c>
      <c r="X84" s="150" t="s">
        <v>1245</v>
      </c>
      <c r="Y84" s="150" t="s">
        <v>982</v>
      </c>
      <c r="Z84" s="150">
        <v>3.0</v>
      </c>
    </row>
    <row r="85">
      <c r="A85" s="152">
        <f>IFERROR(__xludf.DUMMYFUNCTION("query(Y:Z,""select Z Where Y ='""&amp;H85&amp;""'"",0)"),3.0)</f>
        <v>3</v>
      </c>
      <c r="B85" s="29" t="s">
        <v>1030</v>
      </c>
      <c r="C85" s="164" t="s">
        <v>1044</v>
      </c>
      <c r="D85" s="156" t="s">
        <v>57</v>
      </c>
      <c r="E85" s="33" t="s">
        <v>1025</v>
      </c>
      <c r="F85" s="157" t="s">
        <v>1122</v>
      </c>
      <c r="G85" s="33" t="s">
        <v>1123</v>
      </c>
      <c r="H85" s="90" t="s">
        <v>789</v>
      </c>
      <c r="I85" s="33" t="s">
        <v>1313</v>
      </c>
      <c r="W85" s="151" t="s">
        <v>182</v>
      </c>
      <c r="X85" s="150" t="s">
        <v>1214</v>
      </c>
      <c r="Y85" s="150" t="s">
        <v>877</v>
      </c>
      <c r="Z85" s="150">
        <v>61.0</v>
      </c>
    </row>
    <row r="86">
      <c r="A86" s="152">
        <f>IFERROR(__xludf.DUMMYFUNCTION("query(Y:Z,""select Z Where Y ='""&amp;H86&amp;""'"",0)"),3.0)</f>
        <v>3</v>
      </c>
      <c r="B86" s="29" t="s">
        <v>1030</v>
      </c>
      <c r="C86" s="164" t="s">
        <v>1044</v>
      </c>
      <c r="D86" s="156" t="s">
        <v>78</v>
      </c>
      <c r="E86" s="33" t="s">
        <v>1025</v>
      </c>
      <c r="F86" s="157" t="s">
        <v>1074</v>
      </c>
      <c r="G86" s="33" t="s">
        <v>1315</v>
      </c>
      <c r="H86" s="90" t="s">
        <v>932</v>
      </c>
      <c r="I86" s="33" t="s">
        <v>1316</v>
      </c>
      <c r="W86" s="151" t="s">
        <v>96</v>
      </c>
      <c r="X86" s="150" t="s">
        <v>1134</v>
      </c>
      <c r="Y86" s="150" t="s">
        <v>521</v>
      </c>
      <c r="Z86" s="150">
        <v>290.0</v>
      </c>
    </row>
    <row r="87">
      <c r="A87" s="152">
        <f>IFERROR(__xludf.DUMMYFUNCTION("query(Y:Z,""select Z Where Y ='""&amp;H87&amp;""'"",0)"),3.0)</f>
        <v>3</v>
      </c>
      <c r="B87" s="29" t="s">
        <v>1030</v>
      </c>
      <c r="C87" s="164" t="s">
        <v>1044</v>
      </c>
      <c r="D87" s="156" t="s">
        <v>78</v>
      </c>
      <c r="E87" s="33" t="s">
        <v>1025</v>
      </c>
      <c r="F87" s="157" t="s">
        <v>1136</v>
      </c>
      <c r="G87" s="33" t="s">
        <v>1138</v>
      </c>
      <c r="H87" s="90" t="s">
        <v>750</v>
      </c>
      <c r="I87" s="33" t="s">
        <v>1317</v>
      </c>
      <c r="W87" s="151" t="s">
        <v>125</v>
      </c>
      <c r="X87" s="150" t="s">
        <v>1103</v>
      </c>
      <c r="Y87" s="150" t="s">
        <v>696</v>
      </c>
      <c r="Z87" s="150">
        <v>2.0</v>
      </c>
    </row>
    <row r="88">
      <c r="A88" s="152">
        <f>IFERROR(__xludf.DUMMYFUNCTION("query(Y:Z,""select Z Where Y ='""&amp;H88&amp;""'"",0)"),3.0)</f>
        <v>3</v>
      </c>
      <c r="B88" s="29" t="s">
        <v>1030</v>
      </c>
      <c r="C88" s="164" t="s">
        <v>1044</v>
      </c>
      <c r="D88" s="156" t="s">
        <v>78</v>
      </c>
      <c r="E88" s="33" t="s">
        <v>1025</v>
      </c>
      <c r="F88" s="157" t="s">
        <v>1136</v>
      </c>
      <c r="G88" s="33" t="s">
        <v>1138</v>
      </c>
      <c r="H88" s="90" t="s">
        <v>709</v>
      </c>
      <c r="I88" s="33" t="s">
        <v>1319</v>
      </c>
      <c r="W88" s="151" t="s">
        <v>125</v>
      </c>
      <c r="X88" s="150" t="s">
        <v>1103</v>
      </c>
      <c r="Y88" s="150" t="s">
        <v>898</v>
      </c>
      <c r="Z88" s="150">
        <v>7.0</v>
      </c>
    </row>
    <row r="89">
      <c r="A89" s="152">
        <f>IFERROR(__xludf.DUMMYFUNCTION("query(Y:Z,""select Z Where Y ='""&amp;H89&amp;""'"",0)"),3.0)</f>
        <v>3</v>
      </c>
      <c r="B89" s="29" t="s">
        <v>1030</v>
      </c>
      <c r="C89" s="164" t="s">
        <v>1044</v>
      </c>
      <c r="D89" s="156" t="s">
        <v>78</v>
      </c>
      <c r="E89" s="33" t="s">
        <v>1025</v>
      </c>
      <c r="F89" s="157" t="s">
        <v>1089</v>
      </c>
      <c r="G89" s="33" t="s">
        <v>1147</v>
      </c>
      <c r="H89" s="90" t="s">
        <v>848</v>
      </c>
      <c r="I89" s="33" t="s">
        <v>1321</v>
      </c>
      <c r="W89" s="151" t="s">
        <v>53</v>
      </c>
      <c r="X89" s="150" t="s">
        <v>1109</v>
      </c>
      <c r="Y89" s="150" t="s">
        <v>981</v>
      </c>
      <c r="Z89" s="150">
        <v>1.0</v>
      </c>
    </row>
    <row r="90">
      <c r="A90" s="152">
        <f>IFERROR(__xludf.DUMMYFUNCTION("query(Y:Z,""select Z Where Y ='""&amp;H90&amp;""'"",0)"),3.0)</f>
        <v>3</v>
      </c>
      <c r="B90" s="29" t="s">
        <v>1030</v>
      </c>
      <c r="C90" s="164" t="s">
        <v>1044</v>
      </c>
      <c r="D90" s="156" t="s">
        <v>78</v>
      </c>
      <c r="E90" s="33" t="s">
        <v>1025</v>
      </c>
      <c r="F90" s="157" t="s">
        <v>1089</v>
      </c>
      <c r="G90" s="33" t="s">
        <v>1147</v>
      </c>
      <c r="H90" s="90" t="s">
        <v>890</v>
      </c>
      <c r="I90" s="33" t="s">
        <v>1322</v>
      </c>
      <c r="W90" s="151" t="s">
        <v>125</v>
      </c>
      <c r="X90" s="150" t="s">
        <v>1109</v>
      </c>
      <c r="Y90" s="150" t="s">
        <v>636</v>
      </c>
      <c r="Z90" s="150">
        <v>6.0</v>
      </c>
    </row>
    <row r="91">
      <c r="A91" s="152">
        <f>IFERROR(__xludf.DUMMYFUNCTION("query(Y:Z,""select Z Where Y ='""&amp;H91&amp;""'"",0)"),3.0)</f>
        <v>3</v>
      </c>
      <c r="B91" s="29" t="s">
        <v>1030</v>
      </c>
      <c r="C91" s="164" t="s">
        <v>1044</v>
      </c>
      <c r="D91" s="156" t="s">
        <v>78</v>
      </c>
      <c r="E91" s="33" t="s">
        <v>1025</v>
      </c>
      <c r="F91" s="157" t="s">
        <v>1089</v>
      </c>
      <c r="G91" s="33" t="s">
        <v>1147</v>
      </c>
      <c r="H91" s="90" t="s">
        <v>776</v>
      </c>
      <c r="I91" s="33" t="s">
        <v>1324</v>
      </c>
      <c r="W91" s="151" t="s">
        <v>125</v>
      </c>
      <c r="X91" s="150" t="s">
        <v>1109</v>
      </c>
      <c r="Y91" s="150" t="s">
        <v>813</v>
      </c>
      <c r="Z91" s="150">
        <v>2.0</v>
      </c>
    </row>
    <row r="92">
      <c r="A92" s="152">
        <f>IFERROR(__xludf.DUMMYFUNCTION("query(Y:Z,""select Z Where Y ='""&amp;H92&amp;""'"",0)"),3.0)</f>
        <v>3</v>
      </c>
      <c r="B92" s="29" t="s">
        <v>1030</v>
      </c>
      <c r="C92" s="164" t="s">
        <v>1044</v>
      </c>
      <c r="D92" s="156" t="s">
        <v>78</v>
      </c>
      <c r="E92" s="33" t="s">
        <v>1025</v>
      </c>
      <c r="F92" s="157" t="s">
        <v>1153</v>
      </c>
      <c r="G92" s="33" t="s">
        <v>1154</v>
      </c>
      <c r="H92" s="90" t="s">
        <v>695</v>
      </c>
      <c r="I92" s="33" t="s">
        <v>1326</v>
      </c>
      <c r="W92" s="151" t="s">
        <v>84</v>
      </c>
      <c r="X92" s="150" t="s">
        <v>1170</v>
      </c>
      <c r="Y92" s="150" t="s">
        <v>588</v>
      </c>
      <c r="Z92" s="150">
        <v>46.0</v>
      </c>
    </row>
    <row r="93">
      <c r="A93" s="152">
        <f>IFERROR(__xludf.DUMMYFUNCTION("query(Y:Z,""select Z Where Y ='""&amp;H93&amp;""'"",0)"),3.0)</f>
        <v>3</v>
      </c>
      <c r="B93" s="29" t="s">
        <v>1030</v>
      </c>
      <c r="C93" s="164" t="s">
        <v>1044</v>
      </c>
      <c r="D93" s="156" t="s">
        <v>78</v>
      </c>
      <c r="E93" s="33" t="s">
        <v>1025</v>
      </c>
      <c r="F93" s="157" t="s">
        <v>1245</v>
      </c>
      <c r="G93" s="33" t="s">
        <v>1328</v>
      </c>
      <c r="H93" s="90" t="s">
        <v>982</v>
      </c>
      <c r="I93" s="33" t="s">
        <v>1329</v>
      </c>
      <c r="W93" s="151" t="s">
        <v>78</v>
      </c>
      <c r="X93" s="150" t="s">
        <v>1174</v>
      </c>
      <c r="Y93" s="150" t="s">
        <v>600</v>
      </c>
      <c r="Z93" s="150">
        <v>1.0</v>
      </c>
    </row>
    <row r="94">
      <c r="A94" s="152">
        <f>IFERROR(__xludf.DUMMYFUNCTION("query(Y:Z,""select Z Where Y ='""&amp;H94&amp;""'"",0)"),4.0)</f>
        <v>4</v>
      </c>
      <c r="B94" s="29" t="s">
        <v>1030</v>
      </c>
      <c r="C94" s="8" t="s">
        <v>1031</v>
      </c>
      <c r="D94" s="156" t="s">
        <v>43</v>
      </c>
      <c r="E94" s="33" t="s">
        <v>1025</v>
      </c>
      <c r="F94" s="157" t="s">
        <v>1331</v>
      </c>
      <c r="G94" s="33" t="s">
        <v>1332</v>
      </c>
      <c r="H94" s="90" t="s">
        <v>853</v>
      </c>
      <c r="I94" s="33" t="s">
        <v>1333</v>
      </c>
      <c r="W94" s="151" t="s">
        <v>108</v>
      </c>
      <c r="X94" s="150" t="s">
        <v>1041</v>
      </c>
      <c r="Y94" s="150" t="s">
        <v>618</v>
      </c>
      <c r="Z94" s="150">
        <v>26.0</v>
      </c>
    </row>
    <row r="95">
      <c r="A95" s="152">
        <f>IFERROR(__xludf.DUMMYFUNCTION("query(Y:Z,""select Z Where Y ='""&amp;H95&amp;""'"",0)"),4.0)</f>
        <v>4</v>
      </c>
      <c r="B95" s="29" t="s">
        <v>1030</v>
      </c>
      <c r="C95" s="8" t="s">
        <v>1031</v>
      </c>
      <c r="D95" s="156" t="s">
        <v>108</v>
      </c>
      <c r="E95" s="33" t="s">
        <v>1025</v>
      </c>
      <c r="F95" s="157" t="s">
        <v>1200</v>
      </c>
      <c r="G95" s="33" t="s">
        <v>1201</v>
      </c>
      <c r="H95" s="90" t="s">
        <v>700</v>
      </c>
      <c r="I95" s="33" t="s">
        <v>1334</v>
      </c>
      <c r="W95" s="149" t="s">
        <v>504</v>
      </c>
      <c r="X95" s="150" t="s">
        <v>1041</v>
      </c>
      <c r="Y95" s="150" t="s">
        <v>694</v>
      </c>
      <c r="Z95" s="150">
        <v>4.0</v>
      </c>
    </row>
    <row r="96">
      <c r="A96" s="152">
        <f>IFERROR(__xludf.DUMMYFUNCTION("query(Y:Z,""select Z Where Y ='""&amp;H96&amp;""'"",0)"),4.0)</f>
        <v>4</v>
      </c>
      <c r="B96" s="29" t="s">
        <v>1030</v>
      </c>
      <c r="C96" s="8" t="s">
        <v>1031</v>
      </c>
      <c r="D96" s="156" t="s">
        <v>108</v>
      </c>
      <c r="E96" s="33" t="s">
        <v>1025</v>
      </c>
      <c r="F96" s="157" t="s">
        <v>1200</v>
      </c>
      <c r="G96" s="33" t="s">
        <v>1201</v>
      </c>
      <c r="H96" s="90" t="s">
        <v>764</v>
      </c>
      <c r="I96" s="33" t="s">
        <v>1336</v>
      </c>
      <c r="W96" s="151" t="s">
        <v>108</v>
      </c>
      <c r="X96" s="150" t="s">
        <v>1210</v>
      </c>
      <c r="Y96" s="150" t="s">
        <v>589</v>
      </c>
      <c r="Z96" s="150">
        <v>45.0</v>
      </c>
    </row>
    <row r="97">
      <c r="A97" s="152">
        <f>IFERROR(__xludf.DUMMYFUNCTION("query(Y:Z,""select Z Where Y ='""&amp;H97&amp;""'"",0)"),4.0)</f>
        <v>4</v>
      </c>
      <c r="B97" s="29" t="s">
        <v>1030</v>
      </c>
      <c r="C97" s="164" t="s">
        <v>1044</v>
      </c>
      <c r="D97" s="156" t="s">
        <v>46</v>
      </c>
      <c r="E97" s="33" t="s">
        <v>1025</v>
      </c>
      <c r="F97" s="157" t="s">
        <v>1039</v>
      </c>
      <c r="G97" s="33" t="s">
        <v>1042</v>
      </c>
      <c r="H97" s="90" t="s">
        <v>722</v>
      </c>
      <c r="I97" s="33" t="s">
        <v>1059</v>
      </c>
      <c r="W97" s="149" t="s">
        <v>504</v>
      </c>
      <c r="X97" s="150" t="s">
        <v>1046</v>
      </c>
      <c r="Y97" s="150" t="s">
        <v>529</v>
      </c>
      <c r="Z97" s="150">
        <v>3.0</v>
      </c>
    </row>
    <row r="98">
      <c r="A98" s="152">
        <f>IFERROR(__xludf.DUMMYFUNCTION("query(Y:Z,""select Z Where Y ='""&amp;H98&amp;""'"",0)"),4.0)</f>
        <v>4</v>
      </c>
      <c r="B98" s="29" t="s">
        <v>1030</v>
      </c>
      <c r="C98" s="164" t="s">
        <v>1044</v>
      </c>
      <c r="D98" s="156" t="s">
        <v>50</v>
      </c>
      <c r="E98" s="33" t="s">
        <v>1025</v>
      </c>
      <c r="F98" s="157" t="s">
        <v>1055</v>
      </c>
      <c r="G98" s="33" t="s">
        <v>1056</v>
      </c>
      <c r="H98" s="90" t="s">
        <v>997</v>
      </c>
      <c r="I98" s="33" t="s">
        <v>1087</v>
      </c>
      <c r="W98" s="151" t="s">
        <v>177</v>
      </c>
      <c r="X98" s="150" t="s">
        <v>1046</v>
      </c>
      <c r="Y98" s="150" t="s">
        <v>534</v>
      </c>
      <c r="Z98" s="150">
        <v>76.0</v>
      </c>
    </row>
    <row r="99">
      <c r="A99" s="152">
        <f>IFERROR(__xludf.DUMMYFUNCTION("query(Y:Z,""select Z Where Y ='""&amp;H99&amp;""'"",0)"),4.0)</f>
        <v>4</v>
      </c>
      <c r="B99" s="29" t="s">
        <v>1030</v>
      </c>
      <c r="C99" s="164" t="s">
        <v>1044</v>
      </c>
      <c r="D99" s="156" t="s">
        <v>50</v>
      </c>
      <c r="E99" s="33" t="s">
        <v>1025</v>
      </c>
      <c r="F99" s="157" t="s">
        <v>1055</v>
      </c>
      <c r="G99" s="33" t="s">
        <v>1056</v>
      </c>
      <c r="H99" s="90" t="s">
        <v>940</v>
      </c>
      <c r="I99" s="33" t="s">
        <v>1093</v>
      </c>
      <c r="W99" s="149" t="s">
        <v>504</v>
      </c>
      <c r="X99" s="150" t="s">
        <v>1046</v>
      </c>
      <c r="Y99" s="150" t="s">
        <v>560</v>
      </c>
      <c r="Z99" s="150">
        <v>2.0</v>
      </c>
    </row>
    <row r="100">
      <c r="A100" s="152">
        <f>IFERROR(__xludf.DUMMYFUNCTION("query(Y:Z,""select Z Where Y ='""&amp;H100&amp;""'"",0)"),4.0)</f>
        <v>4</v>
      </c>
      <c r="B100" s="29" t="s">
        <v>1030</v>
      </c>
      <c r="C100" s="164" t="s">
        <v>1044</v>
      </c>
      <c r="D100" s="156" t="s">
        <v>53</v>
      </c>
      <c r="E100" s="33" t="s">
        <v>1025</v>
      </c>
      <c r="F100" s="157" t="s">
        <v>1070</v>
      </c>
      <c r="G100" s="33" t="s">
        <v>1071</v>
      </c>
      <c r="H100" s="90" t="s">
        <v>826</v>
      </c>
      <c r="I100" s="33" t="s">
        <v>1221</v>
      </c>
      <c r="W100" s="151" t="s">
        <v>78</v>
      </c>
      <c r="X100" s="150" t="s">
        <v>1074</v>
      </c>
      <c r="Y100" s="150" t="s">
        <v>875</v>
      </c>
      <c r="Z100" s="150">
        <v>9.0</v>
      </c>
    </row>
    <row r="101">
      <c r="A101" s="152">
        <f>IFERROR(__xludf.DUMMYFUNCTION("query(Y:Z,""select Z Where Y ='""&amp;H101&amp;""'"",0)"),4.0)</f>
        <v>4</v>
      </c>
      <c r="B101" s="29" t="s">
        <v>1030</v>
      </c>
      <c r="C101" s="164" t="s">
        <v>1044</v>
      </c>
      <c r="D101" s="156" t="s">
        <v>53</v>
      </c>
      <c r="E101" s="33" t="s">
        <v>1025</v>
      </c>
      <c r="F101" s="157" t="s">
        <v>1083</v>
      </c>
      <c r="G101" s="33" t="s">
        <v>1084</v>
      </c>
      <c r="H101" s="90" t="s">
        <v>840</v>
      </c>
      <c r="I101" s="33" t="s">
        <v>1247</v>
      </c>
      <c r="W101" s="151" t="s">
        <v>96</v>
      </c>
      <c r="X101" s="150" t="s">
        <v>1220</v>
      </c>
      <c r="Y101" s="150" t="s">
        <v>1008</v>
      </c>
      <c r="Z101" s="150">
        <v>5.0</v>
      </c>
    </row>
    <row r="102">
      <c r="A102" s="152">
        <f>IFERROR(__xludf.DUMMYFUNCTION("query(Y:Z,""select Z Where Y ='""&amp;H102&amp;""'"",0)"),4.0)</f>
        <v>4</v>
      </c>
      <c r="B102" s="29" t="s">
        <v>1030</v>
      </c>
      <c r="C102" s="164" t="s">
        <v>1044</v>
      </c>
      <c r="D102" s="156" t="s">
        <v>53</v>
      </c>
      <c r="E102" s="33" t="s">
        <v>1025</v>
      </c>
      <c r="F102" s="157" t="s">
        <v>1083</v>
      </c>
      <c r="G102" s="33" t="s">
        <v>1084</v>
      </c>
      <c r="H102" s="90" t="s">
        <v>921</v>
      </c>
      <c r="I102" s="33" t="s">
        <v>1262</v>
      </c>
      <c r="W102" s="151" t="s">
        <v>114</v>
      </c>
      <c r="X102" s="150" t="s">
        <v>1220</v>
      </c>
      <c r="Y102" s="150" t="s">
        <v>1008</v>
      </c>
      <c r="Z102" s="150">
        <v>6.0</v>
      </c>
    </row>
    <row r="103">
      <c r="A103" s="152">
        <f>IFERROR(__xludf.DUMMYFUNCTION("query(Y:Z,""select Z Where Y ='""&amp;H103&amp;""'"",0)"),4.0)</f>
        <v>4</v>
      </c>
      <c r="B103" s="29" t="s">
        <v>1030</v>
      </c>
      <c r="C103" s="164" t="s">
        <v>1044</v>
      </c>
      <c r="D103" s="156" t="s">
        <v>53</v>
      </c>
      <c r="E103" s="33" t="s">
        <v>1025</v>
      </c>
      <c r="F103" s="157" t="s">
        <v>1083</v>
      </c>
      <c r="G103" s="33" t="s">
        <v>1084</v>
      </c>
      <c r="H103" s="90" t="s">
        <v>757</v>
      </c>
      <c r="I103" s="33" t="s">
        <v>1267</v>
      </c>
      <c r="W103" s="151" t="s">
        <v>78</v>
      </c>
      <c r="X103" s="150" t="s">
        <v>1089</v>
      </c>
      <c r="Y103" s="150" t="s">
        <v>794</v>
      </c>
      <c r="Z103" s="150">
        <v>1.0</v>
      </c>
    </row>
    <row r="104">
      <c r="A104" s="152">
        <f>IFERROR(__xludf.DUMMYFUNCTION("query(Y:Z,""select Z Where Y ='""&amp;H104&amp;""'"",0)"),4.0)</f>
        <v>4</v>
      </c>
      <c r="B104" s="29" t="s">
        <v>1030</v>
      </c>
      <c r="C104" s="164" t="s">
        <v>1044</v>
      </c>
      <c r="D104" s="156" t="s">
        <v>53</v>
      </c>
      <c r="E104" s="33" t="s">
        <v>1025</v>
      </c>
      <c r="F104" s="157" t="s">
        <v>1083</v>
      </c>
      <c r="G104" s="33" t="s">
        <v>1084</v>
      </c>
      <c r="H104" s="90" t="s">
        <v>919</v>
      </c>
      <c r="I104" s="33" t="s">
        <v>1277</v>
      </c>
      <c r="W104" s="151" t="s">
        <v>78</v>
      </c>
      <c r="X104" s="150" t="s">
        <v>1089</v>
      </c>
      <c r="Y104" s="150" t="s">
        <v>670</v>
      </c>
      <c r="Z104" s="150">
        <v>15.0</v>
      </c>
    </row>
    <row r="105">
      <c r="A105" s="152">
        <f>IFERROR(__xludf.DUMMYFUNCTION("query(Y:Z,""select Z Where Y ='""&amp;H105&amp;""'"",0)"),4.0)</f>
        <v>4</v>
      </c>
      <c r="B105" s="29" t="s">
        <v>1030</v>
      </c>
      <c r="C105" s="164" t="s">
        <v>1044</v>
      </c>
      <c r="D105" s="156" t="s">
        <v>53</v>
      </c>
      <c r="E105" s="33" t="s">
        <v>1025</v>
      </c>
      <c r="F105" s="157" t="s">
        <v>1095</v>
      </c>
      <c r="G105" s="33" t="s">
        <v>1096</v>
      </c>
      <c r="H105" s="90" t="s">
        <v>971</v>
      </c>
      <c r="I105" s="33" t="s">
        <v>1299</v>
      </c>
      <c r="W105" s="151" t="s">
        <v>50</v>
      </c>
      <c r="X105" s="150" t="s">
        <v>1067</v>
      </c>
      <c r="Y105" s="150" t="s">
        <v>597</v>
      </c>
      <c r="Z105" s="150">
        <v>1.0</v>
      </c>
    </row>
    <row r="106">
      <c r="A106" s="152">
        <f>IFERROR(__xludf.DUMMYFUNCTION("query(Y:Z,""select Z Where Y ='""&amp;H106&amp;""'"",0)"),4.0)</f>
        <v>4</v>
      </c>
      <c r="B106" s="29" t="s">
        <v>1030</v>
      </c>
      <c r="C106" s="164" t="s">
        <v>1044</v>
      </c>
      <c r="D106" s="156" t="s">
        <v>53</v>
      </c>
      <c r="E106" s="33" t="s">
        <v>1025</v>
      </c>
      <c r="F106" s="157" t="s">
        <v>1118</v>
      </c>
      <c r="G106" s="33" t="s">
        <v>1119</v>
      </c>
      <c r="H106" s="90" t="s">
        <v>673</v>
      </c>
      <c r="I106" s="33" t="s">
        <v>1349</v>
      </c>
      <c r="W106" s="151" t="s">
        <v>57</v>
      </c>
      <c r="X106" s="150" t="s">
        <v>1291</v>
      </c>
      <c r="Y106" s="150" t="s">
        <v>790</v>
      </c>
      <c r="Z106" s="150">
        <v>21.0</v>
      </c>
    </row>
    <row r="107">
      <c r="A107" s="152">
        <f>IFERROR(__xludf.DUMMYFUNCTION("query(Y:Z,""select Z Where Y ='""&amp;H107&amp;""'"",0)"),4.0)</f>
        <v>4</v>
      </c>
      <c r="B107" s="29" t="s">
        <v>1030</v>
      </c>
      <c r="C107" s="164" t="s">
        <v>1044</v>
      </c>
      <c r="D107" s="156" t="s">
        <v>53</v>
      </c>
      <c r="E107" s="33" t="s">
        <v>1025</v>
      </c>
      <c r="F107" s="157" t="s">
        <v>1266</v>
      </c>
      <c r="G107" s="33" t="s">
        <v>1351</v>
      </c>
      <c r="H107" s="90" t="s">
        <v>812</v>
      </c>
      <c r="I107" s="33" t="s">
        <v>1352</v>
      </c>
      <c r="W107" s="151" t="s">
        <v>147</v>
      </c>
      <c r="X107" s="150" t="s">
        <v>1121</v>
      </c>
      <c r="Y107" s="150" t="s">
        <v>615</v>
      </c>
      <c r="Z107" s="150">
        <v>1.0</v>
      </c>
    </row>
    <row r="108">
      <c r="A108" s="152">
        <f>IFERROR(__xludf.DUMMYFUNCTION("query(Y:Z,""select Z Where Y ='""&amp;H108&amp;""'"",0)"),4.0)</f>
        <v>4</v>
      </c>
      <c r="B108" s="29" t="s">
        <v>1030</v>
      </c>
      <c r="C108" s="164" t="s">
        <v>1044</v>
      </c>
      <c r="D108" s="156" t="s">
        <v>57</v>
      </c>
      <c r="E108" s="33" t="s">
        <v>1025</v>
      </c>
      <c r="F108" s="157" t="s">
        <v>1122</v>
      </c>
      <c r="G108" s="33" t="s">
        <v>1123</v>
      </c>
      <c r="H108" s="90" t="s">
        <v>758</v>
      </c>
      <c r="I108" s="33" t="s">
        <v>1355</v>
      </c>
      <c r="W108" s="151" t="s">
        <v>96</v>
      </c>
      <c r="X108" s="150" t="s">
        <v>1356</v>
      </c>
      <c r="Y108" s="150" t="s">
        <v>1357</v>
      </c>
      <c r="Z108" s="150">
        <v>3.0</v>
      </c>
    </row>
    <row r="109">
      <c r="A109" s="152">
        <f>IFERROR(__xludf.DUMMYFUNCTION("query(Y:Z,""select Z Where Y ='""&amp;H109&amp;""'"",0)"),4.0)</f>
        <v>4</v>
      </c>
      <c r="B109" s="29" t="s">
        <v>1030</v>
      </c>
      <c r="C109" s="164" t="s">
        <v>1044</v>
      </c>
      <c r="D109" s="156" t="s">
        <v>78</v>
      </c>
      <c r="E109" s="33" t="s">
        <v>1025</v>
      </c>
      <c r="F109" s="157" t="s">
        <v>1136</v>
      </c>
      <c r="G109" s="33" t="s">
        <v>1138</v>
      </c>
      <c r="H109" s="90" t="s">
        <v>674</v>
      </c>
      <c r="I109" s="33" t="s">
        <v>1360</v>
      </c>
      <c r="W109" s="151" t="s">
        <v>53</v>
      </c>
      <c r="X109" s="150" t="s">
        <v>1103</v>
      </c>
      <c r="Y109" s="150" t="s">
        <v>1012</v>
      </c>
      <c r="Z109" s="150">
        <v>5.0</v>
      </c>
    </row>
    <row r="110">
      <c r="A110" s="152">
        <f>IFERROR(__xludf.DUMMYFUNCTION("query(Y:Z,""select Z Where Y ='""&amp;H110&amp;""'"",0)"),4.0)</f>
        <v>4</v>
      </c>
      <c r="B110" s="29" t="s">
        <v>1030</v>
      </c>
      <c r="C110" s="164" t="s">
        <v>1044</v>
      </c>
      <c r="D110" s="156" t="s">
        <v>78</v>
      </c>
      <c r="E110" s="33" t="s">
        <v>1025</v>
      </c>
      <c r="F110" s="157" t="s">
        <v>1089</v>
      </c>
      <c r="G110" s="33" t="s">
        <v>1147</v>
      </c>
      <c r="H110" s="90" t="s">
        <v>885</v>
      </c>
      <c r="I110" s="33" t="s">
        <v>1363</v>
      </c>
      <c r="W110" s="151" t="s">
        <v>125</v>
      </c>
      <c r="X110" s="150" t="s">
        <v>1109</v>
      </c>
      <c r="Y110" s="150" t="s">
        <v>754</v>
      </c>
      <c r="Z110" s="150">
        <v>1.0</v>
      </c>
    </row>
    <row r="111">
      <c r="A111" s="152">
        <f>IFERROR(__xludf.DUMMYFUNCTION("query(Y:Z,""select Z Where Y ='""&amp;H111&amp;""'"",0)"),4.0)</f>
        <v>4</v>
      </c>
      <c r="B111" s="29" t="s">
        <v>1030</v>
      </c>
      <c r="C111" s="164" t="s">
        <v>1044</v>
      </c>
      <c r="D111" s="156" t="s">
        <v>78</v>
      </c>
      <c r="E111" s="33" t="s">
        <v>1025</v>
      </c>
      <c r="F111" s="157" t="s">
        <v>1089</v>
      </c>
      <c r="G111" s="33" t="s">
        <v>1147</v>
      </c>
      <c r="H111" s="90" t="s">
        <v>937</v>
      </c>
      <c r="I111" s="33" t="s">
        <v>1364</v>
      </c>
      <c r="W111" s="151" t="s">
        <v>53</v>
      </c>
      <c r="X111" s="150" t="s">
        <v>1109</v>
      </c>
      <c r="Y111" s="150" t="s">
        <v>754</v>
      </c>
      <c r="Z111" s="150">
        <v>2.0</v>
      </c>
    </row>
    <row r="112">
      <c r="A112" s="152">
        <f>IFERROR(__xludf.DUMMYFUNCTION("query(Y:Z,""select Z Where Y ='""&amp;H112&amp;""'"",0)"),4.0)</f>
        <v>4</v>
      </c>
      <c r="B112" s="29" t="s">
        <v>1030</v>
      </c>
      <c r="C112" s="164" t="s">
        <v>1044</v>
      </c>
      <c r="D112" s="156" t="s">
        <v>78</v>
      </c>
      <c r="E112" s="33" t="s">
        <v>1025</v>
      </c>
      <c r="F112" s="157" t="s">
        <v>1153</v>
      </c>
      <c r="G112" s="33" t="s">
        <v>1154</v>
      </c>
      <c r="H112" s="90" t="s">
        <v>970</v>
      </c>
      <c r="I112" s="33" t="s">
        <v>1369</v>
      </c>
      <c r="W112" s="151" t="s">
        <v>96</v>
      </c>
      <c r="X112" s="150" t="s">
        <v>858</v>
      </c>
      <c r="Y112" s="150" t="s">
        <v>1370</v>
      </c>
      <c r="Z112" s="150">
        <v>1.0</v>
      </c>
    </row>
    <row r="113">
      <c r="A113" s="152">
        <f>IFERROR(__xludf.DUMMYFUNCTION("query(Y:Z,""select Z Where Y ='""&amp;H113&amp;""'"",0)"),4.0)</f>
        <v>4</v>
      </c>
      <c r="B113" s="29" t="s">
        <v>1030</v>
      </c>
      <c r="C113" s="164" t="s">
        <v>1044</v>
      </c>
      <c r="D113" s="156" t="s">
        <v>78</v>
      </c>
      <c r="E113" s="33" t="s">
        <v>1025</v>
      </c>
      <c r="F113" s="157" t="s">
        <v>1245</v>
      </c>
      <c r="G113" s="33" t="s">
        <v>1328</v>
      </c>
      <c r="H113" s="90" t="s">
        <v>915</v>
      </c>
      <c r="I113" s="33" t="s">
        <v>1373</v>
      </c>
      <c r="W113" s="151" t="s">
        <v>147</v>
      </c>
      <c r="X113" s="150" t="s">
        <v>1174</v>
      </c>
      <c r="Y113" s="150" t="s">
        <v>967</v>
      </c>
      <c r="Z113" s="150">
        <v>43.0</v>
      </c>
    </row>
    <row r="114">
      <c r="A114" s="152">
        <f>IFERROR(__xludf.DUMMYFUNCTION("query(Y:Z,""select Z Where Y ='""&amp;H114&amp;""'"",0)"),4.0)</f>
        <v>4</v>
      </c>
      <c r="B114" s="29" t="s">
        <v>1030</v>
      </c>
      <c r="C114" s="164" t="s">
        <v>1044</v>
      </c>
      <c r="D114" s="156" t="s">
        <v>78</v>
      </c>
      <c r="E114" s="33" t="s">
        <v>1025</v>
      </c>
      <c r="F114" s="157" t="s">
        <v>1376</v>
      </c>
      <c r="G114" s="33" t="s">
        <v>1377</v>
      </c>
      <c r="H114" s="90" t="s">
        <v>838</v>
      </c>
      <c r="I114" s="33" t="s">
        <v>1378</v>
      </c>
      <c r="W114" s="151" t="s">
        <v>147</v>
      </c>
      <c r="X114" s="150" t="s">
        <v>1174</v>
      </c>
      <c r="Y114" s="150" t="s">
        <v>781</v>
      </c>
      <c r="Z114" s="150">
        <v>37.0</v>
      </c>
    </row>
    <row r="115">
      <c r="A115" s="152">
        <f>IFERROR(__xludf.DUMMYFUNCTION("query(Y:Z,""select Z Where Y ='""&amp;H115&amp;""'"",0)"),4.0)</f>
        <v>4</v>
      </c>
      <c r="B115" s="29" t="s">
        <v>1030</v>
      </c>
      <c r="C115" s="164" t="s">
        <v>1044</v>
      </c>
      <c r="D115" s="156" t="s">
        <v>102</v>
      </c>
      <c r="E115" s="33" t="s">
        <v>1025</v>
      </c>
      <c r="F115" s="157" t="s">
        <v>1381</v>
      </c>
      <c r="G115" s="33" t="s">
        <v>1382</v>
      </c>
      <c r="H115" s="90" t="s">
        <v>786</v>
      </c>
      <c r="I115" s="33" t="s">
        <v>1383</v>
      </c>
      <c r="W115" s="151" t="s">
        <v>53</v>
      </c>
      <c r="X115" s="150" t="s">
        <v>1095</v>
      </c>
      <c r="Y115" s="150" t="s">
        <v>889</v>
      </c>
      <c r="Z115" s="150">
        <v>3.0</v>
      </c>
    </row>
    <row r="116">
      <c r="A116" s="152">
        <f>IFERROR(__xludf.DUMMYFUNCTION("query(Y:Z,""select Z Where Y ='""&amp;H116&amp;""'"",0)"),4.0)</f>
        <v>4</v>
      </c>
      <c r="B116" s="29" t="s">
        <v>1030</v>
      </c>
      <c r="C116" s="164" t="s">
        <v>1044</v>
      </c>
      <c r="D116" s="156" t="s">
        <v>102</v>
      </c>
      <c r="E116" s="33" t="s">
        <v>1025</v>
      </c>
      <c r="F116" s="157" t="s">
        <v>1186</v>
      </c>
      <c r="G116" s="33" t="s">
        <v>1187</v>
      </c>
      <c r="H116" s="90" t="s">
        <v>814</v>
      </c>
      <c r="I116" s="33" t="s">
        <v>1385</v>
      </c>
      <c r="W116" s="151" t="s">
        <v>46</v>
      </c>
      <c r="X116" s="150" t="s">
        <v>1039</v>
      </c>
      <c r="Y116" s="150" t="s">
        <v>532</v>
      </c>
      <c r="Z116" s="150">
        <v>112.0</v>
      </c>
    </row>
    <row r="117">
      <c r="A117" s="152">
        <f>IFERROR(__xludf.DUMMYFUNCTION("query(Y:Z,""select Z Where Y ='""&amp;H117&amp;""'"",0)"),4.0)</f>
        <v>4</v>
      </c>
      <c r="B117" s="29" t="s">
        <v>1030</v>
      </c>
      <c r="C117" s="164" t="s">
        <v>1044</v>
      </c>
      <c r="D117" s="156" t="s">
        <v>102</v>
      </c>
      <c r="E117" s="33" t="s">
        <v>1025</v>
      </c>
      <c r="F117" s="157" t="s">
        <v>1186</v>
      </c>
      <c r="G117" s="33" t="s">
        <v>1187</v>
      </c>
      <c r="H117" s="90" t="s">
        <v>887</v>
      </c>
      <c r="I117" s="33" t="s">
        <v>1387</v>
      </c>
      <c r="W117" s="151" t="s">
        <v>84</v>
      </c>
      <c r="X117" s="150" t="s">
        <v>1039</v>
      </c>
      <c r="Y117" s="168" t="s">
        <v>606</v>
      </c>
      <c r="Z117" s="150">
        <v>1.0</v>
      </c>
    </row>
    <row r="118">
      <c r="A118" s="152">
        <f>IFERROR(__xludf.DUMMYFUNCTION("query(Y:Z,""select Z Where Y ='""&amp;H118&amp;""'"",0)"),4.0)</f>
        <v>4</v>
      </c>
      <c r="B118" s="29" t="s">
        <v>1030</v>
      </c>
      <c r="C118" s="164" t="s">
        <v>1044</v>
      </c>
      <c r="D118" s="156" t="s">
        <v>102</v>
      </c>
      <c r="E118" s="33" t="s">
        <v>1025</v>
      </c>
      <c r="F118" s="157" t="s">
        <v>1186</v>
      </c>
      <c r="G118" s="33" t="s">
        <v>1187</v>
      </c>
      <c r="H118" s="90" t="s">
        <v>738</v>
      </c>
      <c r="I118" s="33" t="s">
        <v>1395</v>
      </c>
      <c r="W118" s="151" t="s">
        <v>46</v>
      </c>
      <c r="X118" s="150" t="s">
        <v>1039</v>
      </c>
      <c r="Y118" s="150" t="s">
        <v>1396</v>
      </c>
      <c r="Z118" s="150">
        <v>2.0</v>
      </c>
    </row>
    <row r="119">
      <c r="A119" s="152">
        <f>IFERROR(__xludf.DUMMYFUNCTION("query(Y:Z,""select Z Where Y ='""&amp;H119&amp;""'"",0)"),5.0)</f>
        <v>5</v>
      </c>
      <c r="B119" s="29" t="s">
        <v>1030</v>
      </c>
      <c r="C119" s="8" t="s">
        <v>1031</v>
      </c>
      <c r="D119" s="156" t="s">
        <v>43</v>
      </c>
      <c r="E119" s="33" t="s">
        <v>1025</v>
      </c>
      <c r="F119" s="157" t="s">
        <v>1036</v>
      </c>
      <c r="G119" s="33" t="s">
        <v>1037</v>
      </c>
      <c r="H119" s="90" t="s">
        <v>977</v>
      </c>
      <c r="I119" s="33" t="s">
        <v>1402</v>
      </c>
      <c r="W119" s="149" t="s">
        <v>504</v>
      </c>
      <c r="X119" s="150" t="s">
        <v>1026</v>
      </c>
      <c r="Y119" s="150" t="s">
        <v>563</v>
      </c>
      <c r="Z119" s="150">
        <v>68.0</v>
      </c>
    </row>
    <row r="120">
      <c r="A120" s="152">
        <f>IFERROR(__xludf.DUMMYFUNCTION("query(Y:Z,""select Z Where Y ='""&amp;H120&amp;""'"",0)"),5.0)</f>
        <v>5</v>
      </c>
      <c r="B120" s="29" t="s">
        <v>1030</v>
      </c>
      <c r="C120" s="8" t="s">
        <v>1031</v>
      </c>
      <c r="D120" s="156" t="s">
        <v>43</v>
      </c>
      <c r="E120" s="33" t="s">
        <v>1025</v>
      </c>
      <c r="F120" s="157" t="s">
        <v>1331</v>
      </c>
      <c r="G120" s="33" t="s">
        <v>1332</v>
      </c>
      <c r="H120" s="90" t="s">
        <v>896</v>
      </c>
      <c r="I120" s="33" t="s">
        <v>1405</v>
      </c>
      <c r="W120" s="151" t="s">
        <v>108</v>
      </c>
      <c r="X120" s="150" t="s">
        <v>1041</v>
      </c>
      <c r="Y120" s="150" t="s">
        <v>779</v>
      </c>
      <c r="Z120" s="150">
        <v>16.0</v>
      </c>
    </row>
    <row r="121">
      <c r="A121" s="152">
        <f>IFERROR(__xludf.DUMMYFUNCTION("query(Y:Z,""select Z Where Y ='""&amp;H121&amp;""'"",0)"),5.0)</f>
        <v>5</v>
      </c>
      <c r="B121" s="29" t="s">
        <v>1030</v>
      </c>
      <c r="C121" s="164" t="s">
        <v>1044</v>
      </c>
      <c r="D121" s="156" t="s">
        <v>50</v>
      </c>
      <c r="E121" s="33" t="s">
        <v>1025</v>
      </c>
      <c r="F121" s="157" t="s">
        <v>1061</v>
      </c>
      <c r="G121" s="33" t="s">
        <v>1062</v>
      </c>
      <c r="H121" s="90" t="s">
        <v>942</v>
      </c>
      <c r="I121" s="33" t="s">
        <v>1111</v>
      </c>
      <c r="W121" s="151" t="s">
        <v>96</v>
      </c>
      <c r="X121" s="150" t="s">
        <v>1065</v>
      </c>
      <c r="Y121" s="150" t="s">
        <v>552</v>
      </c>
      <c r="Z121" s="150">
        <v>311.0</v>
      </c>
    </row>
    <row r="122">
      <c r="A122" s="152">
        <f>IFERROR(__xludf.DUMMYFUNCTION("query(Y:Z,""select Z Where Y ='""&amp;H122&amp;""'"",0)"),5.0)</f>
        <v>5</v>
      </c>
      <c r="B122" s="29" t="s">
        <v>1030</v>
      </c>
      <c r="C122" s="164" t="s">
        <v>1044</v>
      </c>
      <c r="D122" s="156" t="s">
        <v>125</v>
      </c>
      <c r="E122" s="33" t="s">
        <v>1025</v>
      </c>
      <c r="F122" s="157" t="s">
        <v>1163</v>
      </c>
      <c r="G122" s="33" t="s">
        <v>1165</v>
      </c>
      <c r="H122" s="90" t="s">
        <v>831</v>
      </c>
      <c r="I122" s="33" t="s">
        <v>1180</v>
      </c>
      <c r="W122" s="151" t="s">
        <v>108</v>
      </c>
      <c r="X122" s="150" t="s">
        <v>1074</v>
      </c>
      <c r="Y122" s="150" t="s">
        <v>995</v>
      </c>
      <c r="Z122" s="150">
        <v>1.0</v>
      </c>
    </row>
    <row r="123">
      <c r="A123" s="152">
        <f>IFERROR(__xludf.DUMMYFUNCTION("query(Y:Z,""select Z Where Y ='""&amp;H123&amp;""'"",0)"),5.0)</f>
        <v>5</v>
      </c>
      <c r="B123" s="29" t="s">
        <v>1030</v>
      </c>
      <c r="C123" s="164" t="s">
        <v>1044</v>
      </c>
      <c r="D123" s="156" t="s">
        <v>147</v>
      </c>
      <c r="E123" s="33" t="s">
        <v>1025</v>
      </c>
      <c r="F123" s="157" t="s">
        <v>1412</v>
      </c>
      <c r="G123" s="33" t="s">
        <v>1413</v>
      </c>
      <c r="H123" s="90" t="s">
        <v>708</v>
      </c>
      <c r="I123" s="33" t="s">
        <v>1414</v>
      </c>
      <c r="W123" s="151" t="s">
        <v>1415</v>
      </c>
      <c r="X123" s="150" t="s">
        <v>108</v>
      </c>
      <c r="Y123" s="150" t="s">
        <v>568</v>
      </c>
      <c r="Z123" s="150">
        <v>2.0</v>
      </c>
    </row>
    <row r="124">
      <c r="A124" s="152">
        <f>IFERROR(__xludf.DUMMYFUNCTION("query(Y:Z,""select Z Where Y ='""&amp;H124&amp;""'"",0)"),5.0)</f>
        <v>5</v>
      </c>
      <c r="B124" s="29" t="s">
        <v>1030</v>
      </c>
      <c r="C124" s="164" t="s">
        <v>1044</v>
      </c>
      <c r="D124" s="156" t="s">
        <v>57</v>
      </c>
      <c r="E124" s="33" t="s">
        <v>1025</v>
      </c>
      <c r="F124" s="157" t="s">
        <v>1291</v>
      </c>
      <c r="G124" s="33" t="s">
        <v>1420</v>
      </c>
      <c r="H124" s="90" t="s">
        <v>866</v>
      </c>
      <c r="I124" s="33" t="s">
        <v>1421</v>
      </c>
      <c r="W124" s="151" t="s">
        <v>182</v>
      </c>
      <c r="X124" s="150" t="s">
        <v>1422</v>
      </c>
      <c r="Y124" s="150" t="s">
        <v>771</v>
      </c>
      <c r="Z124" s="150">
        <v>5.0</v>
      </c>
    </row>
    <row r="125">
      <c r="A125" s="152">
        <f>IFERROR(__xludf.DUMMYFUNCTION("query(Y:Z,""select Z Where Y ='""&amp;H125&amp;""'"",0)"),5.0)</f>
        <v>5</v>
      </c>
      <c r="B125" s="29" t="s">
        <v>1030</v>
      </c>
      <c r="C125" s="164" t="s">
        <v>1044</v>
      </c>
      <c r="D125" s="156" t="s">
        <v>57</v>
      </c>
      <c r="E125" s="33" t="s">
        <v>1025</v>
      </c>
      <c r="F125" s="157" t="s">
        <v>1254</v>
      </c>
      <c r="G125" s="33" t="s">
        <v>1255</v>
      </c>
      <c r="H125" s="90" t="s">
        <v>852</v>
      </c>
      <c r="I125" s="33" t="s">
        <v>1425</v>
      </c>
      <c r="W125" s="151" t="s">
        <v>53</v>
      </c>
      <c r="X125" s="150" t="s">
        <v>1118</v>
      </c>
      <c r="Y125" s="150" t="s">
        <v>731</v>
      </c>
      <c r="Z125" s="150">
        <v>1.0</v>
      </c>
    </row>
    <row r="126">
      <c r="A126" s="152">
        <f>IFERROR(__xludf.DUMMYFUNCTION("query(Y:Z,""select Z Where Y ='""&amp;H126&amp;""'"",0)"),5.0)</f>
        <v>5</v>
      </c>
      <c r="B126" s="29" t="s">
        <v>1030</v>
      </c>
      <c r="C126" s="164" t="s">
        <v>1044</v>
      </c>
      <c r="D126" s="156" t="s">
        <v>159</v>
      </c>
      <c r="E126" s="33" t="s">
        <v>1025</v>
      </c>
      <c r="F126" s="157" t="s">
        <v>1427</v>
      </c>
      <c r="G126" s="33" t="s">
        <v>1428</v>
      </c>
      <c r="H126" s="90" t="s">
        <v>1009</v>
      </c>
      <c r="I126" s="33" t="s">
        <v>1430</v>
      </c>
      <c r="W126" s="149" t="s">
        <v>504</v>
      </c>
      <c r="X126" s="150" t="s">
        <v>1200</v>
      </c>
      <c r="Y126" s="150" t="s">
        <v>714</v>
      </c>
      <c r="Z126" s="150">
        <v>2.0</v>
      </c>
    </row>
    <row r="127">
      <c r="A127" s="152">
        <f>IFERROR(__xludf.DUMMYFUNCTION("query(Y:Z,""select Z Where Y ='""&amp;H127&amp;""'"",0)"),5.0)</f>
        <v>5</v>
      </c>
      <c r="B127" s="29" t="s">
        <v>1030</v>
      </c>
      <c r="C127" s="164" t="s">
        <v>1044</v>
      </c>
      <c r="D127" s="156" t="s">
        <v>78</v>
      </c>
      <c r="E127" s="33" t="s">
        <v>1025</v>
      </c>
      <c r="F127" s="157" t="s">
        <v>1074</v>
      </c>
      <c r="G127" s="33" t="s">
        <v>1315</v>
      </c>
      <c r="H127" s="90" t="s">
        <v>854</v>
      </c>
      <c r="I127" s="33" t="s">
        <v>1436</v>
      </c>
      <c r="W127" s="149" t="s">
        <v>504</v>
      </c>
      <c r="X127" s="150" t="s">
        <v>1103</v>
      </c>
      <c r="Y127" s="150" t="s">
        <v>744</v>
      </c>
      <c r="Z127" s="150">
        <v>1.0</v>
      </c>
    </row>
    <row r="128">
      <c r="A128" s="152">
        <f>IFERROR(__xludf.DUMMYFUNCTION("query(Y:Z,""select Z Where Y ='""&amp;H128&amp;""'"",0)"),5.0)</f>
        <v>5</v>
      </c>
      <c r="B128" s="29" t="s">
        <v>1030</v>
      </c>
      <c r="C128" s="164" t="s">
        <v>1044</v>
      </c>
      <c r="D128" s="156" t="s">
        <v>78</v>
      </c>
      <c r="E128" s="33" t="s">
        <v>1025</v>
      </c>
      <c r="F128" s="157" t="s">
        <v>1074</v>
      </c>
      <c r="G128" s="33" t="s">
        <v>1315</v>
      </c>
      <c r="H128" s="90" t="s">
        <v>768</v>
      </c>
      <c r="I128" s="33" t="s">
        <v>1441</v>
      </c>
      <c r="W128" s="149" t="s">
        <v>504</v>
      </c>
      <c r="X128" s="150" t="s">
        <v>1103</v>
      </c>
      <c r="Y128" s="150" t="s">
        <v>1012</v>
      </c>
      <c r="Z128" s="150">
        <v>1.0</v>
      </c>
    </row>
    <row r="129">
      <c r="A129" s="152">
        <f>IFERROR(__xludf.DUMMYFUNCTION("query(Y:Z,""select Z Where Y ='""&amp;H129&amp;""'"",0)"),5.0)</f>
        <v>5</v>
      </c>
      <c r="B129" s="29" t="s">
        <v>1030</v>
      </c>
      <c r="C129" s="164" t="s">
        <v>1044</v>
      </c>
      <c r="D129" s="156" t="s">
        <v>78</v>
      </c>
      <c r="E129" s="33" t="s">
        <v>1025</v>
      </c>
      <c r="F129" s="157" t="s">
        <v>1143</v>
      </c>
      <c r="G129" s="33" t="s">
        <v>1144</v>
      </c>
      <c r="H129" s="90" t="s">
        <v>746</v>
      </c>
      <c r="I129" s="33" t="s">
        <v>1443</v>
      </c>
      <c r="W129" s="149" t="s">
        <v>504</v>
      </c>
      <c r="X129" s="150" t="s">
        <v>1103</v>
      </c>
      <c r="Y129" s="150" t="s">
        <v>638</v>
      </c>
      <c r="Z129" s="150">
        <v>1.0</v>
      </c>
    </row>
    <row r="130">
      <c r="A130" s="152">
        <f>IFERROR(__xludf.DUMMYFUNCTION("query(Y:Z,""select Z Where Y ='""&amp;H130&amp;""'"",0)"),5.0)</f>
        <v>5</v>
      </c>
      <c r="B130" s="29" t="s">
        <v>1030</v>
      </c>
      <c r="C130" s="164" t="s">
        <v>1044</v>
      </c>
      <c r="D130" s="156" t="s">
        <v>78</v>
      </c>
      <c r="E130" s="33" t="s">
        <v>1025</v>
      </c>
      <c r="F130" s="157" t="s">
        <v>1153</v>
      </c>
      <c r="G130" s="33" t="s">
        <v>1154</v>
      </c>
      <c r="H130" s="90" t="s">
        <v>839</v>
      </c>
      <c r="I130" s="33" t="s">
        <v>1445</v>
      </c>
      <c r="W130" s="151" t="s">
        <v>84</v>
      </c>
      <c r="X130" s="150" t="s">
        <v>1170</v>
      </c>
      <c r="Y130" s="150" t="s">
        <v>664</v>
      </c>
      <c r="Z130" s="150">
        <v>29.0</v>
      </c>
    </row>
    <row r="131">
      <c r="A131" s="152">
        <f>IFERROR(__xludf.DUMMYFUNCTION("query(Y:Z,""select Z Where Y ='""&amp;H131&amp;""'"",0)"),5.0)</f>
        <v>5</v>
      </c>
      <c r="B131" s="29" t="s">
        <v>1030</v>
      </c>
      <c r="C131" s="164" t="s">
        <v>1044</v>
      </c>
      <c r="D131" s="156" t="s">
        <v>78</v>
      </c>
      <c r="E131" s="33" t="s">
        <v>1025</v>
      </c>
      <c r="F131" s="157" t="s">
        <v>1167</v>
      </c>
      <c r="G131" s="33" t="s">
        <v>1168</v>
      </c>
      <c r="H131" s="90" t="s">
        <v>669</v>
      </c>
      <c r="I131" s="33" t="s">
        <v>1450</v>
      </c>
      <c r="W131" s="149" t="s">
        <v>504</v>
      </c>
      <c r="X131" s="150" t="s">
        <v>1170</v>
      </c>
      <c r="Y131" s="150" t="s">
        <v>664</v>
      </c>
      <c r="Z131" s="150">
        <v>1.0</v>
      </c>
    </row>
    <row r="132">
      <c r="A132" s="152">
        <f>IFERROR(__xludf.DUMMYFUNCTION("query(Y:Z,""select Z Where Y ='""&amp;H132&amp;""'"",0)"),5.0)</f>
        <v>5</v>
      </c>
      <c r="B132" s="29" t="s">
        <v>1030</v>
      </c>
      <c r="C132" s="164" t="s">
        <v>1044</v>
      </c>
      <c r="D132" s="156" t="s">
        <v>84</v>
      </c>
      <c r="E132" s="33" t="s">
        <v>1025</v>
      </c>
      <c r="F132" s="157" t="s">
        <v>1454</v>
      </c>
      <c r="G132" s="33" t="s">
        <v>1455</v>
      </c>
      <c r="H132" s="90" t="s">
        <v>867</v>
      </c>
      <c r="I132" s="33" t="s">
        <v>1456</v>
      </c>
      <c r="W132" s="151" t="s">
        <v>169</v>
      </c>
      <c r="X132" s="150" t="s">
        <v>1459</v>
      </c>
      <c r="Y132" s="150" t="s">
        <v>509</v>
      </c>
      <c r="Z132" s="150">
        <v>237.0</v>
      </c>
    </row>
    <row r="133">
      <c r="A133" s="152">
        <f>IFERROR(__xludf.DUMMYFUNCTION("query(Y:Z,""select Z Where Y ='""&amp;H133&amp;""'"",0)"),5.0)</f>
        <v>5</v>
      </c>
      <c r="B133" s="29" t="s">
        <v>1030</v>
      </c>
      <c r="C133" s="164" t="s">
        <v>1044</v>
      </c>
      <c r="D133" s="156" t="s">
        <v>96</v>
      </c>
      <c r="E133" s="33" t="s">
        <v>1025</v>
      </c>
      <c r="F133" s="157" t="s">
        <v>1370</v>
      </c>
      <c r="G133" s="33" t="s">
        <v>1460</v>
      </c>
      <c r="H133" s="90" t="s">
        <v>897</v>
      </c>
      <c r="I133" s="33" t="s">
        <v>1461</v>
      </c>
      <c r="W133" s="149" t="s">
        <v>504</v>
      </c>
      <c r="X133" s="150" t="s">
        <v>1095</v>
      </c>
      <c r="Y133" s="150" t="s">
        <v>931</v>
      </c>
      <c r="Z133" s="150">
        <v>1.0</v>
      </c>
    </row>
    <row r="134">
      <c r="A134" s="152">
        <f>IFERROR(__xludf.DUMMYFUNCTION("query(Y:Z,""select Z Where Y ='""&amp;H134&amp;""'"",0)"),5.0)</f>
        <v>5</v>
      </c>
      <c r="B134" s="29" t="s">
        <v>1464</v>
      </c>
      <c r="C134" s="164" t="s">
        <v>1044</v>
      </c>
      <c r="D134" s="156" t="s">
        <v>96</v>
      </c>
      <c r="E134" s="33" t="s">
        <v>1025</v>
      </c>
      <c r="F134" s="157" t="s">
        <v>1126</v>
      </c>
      <c r="G134" s="33" t="s">
        <v>1465</v>
      </c>
      <c r="H134" s="90" t="s">
        <v>865</v>
      </c>
      <c r="I134" s="33" t="s">
        <v>1467</v>
      </c>
      <c r="W134" s="151" t="s">
        <v>125</v>
      </c>
      <c r="X134" s="150" t="s">
        <v>1095</v>
      </c>
      <c r="Y134" s="150" t="s">
        <v>1006</v>
      </c>
      <c r="Z134" s="150">
        <v>3.0</v>
      </c>
    </row>
    <row r="135">
      <c r="A135" s="152">
        <f>IFERROR(__xludf.DUMMYFUNCTION("query(Y:Z,""select Z Where Y ='""&amp;H135&amp;""'"",0)"),5.0)</f>
        <v>5</v>
      </c>
      <c r="B135" s="29" t="s">
        <v>1030</v>
      </c>
      <c r="C135" s="164" t="s">
        <v>1044</v>
      </c>
      <c r="D135" s="156" t="s">
        <v>102</v>
      </c>
      <c r="E135" s="33" t="s">
        <v>1025</v>
      </c>
      <c r="F135" s="157" t="s">
        <v>1381</v>
      </c>
      <c r="G135" s="33" t="s">
        <v>1382</v>
      </c>
      <c r="H135" s="90" t="s">
        <v>939</v>
      </c>
      <c r="I135" s="33" t="s">
        <v>1470</v>
      </c>
      <c r="W135" s="149" t="s">
        <v>504</v>
      </c>
      <c r="X135" s="150" t="s">
        <v>1095</v>
      </c>
      <c r="Y135" s="150" t="s">
        <v>596</v>
      </c>
      <c r="Z135" s="150">
        <v>2.0</v>
      </c>
    </row>
    <row r="136">
      <c r="A136" s="152">
        <f>IFERROR(__xludf.DUMMYFUNCTION("query(Y:Z,""select Z Where Y ='""&amp;H136&amp;""'"",0)"),6.0)</f>
        <v>6</v>
      </c>
      <c r="B136" s="29" t="s">
        <v>1030</v>
      </c>
      <c r="C136" s="8" t="s">
        <v>1031</v>
      </c>
      <c r="D136" s="156" t="s">
        <v>43</v>
      </c>
      <c r="E136" s="33" t="s">
        <v>1025</v>
      </c>
      <c r="F136" s="157" t="s">
        <v>1194</v>
      </c>
      <c r="G136" s="33" t="s">
        <v>1195</v>
      </c>
      <c r="H136" s="90" t="s">
        <v>780</v>
      </c>
      <c r="I136" s="33" t="s">
        <v>1384</v>
      </c>
      <c r="W136" s="151" t="s">
        <v>37</v>
      </c>
      <c r="X136" s="150" t="s">
        <v>1026</v>
      </c>
      <c r="Y136" s="150" t="s">
        <v>563</v>
      </c>
      <c r="Z136" s="150">
        <v>28.0</v>
      </c>
    </row>
    <row r="137">
      <c r="A137" s="152">
        <f>IFERROR(__xludf.DUMMYFUNCTION("query(Y:Z,""select Z Where Y ='""&amp;H137&amp;""'"",0)"),6.0)</f>
        <v>6</v>
      </c>
      <c r="B137" s="29" t="s">
        <v>1030</v>
      </c>
      <c r="C137" s="8" t="s">
        <v>1031</v>
      </c>
      <c r="D137" s="156" t="s">
        <v>43</v>
      </c>
      <c r="E137" s="33" t="s">
        <v>1025</v>
      </c>
      <c r="F137" s="157" t="s">
        <v>1331</v>
      </c>
      <c r="G137" s="33" t="s">
        <v>1332</v>
      </c>
      <c r="H137" s="90" t="s">
        <v>725</v>
      </c>
      <c r="I137" s="33" t="s">
        <v>1411</v>
      </c>
      <c r="W137" s="151" t="s">
        <v>108</v>
      </c>
      <c r="X137" s="150" t="s">
        <v>1041</v>
      </c>
      <c r="Y137" s="150" t="s">
        <v>783</v>
      </c>
      <c r="Z137" s="150">
        <v>12.0</v>
      </c>
    </row>
    <row r="138">
      <c r="A138" s="152">
        <f>IFERROR(__xludf.DUMMYFUNCTION("query(Y:Z,""select Z Where Y ='""&amp;H138&amp;""'"",0)"),6.0)</f>
        <v>6</v>
      </c>
      <c r="B138" s="29" t="s">
        <v>1030</v>
      </c>
      <c r="C138" s="8" t="s">
        <v>1031</v>
      </c>
      <c r="D138" s="156" t="s">
        <v>108</v>
      </c>
      <c r="E138" s="33" t="s">
        <v>1025</v>
      </c>
      <c r="F138" s="157" t="s">
        <v>1447</v>
      </c>
      <c r="G138" s="33" t="s">
        <v>1448</v>
      </c>
      <c r="H138" s="90" t="s">
        <v>627</v>
      </c>
      <c r="I138" s="33" t="s">
        <v>1451</v>
      </c>
      <c r="W138" s="151" t="s">
        <v>108</v>
      </c>
      <c r="X138" s="150" t="s">
        <v>1041</v>
      </c>
      <c r="Y138" s="150" t="s">
        <v>1011</v>
      </c>
      <c r="Z138" s="150">
        <v>10.0</v>
      </c>
    </row>
    <row r="139">
      <c r="A139" s="152">
        <f>IFERROR(__xludf.DUMMYFUNCTION("query(Y:Z,""select Z Where Y ='""&amp;H139&amp;""'"",0)"),6.0)</f>
        <v>6</v>
      </c>
      <c r="B139" s="29" t="s">
        <v>1030</v>
      </c>
      <c r="C139" s="8" t="s">
        <v>1031</v>
      </c>
      <c r="D139" s="156" t="s">
        <v>169</v>
      </c>
      <c r="E139" s="33" t="s">
        <v>1025</v>
      </c>
      <c r="F139" s="157" t="s">
        <v>1482</v>
      </c>
      <c r="G139" s="33" t="s">
        <v>1483</v>
      </c>
      <c r="H139" s="90" t="s">
        <v>872</v>
      </c>
      <c r="I139" s="33" t="s">
        <v>1484</v>
      </c>
      <c r="W139" s="149" t="s">
        <v>504</v>
      </c>
      <c r="X139" s="150" t="s">
        <v>1482</v>
      </c>
      <c r="Y139" s="150" t="s">
        <v>522</v>
      </c>
      <c r="Z139" s="150">
        <v>17.0</v>
      </c>
    </row>
    <row r="140">
      <c r="A140" s="152">
        <f>IFERROR(__xludf.DUMMYFUNCTION("query(Y:Z,""select Z Where Y ='""&amp;H140&amp;""'"",0)"),6.0)</f>
        <v>6</v>
      </c>
      <c r="B140" s="29" t="s">
        <v>1030</v>
      </c>
      <c r="C140" s="164" t="s">
        <v>1044</v>
      </c>
      <c r="D140" s="156" t="s">
        <v>50</v>
      </c>
      <c r="E140" s="33" t="s">
        <v>1025</v>
      </c>
      <c r="F140" s="157" t="s">
        <v>1055</v>
      </c>
      <c r="G140" s="33" t="s">
        <v>1056</v>
      </c>
      <c r="H140" s="90" t="s">
        <v>850</v>
      </c>
      <c r="I140" s="33" t="s">
        <v>1102</v>
      </c>
      <c r="W140" s="151" t="s">
        <v>1170</v>
      </c>
      <c r="X140" s="150" t="s">
        <v>84</v>
      </c>
      <c r="Y140" s="150" t="s">
        <v>664</v>
      </c>
      <c r="Z140" s="150">
        <v>1.0</v>
      </c>
    </row>
    <row r="141">
      <c r="A141" s="152">
        <f>IFERROR(__xludf.DUMMYFUNCTION("query(Y:Z,""select Z Where Y ='""&amp;H141&amp;""'"",0)"),6.0)</f>
        <v>6</v>
      </c>
      <c r="B141" s="29" t="s">
        <v>1030</v>
      </c>
      <c r="C141" s="164" t="s">
        <v>1044</v>
      </c>
      <c r="D141" s="156" t="s">
        <v>53</v>
      </c>
      <c r="E141" s="33" t="s">
        <v>1025</v>
      </c>
      <c r="F141" s="157" t="s">
        <v>1095</v>
      </c>
      <c r="G141" s="33" t="s">
        <v>1096</v>
      </c>
      <c r="H141" s="90" t="s">
        <v>966</v>
      </c>
      <c r="I141" s="33" t="s">
        <v>1318</v>
      </c>
      <c r="W141" s="151" t="s">
        <v>50</v>
      </c>
      <c r="X141" s="150" t="s">
        <v>1061</v>
      </c>
      <c r="Y141" s="150" t="s">
        <v>777</v>
      </c>
      <c r="Z141" s="150">
        <v>11.0</v>
      </c>
    </row>
    <row r="142">
      <c r="A142" s="152">
        <f>IFERROR(__xludf.DUMMYFUNCTION("query(Y:Z,""select Z Where Y ='""&amp;H142&amp;""'"",0)"),6.0)</f>
        <v>6</v>
      </c>
      <c r="B142" s="29" t="s">
        <v>1030</v>
      </c>
      <c r="C142" s="164" t="s">
        <v>1044</v>
      </c>
      <c r="D142" s="156" t="s">
        <v>53</v>
      </c>
      <c r="E142" s="33" t="s">
        <v>1025</v>
      </c>
      <c r="F142" s="157" t="s">
        <v>1109</v>
      </c>
      <c r="G142" s="33" t="s">
        <v>1110</v>
      </c>
      <c r="H142" s="90" t="s">
        <v>689</v>
      </c>
      <c r="I142" s="33" t="s">
        <v>1350</v>
      </c>
      <c r="W142" s="151" t="s">
        <v>96</v>
      </c>
      <c r="X142" s="150" t="s">
        <v>1495</v>
      </c>
      <c r="Y142" s="150" t="s">
        <v>1496</v>
      </c>
      <c r="Z142" s="150">
        <v>1.0</v>
      </c>
    </row>
    <row r="143">
      <c r="A143" s="152">
        <f>IFERROR(__xludf.DUMMYFUNCTION("query(Y:Z,""select Z Where Y ='""&amp;H143&amp;""'"",0)"),6.0)</f>
        <v>6</v>
      </c>
      <c r="B143" s="29" t="s">
        <v>1030</v>
      </c>
      <c r="C143" s="164" t="s">
        <v>1044</v>
      </c>
      <c r="D143" s="156" t="s">
        <v>53</v>
      </c>
      <c r="E143" s="33" t="s">
        <v>1025</v>
      </c>
      <c r="F143" s="157" t="s">
        <v>1109</v>
      </c>
      <c r="G143" s="33" t="s">
        <v>1110</v>
      </c>
      <c r="H143" s="90" t="s">
        <v>636</v>
      </c>
      <c r="I143" s="33" t="s">
        <v>1354</v>
      </c>
      <c r="W143" s="151" t="s">
        <v>1116</v>
      </c>
      <c r="X143" s="150" t="s">
        <v>182</v>
      </c>
      <c r="Y143" s="150" t="s">
        <v>506</v>
      </c>
      <c r="Z143" s="150">
        <v>1.0</v>
      </c>
    </row>
    <row r="144">
      <c r="A144" s="152">
        <f>IFERROR(__xludf.DUMMYFUNCTION("query(Y:Z,""select Z Where Y ='""&amp;H144&amp;""'"",0)"),6.0)</f>
        <v>6</v>
      </c>
      <c r="B144" s="29" t="s">
        <v>1030</v>
      </c>
      <c r="C144" s="164" t="s">
        <v>1044</v>
      </c>
      <c r="D144" s="156" t="s">
        <v>114</v>
      </c>
      <c r="E144" s="33" t="s">
        <v>1025</v>
      </c>
      <c r="F144" s="157" t="s">
        <v>1220</v>
      </c>
      <c r="G144" s="33" t="s">
        <v>1243</v>
      </c>
      <c r="H144" s="90" t="s">
        <v>739</v>
      </c>
      <c r="I144" s="33" t="s">
        <v>1444</v>
      </c>
      <c r="W144" s="151" t="s">
        <v>78</v>
      </c>
      <c r="X144" s="150" t="s">
        <v>1245</v>
      </c>
      <c r="Y144" s="150" t="s">
        <v>915</v>
      </c>
      <c r="Z144" s="150">
        <v>4.0</v>
      </c>
    </row>
    <row r="145">
      <c r="A145" s="152">
        <f>IFERROR(__xludf.DUMMYFUNCTION("query(Y:Z,""select Z Where Y ='""&amp;H145&amp;""'"",0)"),6.0)</f>
        <v>6</v>
      </c>
      <c r="B145" s="29" t="s">
        <v>1030</v>
      </c>
      <c r="C145" s="164" t="s">
        <v>1044</v>
      </c>
      <c r="D145" s="156" t="s">
        <v>159</v>
      </c>
      <c r="E145" s="33" t="s">
        <v>1025</v>
      </c>
      <c r="F145" s="157" t="s">
        <v>1503</v>
      </c>
      <c r="G145" s="33" t="s">
        <v>1504</v>
      </c>
      <c r="H145" s="90" t="s">
        <v>807</v>
      </c>
      <c r="I145" s="33" t="s">
        <v>1505</v>
      </c>
      <c r="W145" s="151" t="s">
        <v>147</v>
      </c>
      <c r="X145" s="150" t="s">
        <v>1507</v>
      </c>
      <c r="Y145" s="150" t="s">
        <v>628</v>
      </c>
      <c r="Z145" s="150">
        <v>144.0</v>
      </c>
    </row>
    <row r="146">
      <c r="A146" s="152">
        <f>IFERROR(__xludf.DUMMYFUNCTION("query(Y:Z,""select Z Where Y ='""&amp;H146&amp;""'"",0)"),6.0)</f>
        <v>6</v>
      </c>
      <c r="B146" s="29" t="s">
        <v>1030</v>
      </c>
      <c r="C146" s="164" t="s">
        <v>1044</v>
      </c>
      <c r="D146" s="156" t="s">
        <v>78</v>
      </c>
      <c r="E146" s="33" t="s">
        <v>1025</v>
      </c>
      <c r="F146" s="157" t="s">
        <v>1074</v>
      </c>
      <c r="G146" s="33" t="s">
        <v>1315</v>
      </c>
      <c r="H146" s="90" t="s">
        <v>835</v>
      </c>
      <c r="I146" s="33" t="s">
        <v>1509</v>
      </c>
      <c r="W146" s="151" t="s">
        <v>125</v>
      </c>
      <c r="X146" s="150" t="s">
        <v>1103</v>
      </c>
      <c r="Y146" s="150" t="s">
        <v>994</v>
      </c>
      <c r="Z146" s="150">
        <v>1.0</v>
      </c>
    </row>
    <row r="147">
      <c r="A147" s="152">
        <f>IFERROR(__xludf.DUMMYFUNCTION("query(Y:Z,""select Z Where Y ='""&amp;H147&amp;""'"",0)"),6.0)</f>
        <v>6</v>
      </c>
      <c r="B147" s="29" t="s">
        <v>1030</v>
      </c>
      <c r="C147" s="164" t="s">
        <v>1044</v>
      </c>
      <c r="D147" s="156" t="s">
        <v>78</v>
      </c>
      <c r="E147" s="33" t="s">
        <v>1025</v>
      </c>
      <c r="F147" s="157" t="s">
        <v>1089</v>
      </c>
      <c r="G147" s="33" t="s">
        <v>1147</v>
      </c>
      <c r="H147" s="90" t="s">
        <v>837</v>
      </c>
      <c r="I147" s="33" t="s">
        <v>1513</v>
      </c>
      <c r="W147" s="151" t="s">
        <v>125</v>
      </c>
      <c r="X147" s="150" t="s">
        <v>1109</v>
      </c>
      <c r="Y147" s="150" t="s">
        <v>1013</v>
      </c>
      <c r="Z147" s="150">
        <v>15.0</v>
      </c>
    </row>
    <row r="148">
      <c r="A148" s="152">
        <f>IFERROR(__xludf.DUMMYFUNCTION("query(Y:Z,""select Z Where Y ='""&amp;H148&amp;""'"",0)"),6.0)</f>
        <v>6</v>
      </c>
      <c r="B148" s="29" t="s">
        <v>1030</v>
      </c>
      <c r="C148" s="164" t="s">
        <v>1044</v>
      </c>
      <c r="D148" s="156" t="s">
        <v>96</v>
      </c>
      <c r="E148" s="33" t="s">
        <v>1025</v>
      </c>
      <c r="F148" s="157" t="s">
        <v>1113</v>
      </c>
      <c r="G148" s="33" t="s">
        <v>1182</v>
      </c>
      <c r="H148" s="90" t="s">
        <v>868</v>
      </c>
      <c r="I148" s="33" t="s">
        <v>1517</v>
      </c>
      <c r="W148" s="151" t="s">
        <v>125</v>
      </c>
      <c r="X148" s="150" t="s">
        <v>1095</v>
      </c>
      <c r="Y148" s="150" t="s">
        <v>727</v>
      </c>
      <c r="Z148" s="150">
        <v>9.0</v>
      </c>
    </row>
    <row r="149">
      <c r="A149" s="152">
        <f>IFERROR(__xludf.DUMMYFUNCTION("query(Y:Z,""select Z Where Y ='""&amp;H149&amp;""'"",0)"),7.0)</f>
        <v>7</v>
      </c>
      <c r="B149" s="29" t="s">
        <v>1030</v>
      </c>
      <c r="C149" s="8" t="s">
        <v>1031</v>
      </c>
      <c r="D149" s="156" t="s">
        <v>50</v>
      </c>
      <c r="E149" s="33" t="s">
        <v>1025</v>
      </c>
      <c r="F149" s="157" t="s">
        <v>1067</v>
      </c>
      <c r="G149" s="33" t="s">
        <v>1068</v>
      </c>
      <c r="H149" s="90" t="s">
        <v>729</v>
      </c>
      <c r="I149" s="33" t="s">
        <v>1069</v>
      </c>
      <c r="W149" s="149" t="s">
        <v>504</v>
      </c>
      <c r="X149" s="150" t="s">
        <v>1376</v>
      </c>
      <c r="Y149" s="150" t="s">
        <v>991</v>
      </c>
      <c r="Z149" s="150">
        <v>2.0</v>
      </c>
    </row>
    <row r="150">
      <c r="A150" s="152">
        <f>IFERROR(__xludf.DUMMYFUNCTION("query(Y:Z,""select Z Where Y ='""&amp;H150&amp;""'"",0)"),7.0)</f>
        <v>7</v>
      </c>
      <c r="B150" s="29" t="s">
        <v>1030</v>
      </c>
      <c r="C150" s="8" t="s">
        <v>1031</v>
      </c>
      <c r="D150" s="156" t="s">
        <v>43</v>
      </c>
      <c r="E150" s="33" t="s">
        <v>1025</v>
      </c>
      <c r="F150" s="157" t="s">
        <v>1032</v>
      </c>
      <c r="G150" s="33" t="s">
        <v>1033</v>
      </c>
      <c r="H150" s="90" t="s">
        <v>759</v>
      </c>
      <c r="I150" s="33" t="s">
        <v>1388</v>
      </c>
      <c r="W150" s="151" t="s">
        <v>37</v>
      </c>
      <c r="X150" s="150" t="s">
        <v>1026</v>
      </c>
      <c r="Y150" s="150" t="s">
        <v>869</v>
      </c>
      <c r="Z150" s="150">
        <v>2.0</v>
      </c>
    </row>
    <row r="151">
      <c r="A151" s="152">
        <f>IFERROR(__xludf.DUMMYFUNCTION("query(Y:Z,""select Z Where Y ='""&amp;H151&amp;""'"",0)"),7.0)</f>
        <v>7</v>
      </c>
      <c r="B151" s="29" t="s">
        <v>1030</v>
      </c>
      <c r="C151" s="164" t="s">
        <v>1044</v>
      </c>
      <c r="D151" s="156" t="s">
        <v>46</v>
      </c>
      <c r="E151" s="33" t="s">
        <v>1025</v>
      </c>
      <c r="F151" s="157" t="s">
        <v>1039</v>
      </c>
      <c r="G151" s="33" t="s">
        <v>1042</v>
      </c>
      <c r="H151" s="90" t="s">
        <v>909</v>
      </c>
      <c r="I151" s="33" t="s">
        <v>1047</v>
      </c>
      <c r="W151" s="151" t="s">
        <v>177</v>
      </c>
      <c r="X151" s="150" t="s">
        <v>1528</v>
      </c>
      <c r="Y151" s="150" t="s">
        <v>1529</v>
      </c>
      <c r="Z151" s="150">
        <v>8.0</v>
      </c>
    </row>
    <row r="152">
      <c r="A152" s="152">
        <f>IFERROR(__xludf.DUMMYFUNCTION("query(Y:Z,""select Z Where Y ='""&amp;H152&amp;""'"",0)"),7.0)</f>
        <v>7</v>
      </c>
      <c r="B152" s="29" t="s">
        <v>1030</v>
      </c>
      <c r="C152" s="164" t="s">
        <v>1044</v>
      </c>
      <c r="D152" s="156" t="s">
        <v>50</v>
      </c>
      <c r="E152" s="33" t="s">
        <v>1025</v>
      </c>
      <c r="F152" s="157" t="s">
        <v>1055</v>
      </c>
      <c r="G152" s="33" t="s">
        <v>1056</v>
      </c>
      <c r="H152" s="90" t="s">
        <v>902</v>
      </c>
      <c r="I152" s="33" t="s">
        <v>1104</v>
      </c>
      <c r="W152" s="149" t="s">
        <v>504</v>
      </c>
      <c r="X152" s="150" t="s">
        <v>1065</v>
      </c>
      <c r="Y152" s="150" t="s">
        <v>586</v>
      </c>
      <c r="Z152" s="150">
        <v>1.0</v>
      </c>
    </row>
    <row r="153">
      <c r="A153" s="152">
        <f>IFERROR(__xludf.DUMMYFUNCTION("query(Y:Z,""select Z Where Y ='""&amp;H153&amp;""'"",0)"),7.0)</f>
        <v>7</v>
      </c>
      <c r="B153" s="29" t="s">
        <v>1030</v>
      </c>
      <c r="C153" s="164" t="s">
        <v>1044</v>
      </c>
      <c r="D153" s="156" t="s">
        <v>60</v>
      </c>
      <c r="E153" s="33" t="s">
        <v>1025</v>
      </c>
      <c r="F153" s="157" t="s">
        <v>1535</v>
      </c>
      <c r="G153" s="33" t="s">
        <v>1536</v>
      </c>
      <c r="H153" s="90" t="s">
        <v>906</v>
      </c>
      <c r="I153" s="33" t="s">
        <v>1537</v>
      </c>
      <c r="W153" s="151" t="s">
        <v>96</v>
      </c>
      <c r="X153" s="150" t="s">
        <v>1134</v>
      </c>
      <c r="Y153" s="150" t="s">
        <v>950</v>
      </c>
      <c r="Z153" s="150">
        <v>75.0</v>
      </c>
    </row>
    <row r="154">
      <c r="A154" s="152">
        <f>IFERROR(__xludf.DUMMYFUNCTION("query(Y:Z,""select Z Where Y ='""&amp;H154&amp;""'"",0)"),7.0)</f>
        <v>7</v>
      </c>
      <c r="B154" s="29" t="s">
        <v>1030</v>
      </c>
      <c r="C154" s="164" t="s">
        <v>1044</v>
      </c>
      <c r="D154" s="156" t="s">
        <v>78</v>
      </c>
      <c r="E154" s="33" t="s">
        <v>1025</v>
      </c>
      <c r="F154" s="157" t="s">
        <v>1074</v>
      </c>
      <c r="G154" s="33" t="s">
        <v>1315</v>
      </c>
      <c r="H154" s="90" t="s">
        <v>968</v>
      </c>
      <c r="I154" s="33" t="s">
        <v>1539</v>
      </c>
      <c r="W154" s="151" t="s">
        <v>53</v>
      </c>
      <c r="X154" s="150" t="s">
        <v>1103</v>
      </c>
      <c r="Y154" s="150" t="s">
        <v>898</v>
      </c>
      <c r="Z154" s="150">
        <v>4.0</v>
      </c>
    </row>
    <row r="155">
      <c r="A155" s="152">
        <f>IFERROR(__xludf.DUMMYFUNCTION("query(Y:Z,""select Z Where Y ='""&amp;H155&amp;""'"",0)"),7.0)</f>
        <v>7</v>
      </c>
      <c r="B155" s="29" t="s">
        <v>1030</v>
      </c>
      <c r="C155" s="164" t="s">
        <v>1044</v>
      </c>
      <c r="D155" s="156" t="s">
        <v>78</v>
      </c>
      <c r="E155" s="33" t="s">
        <v>1025</v>
      </c>
      <c r="F155" s="157" t="s">
        <v>1136</v>
      </c>
      <c r="G155" s="33" t="s">
        <v>1138</v>
      </c>
      <c r="H155" s="90" t="s">
        <v>941</v>
      </c>
      <c r="I155" s="33" t="s">
        <v>1543</v>
      </c>
      <c r="W155" s="151" t="s">
        <v>125</v>
      </c>
      <c r="X155" s="150" t="s">
        <v>1103</v>
      </c>
      <c r="Y155" s="150" t="s">
        <v>947</v>
      </c>
      <c r="Z155" s="150">
        <v>4.0</v>
      </c>
    </row>
    <row r="156">
      <c r="A156" s="152">
        <f>IFERROR(__xludf.DUMMYFUNCTION("query(Y:Z,""select Z Where Y ='""&amp;H156&amp;""'"",0)"),7.0)</f>
        <v>7</v>
      </c>
      <c r="B156" s="29" t="s">
        <v>1030</v>
      </c>
      <c r="C156" s="164" t="s">
        <v>1044</v>
      </c>
      <c r="D156" s="156" t="s">
        <v>78</v>
      </c>
      <c r="E156" s="33" t="s">
        <v>1025</v>
      </c>
      <c r="F156" s="157" t="s">
        <v>1089</v>
      </c>
      <c r="G156" s="33" t="s">
        <v>1147</v>
      </c>
      <c r="H156" s="90" t="s">
        <v>753</v>
      </c>
      <c r="I156" s="33" t="s">
        <v>1548</v>
      </c>
      <c r="W156" s="151" t="s">
        <v>125</v>
      </c>
      <c r="X156" s="150" t="s">
        <v>1109</v>
      </c>
      <c r="Y156" s="150" t="s">
        <v>859</v>
      </c>
      <c r="Z156" s="150">
        <v>1.0</v>
      </c>
    </row>
    <row r="157">
      <c r="A157" s="152">
        <f>IFERROR(__xludf.DUMMYFUNCTION("query(Y:Z,""select Z Where Y ='""&amp;H157&amp;""'"",0)"),7.0)</f>
        <v>7</v>
      </c>
      <c r="B157" s="29" t="s">
        <v>1030</v>
      </c>
      <c r="C157" s="164" t="s">
        <v>1044</v>
      </c>
      <c r="D157" s="156" t="s">
        <v>78</v>
      </c>
      <c r="E157" s="33" t="s">
        <v>1025</v>
      </c>
      <c r="F157" s="157" t="s">
        <v>1153</v>
      </c>
      <c r="G157" s="33" t="s">
        <v>1154</v>
      </c>
      <c r="H157" s="90" t="s">
        <v>819</v>
      </c>
      <c r="I157" s="33" t="s">
        <v>1552</v>
      </c>
      <c r="W157" s="151" t="s">
        <v>125</v>
      </c>
      <c r="X157" s="150" t="s">
        <v>1127</v>
      </c>
      <c r="Y157" s="150" t="s">
        <v>803</v>
      </c>
      <c r="Z157" s="150">
        <v>8.0</v>
      </c>
    </row>
    <row r="158">
      <c r="A158" s="152">
        <f>IFERROR(__xludf.DUMMYFUNCTION("query(Y:Z,""select Z Where Y ='""&amp;H158&amp;""'"",0)"),7.0)</f>
        <v>7</v>
      </c>
      <c r="B158" s="29" t="s">
        <v>1030</v>
      </c>
      <c r="C158" s="164" t="s">
        <v>1044</v>
      </c>
      <c r="D158" s="156" t="s">
        <v>84</v>
      </c>
      <c r="E158" s="33" t="s">
        <v>1025</v>
      </c>
      <c r="F158" s="157" t="s">
        <v>1454</v>
      </c>
      <c r="G158" s="33" t="s">
        <v>1455</v>
      </c>
      <c r="H158" s="90" t="s">
        <v>792</v>
      </c>
      <c r="I158" s="33" t="s">
        <v>1556</v>
      </c>
      <c r="W158" s="151" t="s">
        <v>147</v>
      </c>
      <c r="X158" s="150" t="s">
        <v>1557</v>
      </c>
      <c r="Y158" s="150" t="s">
        <v>1558</v>
      </c>
      <c r="Z158" s="150">
        <v>1.0</v>
      </c>
    </row>
    <row r="159">
      <c r="A159" s="152">
        <f>IFERROR(__xludf.DUMMYFUNCTION("query(Y:Z,""select Z Where Y ='""&amp;H159&amp;""'"",0)"),7.0)</f>
        <v>7</v>
      </c>
      <c r="B159" s="29" t="s">
        <v>1030</v>
      </c>
      <c r="C159" s="164" t="s">
        <v>1044</v>
      </c>
      <c r="D159" s="156" t="s">
        <v>96</v>
      </c>
      <c r="E159" s="33" t="s">
        <v>1025</v>
      </c>
      <c r="F159" s="157" t="s">
        <v>1126</v>
      </c>
      <c r="G159" s="33" t="s">
        <v>1465</v>
      </c>
      <c r="H159" s="90" t="s">
        <v>740</v>
      </c>
      <c r="I159" s="33" t="s">
        <v>1562</v>
      </c>
      <c r="W159" s="151" t="s">
        <v>53</v>
      </c>
      <c r="X159" s="150" t="s">
        <v>1095</v>
      </c>
      <c r="Y159" s="150" t="s">
        <v>931</v>
      </c>
      <c r="Z159" s="150">
        <v>2.0</v>
      </c>
    </row>
    <row r="160">
      <c r="A160" s="152">
        <f>IFERROR(__xludf.DUMMYFUNCTION("query(Y:Z,""select Z Where Y ='""&amp;H160&amp;""'"",0)"),8.0)</f>
        <v>8</v>
      </c>
      <c r="B160" s="29" t="s">
        <v>305</v>
      </c>
      <c r="C160" s="155" t="s">
        <v>303</v>
      </c>
      <c r="D160" s="156" t="s">
        <v>125</v>
      </c>
      <c r="E160" s="33" t="s">
        <v>1025</v>
      </c>
      <c r="F160" s="157" t="s">
        <v>1127</v>
      </c>
      <c r="G160" s="33" t="s">
        <v>1128</v>
      </c>
      <c r="H160" s="90" t="s">
        <v>803</v>
      </c>
      <c r="I160" s="33" t="s">
        <v>1129</v>
      </c>
      <c r="W160" s="149" t="s">
        <v>504</v>
      </c>
      <c r="X160" s="169" t="s">
        <v>504</v>
      </c>
      <c r="Y160" s="150" t="s">
        <v>926</v>
      </c>
      <c r="Z160" s="150">
        <v>1.0</v>
      </c>
    </row>
    <row r="161">
      <c r="A161" s="152">
        <f>IFERROR(__xludf.DUMMYFUNCTION("query(Y:Z,""select Z Where Y ='""&amp;H161&amp;""'"",0)"),8.0)</f>
        <v>8</v>
      </c>
      <c r="B161" s="29" t="s">
        <v>1030</v>
      </c>
      <c r="C161" s="8" t="s">
        <v>1031</v>
      </c>
      <c r="D161" s="156" t="s">
        <v>108</v>
      </c>
      <c r="E161" s="33" t="s">
        <v>1025</v>
      </c>
      <c r="F161" s="157" t="s">
        <v>1415</v>
      </c>
      <c r="G161" s="33" t="s">
        <v>1472</v>
      </c>
      <c r="H161" s="90" t="s">
        <v>816</v>
      </c>
      <c r="I161" s="33" t="s">
        <v>1475</v>
      </c>
      <c r="W161" s="151" t="s">
        <v>108</v>
      </c>
      <c r="X161" s="150" t="s">
        <v>1210</v>
      </c>
      <c r="Y161" s="150" t="s">
        <v>951</v>
      </c>
      <c r="Z161" s="150">
        <v>8.0</v>
      </c>
    </row>
    <row r="162">
      <c r="A162" s="152">
        <f>IFERROR(__xludf.DUMMYFUNCTION("query(Y:Z,""select Z Where Y ='""&amp;H162&amp;""'"",0)"),8.0)</f>
        <v>8</v>
      </c>
      <c r="B162" s="29" t="s">
        <v>1030</v>
      </c>
      <c r="C162" s="8" t="s">
        <v>1031</v>
      </c>
      <c r="D162" s="156" t="s">
        <v>108</v>
      </c>
      <c r="E162" s="33" t="s">
        <v>1025</v>
      </c>
      <c r="F162" s="157" t="s">
        <v>1415</v>
      </c>
      <c r="G162" s="33" t="s">
        <v>1472</v>
      </c>
      <c r="H162" s="90" t="s">
        <v>809</v>
      </c>
      <c r="I162" s="33" t="s">
        <v>1476</v>
      </c>
      <c r="W162" s="151" t="s">
        <v>108</v>
      </c>
      <c r="X162" s="150" t="s">
        <v>1210</v>
      </c>
      <c r="Y162" s="150" t="s">
        <v>1492</v>
      </c>
      <c r="Z162" s="150">
        <v>1.0</v>
      </c>
    </row>
    <row r="163">
      <c r="A163" s="152">
        <f>IFERROR(__xludf.DUMMYFUNCTION("query(Y:Z,""select Z Where Y ='""&amp;H163&amp;""'"",0)"),8.0)</f>
        <v>8</v>
      </c>
      <c r="B163" s="29" t="s">
        <v>1030</v>
      </c>
      <c r="C163" s="8" t="s">
        <v>1031</v>
      </c>
      <c r="D163" s="156" t="s">
        <v>108</v>
      </c>
      <c r="E163" s="33" t="s">
        <v>1025</v>
      </c>
      <c r="F163" s="157" t="s">
        <v>1415</v>
      </c>
      <c r="G163" s="33" t="s">
        <v>1472</v>
      </c>
      <c r="H163" s="90" t="s">
        <v>816</v>
      </c>
      <c r="I163" s="33" t="s">
        <v>1478</v>
      </c>
      <c r="W163" s="151" t="s">
        <v>108</v>
      </c>
      <c r="X163" s="150" t="s">
        <v>1210</v>
      </c>
      <c r="Y163" s="150" t="s">
        <v>518</v>
      </c>
      <c r="Z163" s="150">
        <v>299.0</v>
      </c>
    </row>
    <row r="164">
      <c r="A164" s="152">
        <f>IFERROR(__xludf.DUMMYFUNCTION("query(Y:Z,""select Z Where Y ='""&amp;H164&amp;""'"",0)"),8.0)</f>
        <v>8</v>
      </c>
      <c r="B164" s="29" t="s">
        <v>1030</v>
      </c>
      <c r="C164" s="164" t="s">
        <v>1044</v>
      </c>
      <c r="D164" s="156" t="s">
        <v>53</v>
      </c>
      <c r="E164" s="33" t="s">
        <v>1025</v>
      </c>
      <c r="F164" s="157" t="s">
        <v>1070</v>
      </c>
      <c r="G164" s="33" t="s">
        <v>1071</v>
      </c>
      <c r="H164" s="90" t="s">
        <v>741</v>
      </c>
      <c r="I164" s="33" t="s">
        <v>1223</v>
      </c>
      <c r="W164" s="151" t="s">
        <v>78</v>
      </c>
      <c r="X164" s="150" t="s">
        <v>1074</v>
      </c>
      <c r="Y164" s="150" t="s">
        <v>968</v>
      </c>
      <c r="Z164" s="150">
        <v>7.0</v>
      </c>
    </row>
    <row r="165">
      <c r="A165" s="152">
        <f>IFERROR(__xludf.DUMMYFUNCTION("query(Y:Z,""select Z Where Y ='""&amp;H165&amp;""'"",0)"),8.0)</f>
        <v>8</v>
      </c>
      <c r="B165" s="29" t="s">
        <v>1030</v>
      </c>
      <c r="C165" s="164" t="s">
        <v>1044</v>
      </c>
      <c r="D165" s="156" t="s">
        <v>53</v>
      </c>
      <c r="E165" s="33" t="s">
        <v>1025</v>
      </c>
      <c r="F165" s="157" t="s">
        <v>1095</v>
      </c>
      <c r="G165" s="33" t="s">
        <v>1096</v>
      </c>
      <c r="H165" s="90" t="s">
        <v>653</v>
      </c>
      <c r="I165" s="33" t="s">
        <v>1300</v>
      </c>
      <c r="W165" s="151" t="s">
        <v>50</v>
      </c>
      <c r="X165" s="150" t="s">
        <v>1067</v>
      </c>
      <c r="Y165" s="150" t="s">
        <v>564</v>
      </c>
      <c r="Z165" s="150">
        <v>93.0</v>
      </c>
    </row>
    <row r="166">
      <c r="A166" s="152">
        <f>IFERROR(__xludf.DUMMYFUNCTION("query(Y:Z,""select Z Where Y ='""&amp;H166&amp;""'"",0)"),8.0)</f>
        <v>8</v>
      </c>
      <c r="B166" s="29" t="s">
        <v>1030</v>
      </c>
      <c r="C166" s="164" t="s">
        <v>1044</v>
      </c>
      <c r="D166" s="156" t="s">
        <v>147</v>
      </c>
      <c r="E166" s="33" t="s">
        <v>1025</v>
      </c>
      <c r="F166" s="157" t="s">
        <v>1412</v>
      </c>
      <c r="G166" s="33" t="s">
        <v>1413</v>
      </c>
      <c r="H166" s="90" t="s">
        <v>986</v>
      </c>
      <c r="I166" s="33" t="s">
        <v>1581</v>
      </c>
      <c r="W166" s="151" t="s">
        <v>108</v>
      </c>
      <c r="X166" s="150" t="s">
        <v>1415</v>
      </c>
      <c r="Y166" s="150" t="s">
        <v>816</v>
      </c>
      <c r="Z166" s="150">
        <v>8.0</v>
      </c>
    </row>
    <row r="167">
      <c r="A167" s="152">
        <f>IFERROR(__xludf.DUMMYFUNCTION("query(Y:Z,""select Z Where Y ='""&amp;H167&amp;""'"",0)"),8.0)</f>
        <v>8</v>
      </c>
      <c r="B167" s="29" t="s">
        <v>1030</v>
      </c>
      <c r="C167" s="164" t="s">
        <v>1044</v>
      </c>
      <c r="D167" s="156" t="s">
        <v>147</v>
      </c>
      <c r="E167" s="33" t="s">
        <v>1025</v>
      </c>
      <c r="F167" s="157" t="s">
        <v>1029</v>
      </c>
      <c r="G167" s="33" t="s">
        <v>1586</v>
      </c>
      <c r="H167" s="90" t="s">
        <v>748</v>
      </c>
      <c r="I167" s="33" t="s">
        <v>1594</v>
      </c>
      <c r="W167" s="151" t="s">
        <v>1192</v>
      </c>
      <c r="X167" s="150" t="s">
        <v>108</v>
      </c>
      <c r="Y167" s="150" t="s">
        <v>566</v>
      </c>
      <c r="Z167" s="150">
        <v>1.0</v>
      </c>
    </row>
    <row r="168">
      <c r="A168" s="152">
        <f>IFERROR(__xludf.DUMMYFUNCTION("query(Y:Z,""select Z Where Y ='""&amp;H168&amp;""'"",0)"),8.0)</f>
        <v>8</v>
      </c>
      <c r="B168" s="29" t="s">
        <v>1030</v>
      </c>
      <c r="C168" s="164" t="s">
        <v>1044</v>
      </c>
      <c r="D168" s="156" t="s">
        <v>159</v>
      </c>
      <c r="E168" s="33" t="s">
        <v>1025</v>
      </c>
      <c r="F168" s="157" t="s">
        <v>1427</v>
      </c>
      <c r="G168" s="33" t="s">
        <v>1428</v>
      </c>
      <c r="H168" s="90" t="s">
        <v>769</v>
      </c>
      <c r="I168" s="33" t="s">
        <v>1625</v>
      </c>
      <c r="W168" s="151" t="s">
        <v>108</v>
      </c>
      <c r="X168" s="150" t="s">
        <v>1200</v>
      </c>
      <c r="Y168" s="150" t="s">
        <v>630</v>
      </c>
      <c r="Z168" s="150">
        <v>35.0</v>
      </c>
    </row>
    <row r="169">
      <c r="A169" s="152">
        <f>IFERROR(__xludf.DUMMYFUNCTION("query(Y:Z,""select Z Where Y ='""&amp;H169&amp;""'"",0)"),8.0)</f>
        <v>8</v>
      </c>
      <c r="B169" s="29" t="s">
        <v>1030</v>
      </c>
      <c r="C169" s="164" t="s">
        <v>1044</v>
      </c>
      <c r="D169" s="156" t="s">
        <v>159</v>
      </c>
      <c r="E169" s="33" t="s">
        <v>1025</v>
      </c>
      <c r="F169" s="157" t="s">
        <v>1637</v>
      </c>
      <c r="G169" s="33" t="s">
        <v>1639</v>
      </c>
      <c r="H169" s="90" t="s">
        <v>905</v>
      </c>
      <c r="I169" s="33" t="s">
        <v>1642</v>
      </c>
      <c r="W169" s="151" t="s">
        <v>108</v>
      </c>
      <c r="X169" s="150" t="s">
        <v>1200</v>
      </c>
      <c r="Y169" s="150" t="s">
        <v>714</v>
      </c>
      <c r="Z169" s="150">
        <v>18.0</v>
      </c>
    </row>
    <row r="170">
      <c r="A170" s="152">
        <f>IFERROR(__xludf.DUMMYFUNCTION("query(Y:Z,""select Z Where Y ='""&amp;H170&amp;""'"",0)"),8.0)</f>
        <v>8</v>
      </c>
      <c r="B170" s="29" t="s">
        <v>1030</v>
      </c>
      <c r="C170" s="164" t="s">
        <v>1044</v>
      </c>
      <c r="D170" s="156" t="s">
        <v>84</v>
      </c>
      <c r="E170" s="33" t="s">
        <v>1025</v>
      </c>
      <c r="F170" s="157" t="s">
        <v>1176</v>
      </c>
      <c r="G170" s="33" t="s">
        <v>1177</v>
      </c>
      <c r="H170" s="90" t="s">
        <v>647</v>
      </c>
      <c r="I170" s="33" t="s">
        <v>1657</v>
      </c>
      <c r="W170" s="151" t="s">
        <v>147</v>
      </c>
      <c r="X170" s="150" t="s">
        <v>1174</v>
      </c>
      <c r="Y170" s="150" t="s">
        <v>1660</v>
      </c>
      <c r="Z170" s="150">
        <v>1.0</v>
      </c>
    </row>
    <row r="171">
      <c r="A171" s="152">
        <f>IFERROR(__xludf.DUMMYFUNCTION("query(Y:Z,""select Z Where Y ='""&amp;H171&amp;""'"",0)"),8.0)</f>
        <v>8</v>
      </c>
      <c r="B171" s="29" t="s">
        <v>1030</v>
      </c>
      <c r="C171" s="164" t="s">
        <v>1044</v>
      </c>
      <c r="D171" s="156" t="s">
        <v>102</v>
      </c>
      <c r="E171" s="33" t="s">
        <v>1025</v>
      </c>
      <c r="F171" s="157" t="s">
        <v>1381</v>
      </c>
      <c r="G171" s="33" t="s">
        <v>1382</v>
      </c>
      <c r="H171" s="90" t="s">
        <v>613</v>
      </c>
      <c r="I171" s="33" t="s">
        <v>1670</v>
      </c>
      <c r="W171" s="151" t="s">
        <v>125</v>
      </c>
      <c r="X171" s="150" t="s">
        <v>1095</v>
      </c>
      <c r="Y171" s="150" t="s">
        <v>971</v>
      </c>
      <c r="Z171" s="150">
        <v>4.0</v>
      </c>
    </row>
    <row r="172">
      <c r="A172" s="152">
        <f>IFERROR(__xludf.DUMMYFUNCTION("query(Y:Z,""select Z Where Y ='""&amp;H172&amp;""'"",0)"),8.0)</f>
        <v>8</v>
      </c>
      <c r="B172" s="29" t="s">
        <v>1030</v>
      </c>
      <c r="C172" s="164" t="s">
        <v>1044</v>
      </c>
      <c r="D172" s="156" t="s">
        <v>102</v>
      </c>
      <c r="E172" s="33" t="s">
        <v>1025</v>
      </c>
      <c r="F172" s="157" t="s">
        <v>1186</v>
      </c>
      <c r="G172" s="33" t="s">
        <v>1187</v>
      </c>
      <c r="H172" s="90" t="s">
        <v>752</v>
      </c>
      <c r="I172" s="33" t="s">
        <v>1682</v>
      </c>
      <c r="W172" s="151" t="s">
        <v>46</v>
      </c>
      <c r="X172" s="150" t="s">
        <v>1039</v>
      </c>
      <c r="Y172" s="150" t="s">
        <v>909</v>
      </c>
      <c r="Z172" s="150">
        <v>7.0</v>
      </c>
    </row>
    <row r="173">
      <c r="A173" s="152">
        <f>IFERROR(__xludf.DUMMYFUNCTION("query(Y:Z,""select Z Where Y ='""&amp;H173&amp;""'"",0)"),9.0)</f>
        <v>9</v>
      </c>
      <c r="B173" s="29" t="s">
        <v>1030</v>
      </c>
      <c r="C173" s="8" t="s">
        <v>1031</v>
      </c>
      <c r="D173" s="156" t="s">
        <v>43</v>
      </c>
      <c r="E173" s="33" t="s">
        <v>1025</v>
      </c>
      <c r="F173" s="157" t="s">
        <v>1331</v>
      </c>
      <c r="G173" s="33" t="s">
        <v>1332</v>
      </c>
      <c r="H173" s="90" t="s">
        <v>943</v>
      </c>
      <c r="I173" s="33" t="s">
        <v>1409</v>
      </c>
      <c r="W173" s="151" t="s">
        <v>108</v>
      </c>
      <c r="X173" s="150" t="s">
        <v>1041</v>
      </c>
      <c r="Y173" s="150" t="s">
        <v>657</v>
      </c>
      <c r="Z173" s="150">
        <v>9.0</v>
      </c>
    </row>
    <row r="174">
      <c r="A174" s="152">
        <f>IFERROR(__xludf.DUMMYFUNCTION("query(Y:Z,""select Z Where Y ='""&amp;H174&amp;""'"",0)"),9.0)</f>
        <v>9</v>
      </c>
      <c r="B174" s="29" t="s">
        <v>1030</v>
      </c>
      <c r="C174" s="8" t="s">
        <v>1031</v>
      </c>
      <c r="D174" s="156" t="s">
        <v>43</v>
      </c>
      <c r="E174" s="33" t="s">
        <v>1025</v>
      </c>
      <c r="F174" s="157" t="s">
        <v>1331</v>
      </c>
      <c r="G174" s="33" t="s">
        <v>1332</v>
      </c>
      <c r="H174" s="90" t="s">
        <v>571</v>
      </c>
      <c r="I174" s="33" t="s">
        <v>1410</v>
      </c>
      <c r="W174" s="151" t="s">
        <v>108</v>
      </c>
      <c r="X174" s="150" t="s">
        <v>1041</v>
      </c>
      <c r="Y174" s="150" t="s">
        <v>702</v>
      </c>
      <c r="Z174" s="150">
        <v>14.0</v>
      </c>
    </row>
    <row r="175">
      <c r="A175" s="152">
        <f>IFERROR(__xludf.DUMMYFUNCTION("query(Y:Z,""select Z Where Y ='""&amp;H175&amp;""'"",0)"),9.0)</f>
        <v>9</v>
      </c>
      <c r="B175" s="29" t="s">
        <v>1030</v>
      </c>
      <c r="C175" s="164" t="s">
        <v>1044</v>
      </c>
      <c r="D175" s="156" t="s">
        <v>50</v>
      </c>
      <c r="E175" s="33" t="s">
        <v>1025</v>
      </c>
      <c r="F175" s="157" t="s">
        <v>1061</v>
      </c>
      <c r="G175" s="33" t="s">
        <v>1062</v>
      </c>
      <c r="H175" s="90" t="s">
        <v>965</v>
      </c>
      <c r="I175" s="33" t="s">
        <v>1117</v>
      </c>
      <c r="W175" s="149" t="s">
        <v>504</v>
      </c>
      <c r="X175" s="150" t="s">
        <v>1065</v>
      </c>
      <c r="Y175" s="150" t="s">
        <v>552</v>
      </c>
      <c r="Z175" s="150">
        <v>5.0</v>
      </c>
    </row>
    <row r="176">
      <c r="A176" s="152">
        <f>IFERROR(__xludf.DUMMYFUNCTION("query(Y:Z,""select Z Where Y ='""&amp;H176&amp;""'"",0)"),9.0)</f>
        <v>9</v>
      </c>
      <c r="B176" s="29" t="s">
        <v>1030</v>
      </c>
      <c r="C176" s="164" t="s">
        <v>1044</v>
      </c>
      <c r="D176" s="156" t="s">
        <v>53</v>
      </c>
      <c r="E176" s="33" t="s">
        <v>1025</v>
      </c>
      <c r="F176" s="157" t="s">
        <v>1118</v>
      </c>
      <c r="G176" s="33" t="s">
        <v>1119</v>
      </c>
      <c r="H176" s="90" t="s">
        <v>911</v>
      </c>
      <c r="I176" s="33" t="s">
        <v>1371</v>
      </c>
      <c r="W176" s="149" t="s">
        <v>504</v>
      </c>
      <c r="X176" s="150" t="s">
        <v>1121</v>
      </c>
      <c r="Y176" s="150" t="s">
        <v>675</v>
      </c>
      <c r="Z176" s="150">
        <v>2.0</v>
      </c>
    </row>
    <row r="177">
      <c r="A177" s="152">
        <f>IFERROR(__xludf.DUMMYFUNCTION("query(Y:Z,""select Z Where Y ='""&amp;H177&amp;""'"",0)"),9.0)</f>
        <v>9</v>
      </c>
      <c r="B177" s="29" t="s">
        <v>1030</v>
      </c>
      <c r="C177" s="164" t="s">
        <v>1044</v>
      </c>
      <c r="D177" s="156" t="s">
        <v>108</v>
      </c>
      <c r="E177" s="33" t="s">
        <v>1025</v>
      </c>
      <c r="F177" s="157" t="s">
        <v>1041</v>
      </c>
      <c r="G177" s="33" t="s">
        <v>1512</v>
      </c>
      <c r="H177" s="90" t="s">
        <v>657</v>
      </c>
      <c r="I177" s="33" t="s">
        <v>1514</v>
      </c>
      <c r="W177" s="151" t="s">
        <v>78</v>
      </c>
      <c r="X177" s="150" t="s">
        <v>1245</v>
      </c>
      <c r="Y177" s="150" t="s">
        <v>611</v>
      </c>
      <c r="Z177" s="150">
        <v>31.0</v>
      </c>
    </row>
    <row r="178">
      <c r="A178" s="152">
        <f>IFERROR(__xludf.DUMMYFUNCTION("query(Y:Z,""select Z Where Y ='""&amp;H178&amp;""'"",0)"),9.0)</f>
        <v>9</v>
      </c>
      <c r="B178" s="29" t="s">
        <v>1030</v>
      </c>
      <c r="C178" s="164" t="s">
        <v>1044</v>
      </c>
      <c r="D178" s="156" t="s">
        <v>57</v>
      </c>
      <c r="E178" s="33" t="s">
        <v>1025</v>
      </c>
      <c r="F178" s="157" t="s">
        <v>1122</v>
      </c>
      <c r="G178" s="33" t="s">
        <v>1123</v>
      </c>
      <c r="H178" s="90" t="s">
        <v>955</v>
      </c>
      <c r="I178" s="33" t="s">
        <v>1633</v>
      </c>
      <c r="W178" s="151" t="s">
        <v>182</v>
      </c>
      <c r="X178" s="150" t="s">
        <v>1214</v>
      </c>
      <c r="Y178" s="150" t="s">
        <v>1010</v>
      </c>
      <c r="Z178" s="150">
        <v>1.0</v>
      </c>
    </row>
    <row r="179">
      <c r="A179" s="152">
        <f>IFERROR(__xludf.DUMMYFUNCTION("query(Y:Z,""select Z Where Y ='""&amp;H179&amp;""'"",0)"),9.0)</f>
        <v>9</v>
      </c>
      <c r="B179" s="29" t="s">
        <v>1030</v>
      </c>
      <c r="C179" s="164" t="s">
        <v>1044</v>
      </c>
      <c r="D179" s="156" t="s">
        <v>169</v>
      </c>
      <c r="E179" s="33" t="s">
        <v>1025</v>
      </c>
      <c r="F179" s="157" t="s">
        <v>1482</v>
      </c>
      <c r="G179" s="33" t="s">
        <v>1483</v>
      </c>
      <c r="H179" s="90" t="s">
        <v>913</v>
      </c>
      <c r="I179" s="33" t="s">
        <v>1756</v>
      </c>
      <c r="W179" s="149" t="s">
        <v>504</v>
      </c>
      <c r="X179" s="150" t="s">
        <v>1200</v>
      </c>
      <c r="Y179" s="150" t="s">
        <v>630</v>
      </c>
      <c r="Z179" s="150">
        <v>1.0</v>
      </c>
    </row>
    <row r="180">
      <c r="A180" s="152">
        <f>IFERROR(__xludf.DUMMYFUNCTION("query(Y:Z,""select Z Where Y ='""&amp;H180&amp;""'"",0)"),9.0)</f>
        <v>9</v>
      </c>
      <c r="B180" s="29" t="s">
        <v>1030</v>
      </c>
      <c r="C180" s="164" t="s">
        <v>1044</v>
      </c>
      <c r="D180" s="156" t="s">
        <v>159</v>
      </c>
      <c r="E180" s="33" t="s">
        <v>1025</v>
      </c>
      <c r="F180" s="157" t="s">
        <v>1637</v>
      </c>
      <c r="G180" s="33" t="s">
        <v>1639</v>
      </c>
      <c r="H180" s="90" t="s">
        <v>660</v>
      </c>
      <c r="I180" s="33" t="s">
        <v>1767</v>
      </c>
      <c r="W180" s="151" t="s">
        <v>1031</v>
      </c>
      <c r="X180" s="150" t="s">
        <v>1200</v>
      </c>
      <c r="Y180" s="150" t="s">
        <v>630</v>
      </c>
      <c r="Z180" s="150">
        <v>1.0</v>
      </c>
    </row>
    <row r="181">
      <c r="A181" s="152">
        <f>IFERROR(__xludf.DUMMYFUNCTION("query(Y:Z,""select Z Where Y ='""&amp;H181&amp;""'"",0)"),9.0)</f>
        <v>9</v>
      </c>
      <c r="B181" s="29" t="s">
        <v>1030</v>
      </c>
      <c r="C181" s="164" t="s">
        <v>1044</v>
      </c>
      <c r="D181" s="156" t="s">
        <v>78</v>
      </c>
      <c r="E181" s="33" t="s">
        <v>1025</v>
      </c>
      <c r="F181" s="157" t="s">
        <v>1074</v>
      </c>
      <c r="G181" s="33" t="s">
        <v>1315</v>
      </c>
      <c r="H181" s="90" t="s">
        <v>875</v>
      </c>
      <c r="I181" s="33" t="s">
        <v>1779</v>
      </c>
      <c r="W181" s="151" t="s">
        <v>125</v>
      </c>
      <c r="X181" s="150" t="s">
        <v>1103</v>
      </c>
      <c r="Y181" s="150" t="s">
        <v>935</v>
      </c>
      <c r="Z181" s="150">
        <v>12.0</v>
      </c>
    </row>
    <row r="182">
      <c r="A182" s="152">
        <f>IFERROR(__xludf.DUMMYFUNCTION("query(Y:Z,""select Z Where Y ='""&amp;H182&amp;""'"",0)"),9.0)</f>
        <v>9</v>
      </c>
      <c r="B182" s="29" t="s">
        <v>1030</v>
      </c>
      <c r="C182" s="164" t="s">
        <v>1044</v>
      </c>
      <c r="D182" s="156" t="s">
        <v>78</v>
      </c>
      <c r="E182" s="33" t="s">
        <v>1025</v>
      </c>
      <c r="F182" s="157" t="s">
        <v>1376</v>
      </c>
      <c r="G182" s="33" t="s">
        <v>1377</v>
      </c>
      <c r="H182" s="90" t="s">
        <v>805</v>
      </c>
      <c r="I182" s="33" t="s">
        <v>1790</v>
      </c>
      <c r="W182" s="149" t="s">
        <v>504</v>
      </c>
      <c r="X182" s="150" t="s">
        <v>1174</v>
      </c>
      <c r="Y182" s="150" t="s">
        <v>781</v>
      </c>
      <c r="Z182" s="150">
        <v>1.0</v>
      </c>
    </row>
    <row r="183">
      <c r="A183" s="152">
        <f>IFERROR(__xludf.DUMMYFUNCTION("query(Y:Z,""select Z Where Y ='""&amp;H183&amp;""'"",0)"),9.0)</f>
        <v>9</v>
      </c>
      <c r="B183" s="29" t="s">
        <v>1030</v>
      </c>
      <c r="C183" s="164" t="s">
        <v>1044</v>
      </c>
      <c r="D183" s="156" t="s">
        <v>102</v>
      </c>
      <c r="E183" s="33" t="s">
        <v>1025</v>
      </c>
      <c r="F183" s="157" t="s">
        <v>1381</v>
      </c>
      <c r="G183" s="33" t="s">
        <v>1382</v>
      </c>
      <c r="H183" s="90" t="s">
        <v>846</v>
      </c>
      <c r="I183" s="33" t="s">
        <v>1802</v>
      </c>
      <c r="W183" s="151" t="s">
        <v>125</v>
      </c>
      <c r="X183" s="150" t="s">
        <v>1095</v>
      </c>
      <c r="Y183" s="150" t="s">
        <v>743</v>
      </c>
      <c r="Z183" s="150">
        <v>6.0</v>
      </c>
    </row>
    <row r="184">
      <c r="A184" s="152">
        <f>IFERROR(__xludf.DUMMYFUNCTION("query(Y:Z,""select Z Where Y ='""&amp;H184&amp;""'"",0)"),9.0)</f>
        <v>9</v>
      </c>
      <c r="B184" s="29" t="s">
        <v>1030</v>
      </c>
      <c r="C184" s="164" t="s">
        <v>1044</v>
      </c>
      <c r="D184" s="156" t="s">
        <v>102</v>
      </c>
      <c r="E184" s="33" t="s">
        <v>1025</v>
      </c>
      <c r="F184" s="157" t="s">
        <v>1186</v>
      </c>
      <c r="G184" s="33" t="s">
        <v>1187</v>
      </c>
      <c r="H184" s="90" t="s">
        <v>936</v>
      </c>
      <c r="I184" s="33" t="s">
        <v>1813</v>
      </c>
      <c r="W184" s="149" t="s">
        <v>504</v>
      </c>
      <c r="X184" s="150" t="s">
        <v>1039</v>
      </c>
      <c r="Y184" s="150" t="s">
        <v>606</v>
      </c>
      <c r="Z184" s="150">
        <v>5.0</v>
      </c>
    </row>
    <row r="185">
      <c r="A185" s="152">
        <f>IFERROR(__xludf.DUMMYFUNCTION("query(Y:Z,""select Z Where Y ='""&amp;H185&amp;""'"",0)"),10.0)</f>
        <v>10</v>
      </c>
      <c r="B185" s="29" t="s">
        <v>1030</v>
      </c>
      <c r="C185" s="8" t="s">
        <v>1031</v>
      </c>
      <c r="D185" s="156" t="s">
        <v>108</v>
      </c>
      <c r="E185" s="33" t="s">
        <v>1025</v>
      </c>
      <c r="F185" s="157" t="s">
        <v>1447</v>
      </c>
      <c r="G185" s="33" t="s">
        <v>1448</v>
      </c>
      <c r="H185" s="90" t="s">
        <v>1005</v>
      </c>
      <c r="I185" s="33" t="s">
        <v>1449</v>
      </c>
      <c r="W185" s="151" t="s">
        <v>108</v>
      </c>
      <c r="X185" s="150" t="s">
        <v>1041</v>
      </c>
      <c r="Y185" s="150" t="s">
        <v>694</v>
      </c>
      <c r="Z185" s="150">
        <v>35.0</v>
      </c>
    </row>
    <row r="186">
      <c r="A186" s="152">
        <f>IFERROR(__xludf.DUMMYFUNCTION("query(Y:Z,""select Z Where Y ='""&amp;H186&amp;""'"",0)"),10.0)</f>
        <v>10</v>
      </c>
      <c r="B186" s="29" t="s">
        <v>1030</v>
      </c>
      <c r="C186" s="164" t="s">
        <v>1044</v>
      </c>
      <c r="D186" s="156" t="s">
        <v>53</v>
      </c>
      <c r="E186" s="33" t="s">
        <v>1025</v>
      </c>
      <c r="F186" s="157" t="s">
        <v>1070</v>
      </c>
      <c r="G186" s="33" t="s">
        <v>1071</v>
      </c>
      <c r="H186" s="90" t="s">
        <v>710</v>
      </c>
      <c r="I186" s="33" t="s">
        <v>1242</v>
      </c>
      <c r="W186" s="151" t="s">
        <v>96</v>
      </c>
      <c r="X186" s="150" t="s">
        <v>1220</v>
      </c>
      <c r="Y186" s="150" t="s">
        <v>718</v>
      </c>
      <c r="Z186" s="150">
        <v>11.0</v>
      </c>
    </row>
    <row r="187">
      <c r="A187" s="152">
        <f>IFERROR(__xludf.DUMMYFUNCTION("query(Y:Z,""select Z Where Y ='""&amp;H187&amp;""'"",0)"),10.0)</f>
        <v>10</v>
      </c>
      <c r="B187" s="29" t="s">
        <v>1030</v>
      </c>
      <c r="C187" s="164" t="s">
        <v>1044</v>
      </c>
      <c r="D187" s="156" t="s">
        <v>53</v>
      </c>
      <c r="E187" s="33" t="s">
        <v>1025</v>
      </c>
      <c r="F187" s="157" t="s">
        <v>1083</v>
      </c>
      <c r="G187" s="33" t="s">
        <v>1084</v>
      </c>
      <c r="H187" s="90" t="s">
        <v>1002</v>
      </c>
      <c r="I187" s="33" t="s">
        <v>1251</v>
      </c>
      <c r="W187" s="151" t="s">
        <v>96</v>
      </c>
      <c r="X187" s="150" t="s">
        <v>1220</v>
      </c>
      <c r="Y187" s="150" t="s">
        <v>881</v>
      </c>
      <c r="Z187" s="150">
        <v>2.0</v>
      </c>
    </row>
    <row r="188">
      <c r="A188" s="152">
        <f>IFERROR(__xludf.DUMMYFUNCTION("query(Y:Z,""select Z Where Y ='""&amp;H188&amp;""'"",0)"),10.0)</f>
        <v>10</v>
      </c>
      <c r="B188" s="29" t="s">
        <v>1030</v>
      </c>
      <c r="C188" s="164" t="s">
        <v>1044</v>
      </c>
      <c r="D188" s="156" t="s">
        <v>53</v>
      </c>
      <c r="E188" s="33" t="s">
        <v>1025</v>
      </c>
      <c r="F188" s="157" t="s">
        <v>1095</v>
      </c>
      <c r="G188" s="33" t="s">
        <v>1096</v>
      </c>
      <c r="H188" s="90" t="s">
        <v>751</v>
      </c>
      <c r="I188" s="33" t="s">
        <v>1312</v>
      </c>
      <c r="W188" s="151" t="s">
        <v>50</v>
      </c>
      <c r="X188" s="150" t="s">
        <v>1067</v>
      </c>
      <c r="Y188" s="150" t="s">
        <v>1075</v>
      </c>
      <c r="Z188" s="150">
        <v>16.0</v>
      </c>
    </row>
    <row r="189">
      <c r="A189" s="152">
        <f>IFERROR(__xludf.DUMMYFUNCTION("query(Y:Z,""select Z Where Y ='""&amp;H189&amp;""'"",0)"),10.0)</f>
        <v>10</v>
      </c>
      <c r="B189" s="29" t="s">
        <v>1030</v>
      </c>
      <c r="C189" s="164" t="s">
        <v>1044</v>
      </c>
      <c r="D189" s="156" t="s">
        <v>53</v>
      </c>
      <c r="E189" s="33" t="s">
        <v>1025</v>
      </c>
      <c r="F189" s="157" t="s">
        <v>1109</v>
      </c>
      <c r="G189" s="33" t="s">
        <v>1110</v>
      </c>
      <c r="H189" s="90" t="s">
        <v>587</v>
      </c>
      <c r="I189" s="33" t="s">
        <v>1353</v>
      </c>
      <c r="W189" s="151" t="s">
        <v>506</v>
      </c>
      <c r="X189" s="150" t="s">
        <v>182</v>
      </c>
      <c r="Y189" s="150" t="s">
        <v>506</v>
      </c>
      <c r="Z189" s="150">
        <v>1.0</v>
      </c>
    </row>
    <row r="190">
      <c r="A190" s="152">
        <f>IFERROR(__xludf.DUMMYFUNCTION("query(Y:Z,""select Z Where Y ='""&amp;H190&amp;""'"",0)"),10.0)</f>
        <v>10</v>
      </c>
      <c r="B190" s="29" t="s">
        <v>1030</v>
      </c>
      <c r="C190" s="164" t="s">
        <v>1044</v>
      </c>
      <c r="D190" s="156" t="s">
        <v>53</v>
      </c>
      <c r="E190" s="33" t="s">
        <v>1025</v>
      </c>
      <c r="F190" s="157" t="s">
        <v>1118</v>
      </c>
      <c r="G190" s="33" t="s">
        <v>1119</v>
      </c>
      <c r="H190" s="90" t="s">
        <v>976</v>
      </c>
      <c r="I190" s="33" t="s">
        <v>1365</v>
      </c>
      <c r="W190" s="151" t="s">
        <v>57</v>
      </c>
      <c r="X190" s="150" t="s">
        <v>1291</v>
      </c>
      <c r="Y190" s="150" t="s">
        <v>668</v>
      </c>
      <c r="Z190" s="150">
        <v>54.0</v>
      </c>
    </row>
    <row r="191">
      <c r="A191" s="152">
        <f>IFERROR(__xludf.DUMMYFUNCTION("query(Y:Z,""select Z Where Y ='""&amp;H191&amp;""'"",0)"),10.0)</f>
        <v>10</v>
      </c>
      <c r="B191" s="29" t="s">
        <v>1030</v>
      </c>
      <c r="C191" s="164" t="s">
        <v>1044</v>
      </c>
      <c r="D191" s="156" t="s">
        <v>108</v>
      </c>
      <c r="E191" s="33" t="s">
        <v>1025</v>
      </c>
      <c r="F191" s="157" t="s">
        <v>1041</v>
      </c>
      <c r="G191" s="33" t="s">
        <v>1512</v>
      </c>
      <c r="H191" s="90" t="s">
        <v>1011</v>
      </c>
      <c r="I191" s="33" t="s">
        <v>1522</v>
      </c>
      <c r="W191" s="151" t="s">
        <v>108</v>
      </c>
      <c r="X191" s="150" t="s">
        <v>1415</v>
      </c>
      <c r="Y191" s="150" t="s">
        <v>640</v>
      </c>
      <c r="Z191" s="150">
        <v>243.0</v>
      </c>
    </row>
    <row r="192">
      <c r="A192" s="152">
        <f>IFERROR(__xludf.DUMMYFUNCTION("query(Y:Z,""select Z Where Y ='""&amp;H192&amp;""'"",0)"),10.0)</f>
        <v>10</v>
      </c>
      <c r="B192" s="29" t="s">
        <v>1030</v>
      </c>
      <c r="C192" s="164" t="s">
        <v>1044</v>
      </c>
      <c r="D192" s="156" t="s">
        <v>57</v>
      </c>
      <c r="E192" s="33" t="s">
        <v>1025</v>
      </c>
      <c r="F192" s="157" t="s">
        <v>1122</v>
      </c>
      <c r="G192" s="33" t="s">
        <v>1123</v>
      </c>
      <c r="H192" s="90" t="s">
        <v>798</v>
      </c>
      <c r="I192" s="33" t="s">
        <v>1598</v>
      </c>
      <c r="W192" s="151" t="s">
        <v>96</v>
      </c>
      <c r="X192" s="150" t="s">
        <v>1126</v>
      </c>
      <c r="Y192" s="150" t="s">
        <v>527</v>
      </c>
      <c r="Z192" s="150">
        <v>146.0</v>
      </c>
    </row>
    <row r="193">
      <c r="A193" s="152">
        <f>IFERROR(__xludf.DUMMYFUNCTION("query(Y:Z,""select Z Where Y ='""&amp;H193&amp;""'"",0)"),10.0)</f>
        <v>10</v>
      </c>
      <c r="B193" s="29" t="s">
        <v>1030</v>
      </c>
      <c r="C193" s="164" t="s">
        <v>1044</v>
      </c>
      <c r="D193" s="156" t="s">
        <v>57</v>
      </c>
      <c r="E193" s="33" t="s">
        <v>1025</v>
      </c>
      <c r="F193" s="157" t="s">
        <v>1291</v>
      </c>
      <c r="G193" s="33" t="s">
        <v>1420</v>
      </c>
      <c r="H193" s="90" t="s">
        <v>989</v>
      </c>
      <c r="I193" s="33" t="s">
        <v>1683</v>
      </c>
      <c r="W193" s="151" t="s">
        <v>182</v>
      </c>
      <c r="X193" s="150" t="s">
        <v>1422</v>
      </c>
      <c r="Y193" s="150" t="s">
        <v>1913</v>
      </c>
      <c r="Z193" s="150">
        <v>1.0</v>
      </c>
    </row>
    <row r="194">
      <c r="A194" s="152">
        <f>IFERROR(__xludf.DUMMYFUNCTION("query(Y:Z,""select Z Where Y ='""&amp;H194&amp;""'"",0)"),10.0)</f>
        <v>10</v>
      </c>
      <c r="B194" s="29" t="s">
        <v>1030</v>
      </c>
      <c r="C194" s="164" t="s">
        <v>1044</v>
      </c>
      <c r="D194" s="156" t="s">
        <v>177</v>
      </c>
      <c r="E194" s="33" t="s">
        <v>1025</v>
      </c>
      <c r="F194" s="157" t="s">
        <v>1918</v>
      </c>
      <c r="G194" s="33" t="s">
        <v>1921</v>
      </c>
      <c r="H194" s="90" t="s">
        <v>996</v>
      </c>
      <c r="I194" s="33" t="s">
        <v>1923</v>
      </c>
      <c r="W194" s="151" t="s">
        <v>125</v>
      </c>
      <c r="X194" s="150" t="s">
        <v>1095</v>
      </c>
      <c r="Y194" s="150" t="s">
        <v>775</v>
      </c>
      <c r="Z194" s="150">
        <v>3.0</v>
      </c>
    </row>
    <row r="195">
      <c r="A195" s="152">
        <f>IFERROR(__xludf.DUMMYFUNCTION("query(Y:Z,""select Z Where Y ='""&amp;H195&amp;""'"",0)"),11.0)</f>
        <v>11</v>
      </c>
      <c r="B195" s="29" t="s">
        <v>1030</v>
      </c>
      <c r="C195" s="8" t="s">
        <v>1031</v>
      </c>
      <c r="D195" s="156" t="s">
        <v>43</v>
      </c>
      <c r="E195" s="33" t="s">
        <v>1025</v>
      </c>
      <c r="F195" s="157" t="s">
        <v>1036</v>
      </c>
      <c r="G195" s="33" t="s">
        <v>1037</v>
      </c>
      <c r="H195" s="90" t="s">
        <v>635</v>
      </c>
      <c r="I195" s="33" t="s">
        <v>1406</v>
      </c>
      <c r="W195" s="151" t="s">
        <v>523</v>
      </c>
      <c r="X195" s="150" t="s">
        <v>1026</v>
      </c>
      <c r="Y195" s="150" t="s">
        <v>523</v>
      </c>
      <c r="Z195" s="150">
        <v>1.0</v>
      </c>
    </row>
    <row r="196">
      <c r="A196" s="152">
        <f>IFERROR(__xludf.DUMMYFUNCTION("query(Y:Z,""select Z Where Y ='""&amp;H196&amp;""'"",0)"),11.0)</f>
        <v>11</v>
      </c>
      <c r="B196" s="29" t="s">
        <v>1030</v>
      </c>
      <c r="C196" s="8" t="s">
        <v>1031</v>
      </c>
      <c r="D196" s="156" t="s">
        <v>108</v>
      </c>
      <c r="E196" s="33" t="s">
        <v>1025</v>
      </c>
      <c r="F196" s="157" t="s">
        <v>1415</v>
      </c>
      <c r="G196" s="33" t="s">
        <v>1472</v>
      </c>
      <c r="H196" s="90" t="s">
        <v>842</v>
      </c>
      <c r="I196" s="33" t="s">
        <v>1474</v>
      </c>
      <c r="W196" s="151" t="s">
        <v>108</v>
      </c>
      <c r="X196" s="150" t="s">
        <v>1210</v>
      </c>
      <c r="Y196" s="150" t="s">
        <v>644</v>
      </c>
      <c r="Z196" s="150">
        <v>17.0</v>
      </c>
    </row>
    <row r="197">
      <c r="A197" s="152">
        <f>IFERROR(__xludf.DUMMYFUNCTION("query(Y:Z,""select Z Where Y ='""&amp;H197&amp;""'"",0)"),11.0)</f>
        <v>11</v>
      </c>
      <c r="B197" s="29" t="s">
        <v>1030</v>
      </c>
      <c r="C197" s="8" t="s">
        <v>1031</v>
      </c>
      <c r="D197" s="156" t="s">
        <v>108</v>
      </c>
      <c r="E197" s="33" t="s">
        <v>1025</v>
      </c>
      <c r="F197" s="157" t="s">
        <v>1210</v>
      </c>
      <c r="G197" s="33" t="s">
        <v>1211</v>
      </c>
      <c r="H197" s="90" t="s">
        <v>590</v>
      </c>
      <c r="I197" s="33" t="s">
        <v>1498</v>
      </c>
      <c r="W197" s="151" t="s">
        <v>182</v>
      </c>
      <c r="X197" s="150" t="s">
        <v>513</v>
      </c>
      <c r="Y197" s="150" t="s">
        <v>1214</v>
      </c>
      <c r="Z197" s="150">
        <v>2.0</v>
      </c>
    </row>
    <row r="198">
      <c r="A198" s="152">
        <f>IFERROR(__xludf.DUMMYFUNCTION("query(Y:Z,""select Z Where Y ='""&amp;H198&amp;""'"",0)"),11.0)</f>
        <v>11</v>
      </c>
      <c r="B198" s="29" t="s">
        <v>1030</v>
      </c>
      <c r="C198" s="164" t="s">
        <v>1044</v>
      </c>
      <c r="D198" s="156" t="s">
        <v>53</v>
      </c>
      <c r="E198" s="33" t="s">
        <v>1025</v>
      </c>
      <c r="F198" s="157" t="s">
        <v>1109</v>
      </c>
      <c r="G198" s="33" t="s">
        <v>1110</v>
      </c>
      <c r="H198" s="90" t="s">
        <v>987</v>
      </c>
      <c r="I198" s="33" t="s">
        <v>1347</v>
      </c>
      <c r="W198" s="151" t="s">
        <v>96</v>
      </c>
      <c r="X198" s="150" t="s">
        <v>1113</v>
      </c>
      <c r="Y198" s="150" t="s">
        <v>868</v>
      </c>
      <c r="Z198" s="150">
        <v>6.0</v>
      </c>
    </row>
    <row r="199">
      <c r="A199" s="152">
        <f>IFERROR(__xludf.DUMMYFUNCTION("query(Y:Z,""select Z Where Y ='""&amp;H199&amp;""'"",0)"),11.0)</f>
        <v>11</v>
      </c>
      <c r="B199" s="29" t="s">
        <v>1030</v>
      </c>
      <c r="C199" s="164" t="s">
        <v>1044</v>
      </c>
      <c r="D199" s="156" t="s">
        <v>57</v>
      </c>
      <c r="E199" s="33" t="s">
        <v>1025</v>
      </c>
      <c r="F199" s="157" t="s">
        <v>1254</v>
      </c>
      <c r="G199" s="33" t="s">
        <v>1255</v>
      </c>
      <c r="H199" s="90" t="s">
        <v>612</v>
      </c>
      <c r="I199" s="33" t="s">
        <v>1694</v>
      </c>
      <c r="W199" s="151" t="s">
        <v>125</v>
      </c>
      <c r="X199" s="150" t="s">
        <v>1118</v>
      </c>
      <c r="Y199" s="150" t="s">
        <v>820</v>
      </c>
      <c r="Z199" s="150">
        <v>1.0</v>
      </c>
    </row>
    <row r="200">
      <c r="A200" s="152">
        <f>IFERROR(__xludf.DUMMYFUNCTION("query(Y:Z,""select Z Where Y ='""&amp;H200&amp;""'"",0)"),11.0)</f>
        <v>11</v>
      </c>
      <c r="B200" s="29" t="s">
        <v>1030</v>
      </c>
      <c r="C200" s="164" t="s">
        <v>1044</v>
      </c>
      <c r="D200" s="156" t="s">
        <v>78</v>
      </c>
      <c r="E200" s="33" t="s">
        <v>1025</v>
      </c>
      <c r="F200" s="157" t="s">
        <v>1245</v>
      </c>
      <c r="G200" s="33" t="s">
        <v>1328</v>
      </c>
      <c r="H200" s="90" t="s">
        <v>639</v>
      </c>
      <c r="I200" s="33" t="s">
        <v>1997</v>
      </c>
      <c r="W200" s="149" t="s">
        <v>504</v>
      </c>
      <c r="X200" s="150" t="s">
        <v>1174</v>
      </c>
      <c r="Y200" s="150" t="s">
        <v>733</v>
      </c>
      <c r="Z200" s="150">
        <v>1.0</v>
      </c>
    </row>
    <row r="201">
      <c r="A201" s="152">
        <f>IFERROR(__xludf.DUMMYFUNCTION("query(Y:Z,""select Z Where Y ='""&amp;H201&amp;""'"",0)"),11.0)</f>
        <v>11</v>
      </c>
      <c r="B201" s="29" t="s">
        <v>1030</v>
      </c>
      <c r="C201" s="164" t="s">
        <v>1044</v>
      </c>
      <c r="D201" s="156" t="s">
        <v>78</v>
      </c>
      <c r="E201" s="33" t="s">
        <v>1025</v>
      </c>
      <c r="F201" s="157" t="s">
        <v>1376</v>
      </c>
      <c r="G201" s="33" t="s">
        <v>1377</v>
      </c>
      <c r="H201" s="90" t="s">
        <v>721</v>
      </c>
      <c r="I201" s="33" t="s">
        <v>2007</v>
      </c>
      <c r="W201" s="151" t="s">
        <v>147</v>
      </c>
      <c r="X201" s="150" t="s">
        <v>1174</v>
      </c>
      <c r="Y201" s="150" t="s">
        <v>901</v>
      </c>
      <c r="Z201" s="150">
        <v>99.0</v>
      </c>
    </row>
    <row r="202">
      <c r="A202" s="152">
        <f>IFERROR(__xludf.DUMMYFUNCTION("query(Y:Z,""select Z Where Y ='""&amp;H202&amp;""'"",0)"),12.0)</f>
        <v>12</v>
      </c>
      <c r="B202" s="29" t="s">
        <v>1030</v>
      </c>
      <c r="C202" s="164" t="s">
        <v>1044</v>
      </c>
      <c r="D202" s="156" t="s">
        <v>53</v>
      </c>
      <c r="E202" s="33" t="s">
        <v>1025</v>
      </c>
      <c r="F202" s="157" t="s">
        <v>1103</v>
      </c>
      <c r="G202" s="33" t="s">
        <v>1105</v>
      </c>
      <c r="H202" s="90" t="s">
        <v>935</v>
      </c>
      <c r="I202" s="33" t="s">
        <v>1327</v>
      </c>
      <c r="W202" s="151" t="s">
        <v>84</v>
      </c>
      <c r="X202" s="150" t="s">
        <v>2022</v>
      </c>
      <c r="Y202" s="150" t="s">
        <v>632</v>
      </c>
      <c r="Z202" s="150">
        <v>26.0</v>
      </c>
    </row>
    <row r="203">
      <c r="A203" s="152">
        <f>IFERROR(__xludf.DUMMYFUNCTION("query(Y:Z,""select Z Where Y ='""&amp;H203&amp;""'"",0)"),12.0)</f>
        <v>12</v>
      </c>
      <c r="B203" s="29" t="s">
        <v>1030</v>
      </c>
      <c r="C203" s="164" t="s">
        <v>1044</v>
      </c>
      <c r="D203" s="156" t="s">
        <v>108</v>
      </c>
      <c r="E203" s="33" t="s">
        <v>1025</v>
      </c>
      <c r="F203" s="157" t="s">
        <v>1041</v>
      </c>
      <c r="G203" s="33" t="s">
        <v>1512</v>
      </c>
      <c r="H203" s="90" t="s">
        <v>783</v>
      </c>
      <c r="I203" s="33" t="s">
        <v>1524</v>
      </c>
      <c r="W203" s="151" t="s">
        <v>108</v>
      </c>
      <c r="X203" s="150" t="s">
        <v>1415</v>
      </c>
      <c r="Y203" s="150" t="s">
        <v>1415</v>
      </c>
      <c r="Z203" s="150">
        <v>1.0</v>
      </c>
    </row>
    <row r="204">
      <c r="A204" s="152">
        <f>IFERROR(__xludf.DUMMYFUNCTION("query(Y:Z,""select Z Where Y ='""&amp;H204&amp;""'"",0)"),12.0)</f>
        <v>12</v>
      </c>
      <c r="B204" s="29" t="s">
        <v>1030</v>
      </c>
      <c r="C204" s="164" t="s">
        <v>1044</v>
      </c>
      <c r="D204" s="156" t="s">
        <v>57</v>
      </c>
      <c r="E204" s="33" t="s">
        <v>1025</v>
      </c>
      <c r="F204" s="157" t="s">
        <v>1122</v>
      </c>
      <c r="G204" s="33" t="s">
        <v>1123</v>
      </c>
      <c r="H204" s="90" t="s">
        <v>603</v>
      </c>
      <c r="I204" s="33" t="s">
        <v>1617</v>
      </c>
      <c r="W204" s="149" t="s">
        <v>504</v>
      </c>
      <c r="X204" s="150" t="s">
        <v>1438</v>
      </c>
      <c r="Y204" s="150" t="s">
        <v>528</v>
      </c>
      <c r="Z204" s="150">
        <v>44.0</v>
      </c>
    </row>
    <row r="205">
      <c r="A205" s="152">
        <f>IFERROR(__xludf.DUMMYFUNCTION("query(Y:Z,""select Z Where Y ='""&amp;H205&amp;""'"",0)"),12.0)</f>
        <v>12</v>
      </c>
      <c r="B205" s="29" t="s">
        <v>1030</v>
      </c>
      <c r="C205" s="164" t="s">
        <v>1044</v>
      </c>
      <c r="D205" s="156" t="s">
        <v>78</v>
      </c>
      <c r="E205" s="33" t="s">
        <v>1025</v>
      </c>
      <c r="F205" s="157" t="s">
        <v>1074</v>
      </c>
      <c r="G205" s="33" t="s">
        <v>1315</v>
      </c>
      <c r="H205" s="90" t="s">
        <v>651</v>
      </c>
      <c r="I205" s="33" t="s">
        <v>2027</v>
      </c>
      <c r="W205" s="151" t="s">
        <v>53</v>
      </c>
      <c r="X205" s="150" t="s">
        <v>1103</v>
      </c>
      <c r="Y205" s="150" t="s">
        <v>985</v>
      </c>
      <c r="Z205" s="150">
        <v>3.0</v>
      </c>
    </row>
    <row r="206">
      <c r="A206" s="152">
        <f>IFERROR(__xludf.DUMMYFUNCTION("query(Y:Z,""select Z Where Y ='""&amp;H206&amp;""'"",0)"),12.0)</f>
        <v>12</v>
      </c>
      <c r="B206" s="29" t="s">
        <v>1030</v>
      </c>
      <c r="C206" s="164" t="s">
        <v>1044</v>
      </c>
      <c r="D206" s="156" t="s">
        <v>78</v>
      </c>
      <c r="E206" s="33" t="s">
        <v>1025</v>
      </c>
      <c r="F206" s="157" t="s">
        <v>1089</v>
      </c>
      <c r="G206" s="33" t="s">
        <v>1147</v>
      </c>
      <c r="H206" s="90" t="s">
        <v>787</v>
      </c>
      <c r="I206" s="33" t="s">
        <v>2059</v>
      </c>
      <c r="W206" s="151" t="s">
        <v>125</v>
      </c>
      <c r="X206" s="150" t="s">
        <v>1109</v>
      </c>
      <c r="Y206" s="150" t="s">
        <v>689</v>
      </c>
      <c r="Z206" s="150">
        <v>6.0</v>
      </c>
    </row>
    <row r="207">
      <c r="A207" s="152">
        <f>IFERROR(__xludf.DUMMYFUNCTION("query(Y:Z,""select Z Where Y ='""&amp;H207&amp;""'"",0)"),12.0)</f>
        <v>12</v>
      </c>
      <c r="B207" s="29" t="s">
        <v>1030</v>
      </c>
      <c r="C207" s="164" t="s">
        <v>1044</v>
      </c>
      <c r="D207" s="156" t="s">
        <v>102</v>
      </c>
      <c r="E207" s="33" t="s">
        <v>1025</v>
      </c>
      <c r="F207" s="157" t="s">
        <v>1186</v>
      </c>
      <c r="G207" s="33" t="s">
        <v>1187</v>
      </c>
      <c r="H207" s="90" t="s">
        <v>676</v>
      </c>
      <c r="I207" s="33" t="s">
        <v>2071</v>
      </c>
      <c r="W207" s="151" t="s">
        <v>46</v>
      </c>
      <c r="X207" s="150" t="s">
        <v>1039</v>
      </c>
      <c r="Y207" s="150" t="s">
        <v>606</v>
      </c>
      <c r="Z207" s="150">
        <v>186.0</v>
      </c>
    </row>
    <row r="208">
      <c r="A208" s="152">
        <f>IFERROR(__xludf.DUMMYFUNCTION("query(Y:Z,""select Z Where Y ='""&amp;H208&amp;""'"",0)"),13.0)</f>
        <v>13</v>
      </c>
      <c r="B208" s="29" t="s">
        <v>1030</v>
      </c>
      <c r="C208" s="8" t="s">
        <v>1031</v>
      </c>
      <c r="D208" s="156" t="s">
        <v>50</v>
      </c>
      <c r="E208" s="33" t="s">
        <v>1025</v>
      </c>
      <c r="F208" s="157" t="s">
        <v>1067</v>
      </c>
      <c r="G208" s="33" t="s">
        <v>1068</v>
      </c>
      <c r="H208" s="90" t="s">
        <v>699</v>
      </c>
      <c r="I208" s="33" t="s">
        <v>1079</v>
      </c>
      <c r="W208" s="149" t="s">
        <v>504</v>
      </c>
      <c r="X208" s="150" t="s">
        <v>1204</v>
      </c>
      <c r="Y208" s="150" t="s">
        <v>537</v>
      </c>
      <c r="Z208" s="150">
        <v>5.0</v>
      </c>
    </row>
    <row r="209">
      <c r="A209" s="152">
        <f>IFERROR(__xludf.DUMMYFUNCTION("query(Y:Z,""select Z Where Y ='""&amp;H209&amp;""'"",0)"),13.0)</f>
        <v>13</v>
      </c>
      <c r="B209" s="29" t="s">
        <v>1030</v>
      </c>
      <c r="C209" s="8" t="s">
        <v>1031</v>
      </c>
      <c r="D209" s="156" t="s">
        <v>43</v>
      </c>
      <c r="E209" s="33" t="s">
        <v>1025</v>
      </c>
      <c r="F209" s="157" t="s">
        <v>1081</v>
      </c>
      <c r="G209" s="33" t="s">
        <v>1393</v>
      </c>
      <c r="H209" s="90" t="s">
        <v>895</v>
      </c>
      <c r="I209" s="33" t="s">
        <v>1397</v>
      </c>
      <c r="W209" s="149" t="s">
        <v>504</v>
      </c>
      <c r="X209" s="150" t="s">
        <v>1026</v>
      </c>
      <c r="Y209" s="150" t="s">
        <v>666</v>
      </c>
      <c r="Z209" s="150">
        <v>8.0</v>
      </c>
    </row>
    <row r="210">
      <c r="A210" s="152">
        <f>IFERROR(__xludf.DUMMYFUNCTION("query(Y:Z,""select Z Where Y ='""&amp;H210&amp;""'"",0)"),13.0)</f>
        <v>13</v>
      </c>
      <c r="B210" s="29" t="s">
        <v>1030</v>
      </c>
      <c r="C210" s="164" t="s">
        <v>1044</v>
      </c>
      <c r="D210" s="156" t="s">
        <v>50</v>
      </c>
      <c r="E210" s="33" t="s">
        <v>1025</v>
      </c>
      <c r="F210" s="157" t="s">
        <v>1055</v>
      </c>
      <c r="G210" s="33" t="s">
        <v>1056</v>
      </c>
      <c r="H210" s="90" t="s">
        <v>900</v>
      </c>
      <c r="I210" s="33" t="s">
        <v>1092</v>
      </c>
      <c r="W210" s="151" t="s">
        <v>177</v>
      </c>
      <c r="X210" s="150" t="s">
        <v>1046</v>
      </c>
      <c r="Y210" s="150" t="s">
        <v>648</v>
      </c>
      <c r="Z210" s="150">
        <v>18.0</v>
      </c>
    </row>
    <row r="211">
      <c r="A211" s="152">
        <f>IFERROR(__xludf.DUMMYFUNCTION("query(Y:Z,""select Z Where Y ='""&amp;H211&amp;""'"",0)"),13.0)</f>
        <v>13</v>
      </c>
      <c r="B211" s="29" t="s">
        <v>1030</v>
      </c>
      <c r="C211" s="164" t="s">
        <v>1044</v>
      </c>
      <c r="D211" s="156" t="s">
        <v>57</v>
      </c>
      <c r="E211" s="33" t="s">
        <v>1025</v>
      </c>
      <c r="F211" s="157" t="s">
        <v>1122</v>
      </c>
      <c r="G211" s="33" t="s">
        <v>1123</v>
      </c>
      <c r="H211" s="90" t="s">
        <v>972</v>
      </c>
      <c r="I211" s="33" t="s">
        <v>1609</v>
      </c>
      <c r="W211" s="149" t="s">
        <v>504</v>
      </c>
      <c r="X211" s="150" t="s">
        <v>1126</v>
      </c>
      <c r="Y211" s="150" t="s">
        <v>527</v>
      </c>
      <c r="Z211" s="150">
        <v>1.0</v>
      </c>
    </row>
    <row r="212">
      <c r="A212" s="152">
        <f>IFERROR(__xludf.DUMMYFUNCTION("query(Y:Z,""select Z Where Y ='""&amp;H212&amp;""'"",0)"),13.0)</f>
        <v>13</v>
      </c>
      <c r="B212" s="29" t="s">
        <v>1030</v>
      </c>
      <c r="C212" s="164" t="s">
        <v>1044</v>
      </c>
      <c r="D212" s="156" t="s">
        <v>159</v>
      </c>
      <c r="E212" s="33" t="s">
        <v>1025</v>
      </c>
      <c r="F212" s="157" t="s">
        <v>1637</v>
      </c>
      <c r="G212" s="33" t="s">
        <v>1639</v>
      </c>
      <c r="H212" s="90" t="s">
        <v>782</v>
      </c>
      <c r="I212" s="33" t="s">
        <v>1884</v>
      </c>
      <c r="W212" s="151" t="s">
        <v>169</v>
      </c>
      <c r="X212" s="150" t="s">
        <v>1164</v>
      </c>
      <c r="Y212" s="150" t="s">
        <v>631</v>
      </c>
      <c r="Z212" s="150">
        <v>102.0</v>
      </c>
    </row>
    <row r="213">
      <c r="A213" s="152">
        <f>IFERROR(__xludf.DUMMYFUNCTION("query(Y:Z,""select Z Where Y ='""&amp;H213&amp;""'"",0)"),13.0)</f>
        <v>13</v>
      </c>
      <c r="B213" s="29" t="s">
        <v>1030</v>
      </c>
      <c r="C213" s="164" t="s">
        <v>1044</v>
      </c>
      <c r="D213" s="156" t="s">
        <v>159</v>
      </c>
      <c r="E213" s="33" t="s">
        <v>1025</v>
      </c>
      <c r="F213" s="157" t="s">
        <v>1503</v>
      </c>
      <c r="G213" s="33" t="s">
        <v>1504</v>
      </c>
      <c r="H213" s="90" t="s">
        <v>712</v>
      </c>
      <c r="I213" s="33" t="s">
        <v>1944</v>
      </c>
      <c r="W213" s="151" t="s">
        <v>147</v>
      </c>
      <c r="X213" s="150" t="s">
        <v>1507</v>
      </c>
      <c r="Y213" s="150" t="s">
        <v>730</v>
      </c>
      <c r="Z213" s="150">
        <v>83.0</v>
      </c>
    </row>
    <row r="214">
      <c r="A214" s="152">
        <f>IFERROR(__xludf.DUMMYFUNCTION("query(Y:Z,""select Z Where Y ='""&amp;H214&amp;""'"",0)"),13.0)</f>
        <v>13</v>
      </c>
      <c r="B214" s="29" t="s">
        <v>1030</v>
      </c>
      <c r="C214" s="164" t="s">
        <v>1044</v>
      </c>
      <c r="D214" s="156" t="s">
        <v>96</v>
      </c>
      <c r="E214" s="33" t="s">
        <v>1025</v>
      </c>
      <c r="F214" s="157" t="s">
        <v>1113</v>
      </c>
      <c r="G214" s="33" t="s">
        <v>1182</v>
      </c>
      <c r="H214" s="90" t="s">
        <v>723</v>
      </c>
      <c r="I214" s="33" t="s">
        <v>2141</v>
      </c>
      <c r="W214" s="151" t="s">
        <v>125</v>
      </c>
      <c r="X214" s="150" t="s">
        <v>1095</v>
      </c>
      <c r="Y214" s="150" t="s">
        <v>772</v>
      </c>
      <c r="Z214" s="150">
        <v>3.0</v>
      </c>
    </row>
    <row r="215">
      <c r="A215" s="152">
        <f>IFERROR(__xludf.DUMMYFUNCTION("query(Y:Z,""select Z Where Y ='""&amp;H215&amp;""'"",0)"),14.0)</f>
        <v>14</v>
      </c>
      <c r="B215" s="29" t="s">
        <v>1030</v>
      </c>
      <c r="C215" s="164" t="s">
        <v>1044</v>
      </c>
      <c r="D215" s="156" t="s">
        <v>108</v>
      </c>
      <c r="E215" s="33" t="s">
        <v>1025</v>
      </c>
      <c r="F215" s="157" t="s">
        <v>1041</v>
      </c>
      <c r="G215" s="33" t="s">
        <v>1512</v>
      </c>
      <c r="H215" s="90" t="s">
        <v>702</v>
      </c>
      <c r="I215" s="33" t="s">
        <v>1518</v>
      </c>
      <c r="W215" s="151" t="s">
        <v>108</v>
      </c>
      <c r="X215" s="150" t="s">
        <v>1415</v>
      </c>
      <c r="Y215" s="150" t="s">
        <v>842</v>
      </c>
      <c r="Z215" s="150">
        <v>11.0</v>
      </c>
    </row>
    <row r="216">
      <c r="A216" s="152">
        <f>IFERROR(__xludf.DUMMYFUNCTION("query(Y:Z,""select Z Where Y ='""&amp;H216&amp;""'"",0)"),14.0)</f>
        <v>14</v>
      </c>
      <c r="B216" s="29" t="s">
        <v>1030</v>
      </c>
      <c r="C216" s="164" t="s">
        <v>1044</v>
      </c>
      <c r="D216" s="156" t="s">
        <v>159</v>
      </c>
      <c r="E216" s="33" t="s">
        <v>1025</v>
      </c>
      <c r="F216" s="157" t="s">
        <v>1427</v>
      </c>
      <c r="G216" s="33" t="s">
        <v>1428</v>
      </c>
      <c r="H216" s="90" t="s">
        <v>948</v>
      </c>
      <c r="I216" s="33" t="s">
        <v>1850</v>
      </c>
      <c r="W216" s="151" t="s">
        <v>108</v>
      </c>
      <c r="X216" s="150" t="s">
        <v>1200</v>
      </c>
      <c r="Y216" s="150" t="s">
        <v>762</v>
      </c>
      <c r="Z216" s="150">
        <v>15.0</v>
      </c>
    </row>
    <row r="217">
      <c r="A217" s="152">
        <f>IFERROR(__xludf.DUMMYFUNCTION("query(Y:Z,""select Z Where Y ='""&amp;H217&amp;""'"",0)"),14.0)</f>
        <v>14</v>
      </c>
      <c r="B217" s="29" t="s">
        <v>1030</v>
      </c>
      <c r="C217" s="164" t="s">
        <v>1044</v>
      </c>
      <c r="D217" s="156" t="s">
        <v>78</v>
      </c>
      <c r="E217" s="33" t="s">
        <v>1025</v>
      </c>
      <c r="F217" s="157" t="s">
        <v>1167</v>
      </c>
      <c r="G217" s="33" t="s">
        <v>1168</v>
      </c>
      <c r="H217" s="90" t="s">
        <v>856</v>
      </c>
      <c r="I217" s="33" t="s">
        <v>2178</v>
      </c>
      <c r="W217" s="149" t="s">
        <v>504</v>
      </c>
      <c r="X217" s="150" t="s">
        <v>1170</v>
      </c>
      <c r="Y217" s="150" t="s">
        <v>588</v>
      </c>
      <c r="Z217" s="150">
        <v>2.0</v>
      </c>
    </row>
    <row r="218">
      <c r="A218" s="152">
        <f>IFERROR(__xludf.DUMMYFUNCTION("query(Y:Z,""select Z Where Y ='""&amp;H218&amp;""'"",0)"),14.0)</f>
        <v>14</v>
      </c>
      <c r="B218" s="29" t="s">
        <v>1030</v>
      </c>
      <c r="C218" s="164" t="s">
        <v>1044</v>
      </c>
      <c r="D218" s="156" t="s">
        <v>78</v>
      </c>
      <c r="E218" s="33" t="s">
        <v>1025</v>
      </c>
      <c r="F218" s="157" t="s">
        <v>1376</v>
      </c>
      <c r="G218" s="33" t="s">
        <v>1377</v>
      </c>
      <c r="H218" s="90" t="s">
        <v>876</v>
      </c>
      <c r="I218" s="33" t="s">
        <v>2188</v>
      </c>
      <c r="W218" s="151" t="s">
        <v>147</v>
      </c>
      <c r="X218" s="150" t="s">
        <v>1174</v>
      </c>
      <c r="Y218" s="150" t="s">
        <v>545</v>
      </c>
      <c r="Z218" s="150">
        <v>170.0</v>
      </c>
    </row>
    <row r="219">
      <c r="A219" s="152">
        <f>IFERROR(__xludf.DUMMYFUNCTION("query(Y:Z,""select Z Where Y ='""&amp;H219&amp;""'"",0)"),14.0)</f>
        <v>14</v>
      </c>
      <c r="B219" s="29" t="s">
        <v>1030</v>
      </c>
      <c r="C219" s="164" t="s">
        <v>1044</v>
      </c>
      <c r="D219" s="156" t="s">
        <v>102</v>
      </c>
      <c r="E219" s="33" t="s">
        <v>1025</v>
      </c>
      <c r="F219" s="157" t="s">
        <v>1186</v>
      </c>
      <c r="G219" s="33" t="s">
        <v>1187</v>
      </c>
      <c r="H219" s="90" t="s">
        <v>830</v>
      </c>
      <c r="I219" s="33" t="s">
        <v>2198</v>
      </c>
      <c r="W219" s="151" t="s">
        <v>46</v>
      </c>
      <c r="X219" s="150" t="s">
        <v>1039</v>
      </c>
      <c r="Y219" s="150" t="s">
        <v>2201</v>
      </c>
      <c r="Z219" s="150">
        <v>1.0</v>
      </c>
    </row>
    <row r="220">
      <c r="A220" s="152">
        <f>IFERROR(__xludf.DUMMYFUNCTION("query(Y:Z,""select Z Where Y ='""&amp;H220&amp;""'"",0)"),15.0)</f>
        <v>15</v>
      </c>
      <c r="B220" s="29" t="s">
        <v>1030</v>
      </c>
      <c r="C220" s="8" t="s">
        <v>1031</v>
      </c>
      <c r="D220" s="156" t="s">
        <v>108</v>
      </c>
      <c r="E220" s="33" t="s">
        <v>1025</v>
      </c>
      <c r="F220" s="157" t="s">
        <v>1200</v>
      </c>
      <c r="G220" s="33" t="s">
        <v>1201</v>
      </c>
      <c r="H220" s="90" t="s">
        <v>762</v>
      </c>
      <c r="I220" s="33" t="s">
        <v>1469</v>
      </c>
      <c r="W220" s="149" t="s">
        <v>504</v>
      </c>
      <c r="X220" s="150" t="s">
        <v>1210</v>
      </c>
      <c r="Y220" s="150" t="s">
        <v>951</v>
      </c>
      <c r="Z220" s="150">
        <v>1.0</v>
      </c>
    </row>
    <row r="221">
      <c r="A221" s="152">
        <f>IFERROR(__xludf.DUMMYFUNCTION("query(Y:Z,""select Z Where Y ='""&amp;H221&amp;""'"",0)"),15.0)</f>
        <v>15</v>
      </c>
      <c r="B221" s="29" t="s">
        <v>1030</v>
      </c>
      <c r="C221" s="164" t="s">
        <v>1044</v>
      </c>
      <c r="D221" s="156" t="s">
        <v>53</v>
      </c>
      <c r="E221" s="33" t="s">
        <v>1025</v>
      </c>
      <c r="F221" s="157" t="s">
        <v>1109</v>
      </c>
      <c r="G221" s="33" t="s">
        <v>1110</v>
      </c>
      <c r="H221" s="90" t="s">
        <v>1013</v>
      </c>
      <c r="I221" s="33" t="s">
        <v>1346</v>
      </c>
      <c r="W221" s="151" t="s">
        <v>96</v>
      </c>
      <c r="X221" s="150" t="s">
        <v>1113</v>
      </c>
      <c r="Y221" s="150" t="s">
        <v>531</v>
      </c>
      <c r="Z221" s="150">
        <v>171.0</v>
      </c>
    </row>
    <row r="222">
      <c r="A222" s="152">
        <f>IFERROR(__xludf.DUMMYFUNCTION("query(Y:Z,""select Z Where Y ='""&amp;H222&amp;""'"",0)"),15.0)</f>
        <v>15</v>
      </c>
      <c r="B222" s="29" t="s">
        <v>1030</v>
      </c>
      <c r="C222" s="164" t="s">
        <v>1044</v>
      </c>
      <c r="D222" s="156" t="s">
        <v>78</v>
      </c>
      <c r="E222" s="33" t="s">
        <v>1025</v>
      </c>
      <c r="F222" s="157" t="s">
        <v>1143</v>
      </c>
      <c r="G222" s="33" t="s">
        <v>1144</v>
      </c>
      <c r="H222" s="90" t="s">
        <v>715</v>
      </c>
      <c r="I222" s="33" t="s">
        <v>2116</v>
      </c>
      <c r="W222" s="149" t="s">
        <v>504</v>
      </c>
      <c r="X222" s="150" t="s">
        <v>1266</v>
      </c>
      <c r="Y222" s="150" t="s">
        <v>551</v>
      </c>
      <c r="Z222" s="150">
        <v>1.0</v>
      </c>
    </row>
    <row r="223">
      <c r="A223" s="152">
        <f>IFERROR(__xludf.DUMMYFUNCTION("query(Y:Z,""select Z Where Y ='""&amp;H223&amp;""'"",0)"),15.0)</f>
        <v>15</v>
      </c>
      <c r="B223" s="29" t="s">
        <v>1030</v>
      </c>
      <c r="C223" s="164" t="s">
        <v>1044</v>
      </c>
      <c r="D223" s="156" t="s">
        <v>177</v>
      </c>
      <c r="E223" s="33" t="s">
        <v>1025</v>
      </c>
      <c r="F223" s="157" t="s">
        <v>1046</v>
      </c>
      <c r="G223" s="33" t="s">
        <v>2239</v>
      </c>
      <c r="H223" s="90" t="s">
        <v>957</v>
      </c>
      <c r="I223" s="33" t="s">
        <v>2241</v>
      </c>
      <c r="W223" s="151" t="s">
        <v>182</v>
      </c>
      <c r="X223" s="150" t="s">
        <v>2243</v>
      </c>
      <c r="Y223" s="150" t="s">
        <v>828</v>
      </c>
      <c r="Z223" s="150">
        <v>1.0</v>
      </c>
    </row>
    <row r="224">
      <c r="A224" s="152">
        <f>IFERROR(__xludf.DUMMYFUNCTION("query(Y:Z,""select Z Where Y ='""&amp;H224&amp;""'"",0)"),15.0)</f>
        <v>15</v>
      </c>
      <c r="B224" s="29" t="s">
        <v>1030</v>
      </c>
      <c r="C224" s="164" t="s">
        <v>1044</v>
      </c>
      <c r="D224" s="156" t="s">
        <v>96</v>
      </c>
      <c r="E224" s="33" t="s">
        <v>1025</v>
      </c>
      <c r="F224" s="157" t="s">
        <v>1370</v>
      </c>
      <c r="G224" s="33" t="s">
        <v>1460</v>
      </c>
      <c r="H224" s="90" t="s">
        <v>629</v>
      </c>
      <c r="I224" s="33" t="s">
        <v>2252</v>
      </c>
      <c r="W224" s="151" t="s">
        <v>125</v>
      </c>
      <c r="X224" s="150" t="s">
        <v>1095</v>
      </c>
      <c r="Y224" s="150" t="s">
        <v>653</v>
      </c>
      <c r="Z224" s="150">
        <v>8.0</v>
      </c>
    </row>
    <row r="225">
      <c r="A225" s="152">
        <f>IFERROR(__xludf.DUMMYFUNCTION("query(Y:Z,""select Z Where Y ='""&amp;H225&amp;""'"",0)"),16.0)</f>
        <v>16</v>
      </c>
      <c r="B225" s="29" t="s">
        <v>1464</v>
      </c>
      <c r="C225" s="8" t="s">
        <v>1031</v>
      </c>
      <c r="D225" s="156" t="s">
        <v>50</v>
      </c>
      <c r="E225" s="33" t="s">
        <v>1025</v>
      </c>
      <c r="F225" s="157" t="s">
        <v>1067</v>
      </c>
      <c r="G225" s="33" t="s">
        <v>1068</v>
      </c>
      <c r="H225" s="90" t="s">
        <v>1075</v>
      </c>
      <c r="I225" s="33" t="s">
        <v>1076</v>
      </c>
      <c r="W225" s="151" t="s">
        <v>108</v>
      </c>
      <c r="X225" s="150" t="s">
        <v>1204</v>
      </c>
      <c r="Y225" s="150" t="s">
        <v>704</v>
      </c>
      <c r="Z225" s="150">
        <v>2.0</v>
      </c>
    </row>
    <row r="226">
      <c r="A226" s="152">
        <f>IFERROR(__xludf.DUMMYFUNCTION("query(Y:Z,""select Z Where Y ='""&amp;H226&amp;""'"",0)"),16.0)</f>
        <v>16</v>
      </c>
      <c r="B226" s="29" t="s">
        <v>1030</v>
      </c>
      <c r="C226" s="8" t="s">
        <v>1031</v>
      </c>
      <c r="D226" s="156" t="s">
        <v>108</v>
      </c>
      <c r="E226" s="33" t="s">
        <v>1025</v>
      </c>
      <c r="F226" s="157" t="s">
        <v>1208</v>
      </c>
      <c r="G226" s="33" t="s">
        <v>1295</v>
      </c>
      <c r="H226" s="90" t="s">
        <v>802</v>
      </c>
      <c r="I226" s="33" t="s">
        <v>1506</v>
      </c>
      <c r="W226" s="151" t="s">
        <v>50</v>
      </c>
      <c r="X226" s="150" t="s">
        <v>1055</v>
      </c>
      <c r="Y226" s="150" t="s">
        <v>900</v>
      </c>
      <c r="Z226" s="150">
        <v>13.0</v>
      </c>
    </row>
    <row r="227">
      <c r="A227" s="152">
        <f>IFERROR(__xludf.DUMMYFUNCTION("query(Y:Z,""select Z Where Y ='""&amp;H227&amp;""'"",0)"),16.0)</f>
        <v>16</v>
      </c>
      <c r="B227" s="29" t="s">
        <v>1030</v>
      </c>
      <c r="C227" s="164" t="s">
        <v>1031</v>
      </c>
      <c r="D227" s="156" t="s">
        <v>108</v>
      </c>
      <c r="E227" s="33" t="s">
        <v>1025</v>
      </c>
      <c r="F227" s="157" t="s">
        <v>1041</v>
      </c>
      <c r="G227" s="33" t="s">
        <v>1512</v>
      </c>
      <c r="H227" s="90" t="s">
        <v>779</v>
      </c>
      <c r="I227" s="33" t="s">
        <v>1523</v>
      </c>
      <c r="W227" s="149" t="s">
        <v>504</v>
      </c>
      <c r="X227" s="150" t="s">
        <v>1415</v>
      </c>
      <c r="Y227" s="150" t="s">
        <v>568</v>
      </c>
      <c r="Z227" s="150">
        <v>4.0</v>
      </c>
    </row>
    <row r="228">
      <c r="A228" s="152">
        <f>IFERROR(__xludf.DUMMYFUNCTION("query(Y:Z,""select Z Where Y ='""&amp;H228&amp;""'"",0)"),17.0)</f>
        <v>17</v>
      </c>
      <c r="B228" s="29" t="s">
        <v>1030</v>
      </c>
      <c r="C228" s="8" t="s">
        <v>1031</v>
      </c>
      <c r="D228" s="156" t="s">
        <v>108</v>
      </c>
      <c r="E228" s="33" t="s">
        <v>1025</v>
      </c>
      <c r="F228" s="157" t="s">
        <v>1210</v>
      </c>
      <c r="G228" s="33" t="s">
        <v>1211</v>
      </c>
      <c r="H228" s="90" t="s">
        <v>644</v>
      </c>
      <c r="I228" s="33" t="s">
        <v>1490</v>
      </c>
      <c r="W228" s="149" t="s">
        <v>504</v>
      </c>
      <c r="X228" s="150" t="s">
        <v>1208</v>
      </c>
      <c r="Y228" s="150" t="s">
        <v>685</v>
      </c>
      <c r="Z228" s="150">
        <v>1.0</v>
      </c>
    </row>
    <row r="229">
      <c r="A229" s="152">
        <f>IFERROR(__xludf.DUMMYFUNCTION("query(Y:Z,""select Z Where Y ='""&amp;H229&amp;""'"",0)"),17.0)</f>
        <v>17</v>
      </c>
      <c r="B229" s="29" t="s">
        <v>1464</v>
      </c>
      <c r="C229" s="8" t="s">
        <v>1031</v>
      </c>
      <c r="D229" s="156" t="s">
        <v>147</v>
      </c>
      <c r="E229" s="33" t="s">
        <v>1025</v>
      </c>
      <c r="F229" s="157" t="s">
        <v>1174</v>
      </c>
      <c r="G229" s="33" t="s">
        <v>1545</v>
      </c>
      <c r="H229" s="90" t="s">
        <v>680</v>
      </c>
      <c r="I229" s="33" t="s">
        <v>1549</v>
      </c>
      <c r="W229" s="151" t="s">
        <v>169</v>
      </c>
      <c r="X229" s="150" t="s">
        <v>553</v>
      </c>
      <c r="Y229" s="150" t="s">
        <v>1753</v>
      </c>
      <c r="Z229" s="150">
        <v>1.0</v>
      </c>
    </row>
    <row r="230">
      <c r="A230" s="152">
        <f>IFERROR(__xludf.DUMMYFUNCTION("query(Y:Z,""select Z Where Y ='""&amp;H230&amp;""'"",0)"),17.0)</f>
        <v>17</v>
      </c>
      <c r="B230" s="29" t="s">
        <v>1030</v>
      </c>
      <c r="C230" s="8" t="s">
        <v>1031</v>
      </c>
      <c r="D230" s="156" t="s">
        <v>147</v>
      </c>
      <c r="E230" s="33" t="s">
        <v>1025</v>
      </c>
      <c r="F230" s="157" t="s">
        <v>1575</v>
      </c>
      <c r="G230" s="33" t="s">
        <v>1576</v>
      </c>
      <c r="H230" s="90" t="s">
        <v>656</v>
      </c>
      <c r="I230" s="33" t="s">
        <v>1578</v>
      </c>
      <c r="W230" s="149" t="s">
        <v>504</v>
      </c>
      <c r="X230" s="150" t="s">
        <v>1482</v>
      </c>
      <c r="Y230" s="150" t="s">
        <v>737</v>
      </c>
      <c r="Z230" s="150">
        <v>1.0</v>
      </c>
    </row>
    <row r="231">
      <c r="A231" s="152">
        <f>IFERROR(__xludf.DUMMYFUNCTION("query(Y:Z,""select Z Where Y ='""&amp;H231&amp;""'"",0)"),17.0)</f>
        <v>17</v>
      </c>
      <c r="B231" s="29" t="s">
        <v>1030</v>
      </c>
      <c r="C231" s="164" t="s">
        <v>1044</v>
      </c>
      <c r="D231" s="156" t="s">
        <v>57</v>
      </c>
      <c r="E231" s="33" t="s">
        <v>1025</v>
      </c>
      <c r="F231" s="157" t="s">
        <v>1246</v>
      </c>
      <c r="G231" s="33" t="s">
        <v>1248</v>
      </c>
      <c r="H231" s="90" t="s">
        <v>960</v>
      </c>
      <c r="I231" s="33" t="s">
        <v>1664</v>
      </c>
      <c r="W231" s="151" t="s">
        <v>182</v>
      </c>
      <c r="X231" s="150" t="s">
        <v>1214</v>
      </c>
      <c r="Y231" s="150" t="s">
        <v>513</v>
      </c>
      <c r="Z231" s="150">
        <v>2.0</v>
      </c>
    </row>
    <row r="232">
      <c r="A232" s="152">
        <f>IFERROR(__xludf.DUMMYFUNCTION("query(Y:Z,""select Z Where Y ='""&amp;H232&amp;""'"",0)"),17.0)</f>
        <v>17</v>
      </c>
      <c r="B232" s="29" t="s">
        <v>1030</v>
      </c>
      <c r="C232" s="164" t="s">
        <v>1044</v>
      </c>
      <c r="D232" s="156" t="s">
        <v>78</v>
      </c>
      <c r="E232" s="33" t="s">
        <v>1025</v>
      </c>
      <c r="F232" s="157" t="s">
        <v>1089</v>
      </c>
      <c r="G232" s="33" t="s">
        <v>1147</v>
      </c>
      <c r="H232" s="90" t="s">
        <v>719</v>
      </c>
      <c r="I232" s="33" t="s">
        <v>2160</v>
      </c>
      <c r="W232" s="151" t="s">
        <v>53</v>
      </c>
      <c r="X232" s="150" t="s">
        <v>1109</v>
      </c>
      <c r="Y232" s="150" t="s">
        <v>813</v>
      </c>
      <c r="Z232" s="150">
        <v>1.0</v>
      </c>
    </row>
    <row r="233">
      <c r="A233" s="152">
        <f>IFERROR(__xludf.DUMMYFUNCTION("query(Y:Z,""select Z Where Y ='""&amp;H233&amp;""'"",0)"),18.0)</f>
        <v>18</v>
      </c>
      <c r="B233" s="29" t="s">
        <v>1030</v>
      </c>
      <c r="C233" s="8" t="s">
        <v>1031</v>
      </c>
      <c r="D233" s="156" t="s">
        <v>43</v>
      </c>
      <c r="E233" s="33" t="s">
        <v>1025</v>
      </c>
      <c r="F233" s="157" t="s">
        <v>1081</v>
      </c>
      <c r="G233" s="33" t="s">
        <v>1393</v>
      </c>
      <c r="H233" s="90" t="s">
        <v>671</v>
      </c>
      <c r="I233" s="33" t="s">
        <v>1394</v>
      </c>
      <c r="W233" s="151" t="s">
        <v>37</v>
      </c>
      <c r="X233" s="150" t="s">
        <v>1026</v>
      </c>
      <c r="Y233" s="150" t="s">
        <v>778</v>
      </c>
      <c r="Z233" s="150">
        <v>6.0</v>
      </c>
    </row>
    <row r="234">
      <c r="A234" s="152">
        <f>IFERROR(__xludf.DUMMYFUNCTION("query(Y:Z,""select Z Where Y ='""&amp;H234&amp;""'"",0)"),18.0)</f>
        <v>18</v>
      </c>
      <c r="B234" s="29" t="s">
        <v>1030</v>
      </c>
      <c r="C234" s="8" t="s">
        <v>1031</v>
      </c>
      <c r="D234" s="156" t="s">
        <v>108</v>
      </c>
      <c r="E234" s="33" t="s">
        <v>1025</v>
      </c>
      <c r="F234" s="157" t="s">
        <v>1192</v>
      </c>
      <c r="G234" s="33" t="s">
        <v>1485</v>
      </c>
      <c r="H234" s="90" t="s">
        <v>637</v>
      </c>
      <c r="I234" s="33" t="s">
        <v>1488</v>
      </c>
      <c r="W234" s="151" t="s">
        <v>108</v>
      </c>
      <c r="X234" s="150" t="s">
        <v>1208</v>
      </c>
      <c r="Y234" s="150" t="s">
        <v>763</v>
      </c>
      <c r="Z234" s="150">
        <v>27.0</v>
      </c>
    </row>
    <row r="235">
      <c r="A235" s="152">
        <f>IFERROR(__xludf.DUMMYFUNCTION("query(Y:Z,""select Z Where Y ='""&amp;H235&amp;""'"",0)"),18.0)</f>
        <v>18</v>
      </c>
      <c r="B235" s="29" t="s">
        <v>1030</v>
      </c>
      <c r="C235" s="164" t="s">
        <v>1044</v>
      </c>
      <c r="D235" s="156" t="s">
        <v>108</v>
      </c>
      <c r="E235" s="33" t="s">
        <v>1025</v>
      </c>
      <c r="F235" s="157" t="s">
        <v>1041</v>
      </c>
      <c r="G235" s="33" t="s">
        <v>1512</v>
      </c>
      <c r="H235" s="90" t="s">
        <v>857</v>
      </c>
      <c r="I235" s="33" t="s">
        <v>1516</v>
      </c>
      <c r="W235" s="151" t="s">
        <v>108</v>
      </c>
      <c r="X235" s="150" t="s">
        <v>1415</v>
      </c>
      <c r="Y235" s="150" t="s">
        <v>980</v>
      </c>
      <c r="Z235" s="150">
        <v>60.0</v>
      </c>
    </row>
    <row r="236">
      <c r="A236" s="152">
        <f>IFERROR(__xludf.DUMMYFUNCTION("query(Y:Z,""select Z Where Y ='""&amp;H236&amp;""'"",0)"),18.0)</f>
        <v>18</v>
      </c>
      <c r="B236" s="29" t="s">
        <v>1030</v>
      </c>
      <c r="C236" s="164" t="s">
        <v>1044</v>
      </c>
      <c r="D236" s="156" t="s">
        <v>147</v>
      </c>
      <c r="E236" s="33" t="s">
        <v>1025</v>
      </c>
      <c r="F236" s="157" t="s">
        <v>1412</v>
      </c>
      <c r="G236" s="33" t="s">
        <v>1413</v>
      </c>
      <c r="H236" s="90" t="s">
        <v>863</v>
      </c>
      <c r="I236" s="33" t="s">
        <v>1582</v>
      </c>
      <c r="W236" s="151" t="s">
        <v>108</v>
      </c>
      <c r="X236" s="150" t="s">
        <v>1415</v>
      </c>
      <c r="Y236" s="150" t="s">
        <v>809</v>
      </c>
      <c r="Z236" s="150">
        <v>8.0</v>
      </c>
    </row>
    <row r="237">
      <c r="A237" s="152">
        <f>IFERROR(__xludf.DUMMYFUNCTION("query(Y:Z,""select Z Where Y ='""&amp;H237&amp;""'"",0)"),18.0)</f>
        <v>18</v>
      </c>
      <c r="B237" s="29" t="s">
        <v>1030</v>
      </c>
      <c r="C237" s="164" t="s">
        <v>1044</v>
      </c>
      <c r="D237" s="156" t="s">
        <v>57</v>
      </c>
      <c r="E237" s="33" t="s">
        <v>1025</v>
      </c>
      <c r="F237" s="157" t="s">
        <v>1254</v>
      </c>
      <c r="G237" s="33" t="s">
        <v>1255</v>
      </c>
      <c r="H237" s="90" t="s">
        <v>742</v>
      </c>
      <c r="I237" s="33" t="s">
        <v>1702</v>
      </c>
      <c r="W237" s="151" t="s">
        <v>125</v>
      </c>
      <c r="X237" s="150" t="s">
        <v>1118</v>
      </c>
      <c r="Y237" s="150" t="s">
        <v>731</v>
      </c>
      <c r="Z237" s="150">
        <v>7.0</v>
      </c>
    </row>
    <row r="238">
      <c r="A238" s="152">
        <f>IFERROR(__xludf.DUMMYFUNCTION("query(Y:Z,""select Z Where Y ='""&amp;H238&amp;""'"",0)"),19.0)</f>
        <v>19</v>
      </c>
      <c r="B238" s="29" t="s">
        <v>1030</v>
      </c>
      <c r="C238" s="8" t="s">
        <v>1031</v>
      </c>
      <c r="D238" s="156" t="s">
        <v>169</v>
      </c>
      <c r="E238" s="33" t="s">
        <v>1025</v>
      </c>
      <c r="F238" s="157" t="s">
        <v>1164</v>
      </c>
      <c r="G238" s="33" t="s">
        <v>1729</v>
      </c>
      <c r="H238" s="90" t="s">
        <v>958</v>
      </c>
      <c r="I238" s="33" t="s">
        <v>1750</v>
      </c>
      <c r="W238" s="151" t="s">
        <v>169</v>
      </c>
      <c r="X238" s="150" t="s">
        <v>1482</v>
      </c>
      <c r="Y238" s="150" t="s">
        <v>926</v>
      </c>
      <c r="Z238" s="150">
        <v>25.0</v>
      </c>
    </row>
    <row r="239">
      <c r="A239" s="152">
        <f>IFERROR(__xludf.DUMMYFUNCTION("query(Y:Z,""select Z Where Y ='""&amp;H239&amp;""'"",0)"),19.0)</f>
        <v>19</v>
      </c>
      <c r="B239" s="29" t="s">
        <v>1030</v>
      </c>
      <c r="C239" s="164" t="s">
        <v>1044</v>
      </c>
      <c r="D239" s="156" t="s">
        <v>78</v>
      </c>
      <c r="E239" s="33" t="s">
        <v>1025</v>
      </c>
      <c r="F239" s="157" t="s">
        <v>1376</v>
      </c>
      <c r="G239" s="33" t="s">
        <v>1377</v>
      </c>
      <c r="H239" s="90" t="s">
        <v>993</v>
      </c>
      <c r="I239" s="33" t="s">
        <v>2320</v>
      </c>
      <c r="W239" s="149" t="s">
        <v>504</v>
      </c>
      <c r="X239" s="150" t="s">
        <v>1174</v>
      </c>
      <c r="Y239" s="150" t="s">
        <v>878</v>
      </c>
      <c r="Z239" s="150">
        <v>1.0</v>
      </c>
    </row>
    <row r="240">
      <c r="A240" s="152">
        <f>IFERROR(__xludf.DUMMYFUNCTION("query(Y:Z,""select Z Where Y ='""&amp;H240&amp;""'"",0)"),20.0)</f>
        <v>20</v>
      </c>
      <c r="B240" s="29" t="s">
        <v>1030</v>
      </c>
      <c r="C240" s="8" t="s">
        <v>1031</v>
      </c>
      <c r="D240" s="156" t="s">
        <v>50</v>
      </c>
      <c r="E240" s="33" t="s">
        <v>1025</v>
      </c>
      <c r="F240" s="157" t="s">
        <v>1067</v>
      </c>
      <c r="G240" s="33" t="s">
        <v>1068</v>
      </c>
      <c r="H240" s="90" t="s">
        <v>861</v>
      </c>
      <c r="I240" s="33" t="s">
        <v>1082</v>
      </c>
      <c r="W240" s="151" t="s">
        <v>108</v>
      </c>
      <c r="X240" s="150" t="s">
        <v>1204</v>
      </c>
      <c r="Y240" s="150" t="s">
        <v>2447</v>
      </c>
      <c r="Z240" s="150">
        <v>1.0</v>
      </c>
    </row>
    <row r="241">
      <c r="A241" s="152">
        <f>IFERROR(__xludf.DUMMYFUNCTION("query(Y:Z,""select Z Where Y ='""&amp;H241&amp;""'"",0)"),20.0)</f>
        <v>20</v>
      </c>
      <c r="B241" s="29" t="s">
        <v>1030</v>
      </c>
      <c r="C241" s="8" t="s">
        <v>1031</v>
      </c>
      <c r="D241" s="156" t="s">
        <v>108</v>
      </c>
      <c r="E241" s="33" t="s">
        <v>1025</v>
      </c>
      <c r="F241" s="157" t="s">
        <v>1200</v>
      </c>
      <c r="G241" s="33" t="s">
        <v>1201</v>
      </c>
      <c r="H241" s="90" t="s">
        <v>974</v>
      </c>
      <c r="I241" s="33" t="s">
        <v>1471</v>
      </c>
      <c r="W241" s="151" t="s">
        <v>108</v>
      </c>
      <c r="X241" s="150" t="s">
        <v>1210</v>
      </c>
      <c r="Y241" s="150" t="s">
        <v>707</v>
      </c>
      <c r="Z241" s="150">
        <v>39.0</v>
      </c>
    </row>
    <row r="242">
      <c r="A242" s="152">
        <f>IFERROR(__xludf.DUMMYFUNCTION("query(Y:Z,""select Z Where Y ='""&amp;H242&amp;""'"",0)"),20.0)</f>
        <v>20</v>
      </c>
      <c r="B242" s="29" t="s">
        <v>1030</v>
      </c>
      <c r="C242" s="164" t="s">
        <v>1044</v>
      </c>
      <c r="D242" s="156" t="s">
        <v>78</v>
      </c>
      <c r="E242" s="33" t="s">
        <v>1025</v>
      </c>
      <c r="F242" s="157" t="s">
        <v>1074</v>
      </c>
      <c r="G242" s="33" t="s">
        <v>1315</v>
      </c>
      <c r="H242" s="90" t="s">
        <v>610</v>
      </c>
      <c r="I242" s="33" t="s">
        <v>2017</v>
      </c>
      <c r="W242" s="151" t="s">
        <v>96</v>
      </c>
      <c r="X242" s="150" t="s">
        <v>1134</v>
      </c>
      <c r="Y242" s="150" t="s">
        <v>2481</v>
      </c>
      <c r="Z242" s="150">
        <v>1.0</v>
      </c>
    </row>
    <row r="243">
      <c r="A243" s="152">
        <f>IFERROR(__xludf.DUMMYFUNCTION("query(Y:Z,""select Z Where Y ='""&amp;H243&amp;""'"",0)"),21.0)</f>
        <v>21</v>
      </c>
      <c r="B243" s="29" t="s">
        <v>1030</v>
      </c>
      <c r="C243" s="8" t="s">
        <v>1031</v>
      </c>
      <c r="D243" s="156" t="s">
        <v>108</v>
      </c>
      <c r="E243" s="33" t="s">
        <v>1025</v>
      </c>
      <c r="F243" s="157" t="s">
        <v>1204</v>
      </c>
      <c r="G243" s="33" t="s">
        <v>1205</v>
      </c>
      <c r="H243" s="90" t="s">
        <v>617</v>
      </c>
      <c r="I243" s="33" t="s">
        <v>1479</v>
      </c>
      <c r="W243" s="149" t="s">
        <v>504</v>
      </c>
      <c r="X243" s="150" t="s">
        <v>1210</v>
      </c>
      <c r="Y243" s="150" t="s">
        <v>589</v>
      </c>
      <c r="Z243" s="150">
        <v>1.0</v>
      </c>
    </row>
    <row r="244">
      <c r="A244" s="152">
        <f>IFERROR(__xludf.DUMMYFUNCTION("query(Y:Z,""select Z Where Y ='""&amp;H244&amp;""'"",0)"),21.0)</f>
        <v>21</v>
      </c>
      <c r="B244" s="29" t="s">
        <v>1030</v>
      </c>
      <c r="C244" s="8" t="s">
        <v>1031</v>
      </c>
      <c r="D244" s="156" t="s">
        <v>169</v>
      </c>
      <c r="E244" s="33" t="s">
        <v>1025</v>
      </c>
      <c r="F244" s="157" t="s">
        <v>1164</v>
      </c>
      <c r="G244" s="33" t="s">
        <v>1729</v>
      </c>
      <c r="H244" s="90" t="s">
        <v>619</v>
      </c>
      <c r="I244" s="33" t="s">
        <v>1747</v>
      </c>
      <c r="W244" s="151" t="s">
        <v>78</v>
      </c>
      <c r="X244" s="150" t="s">
        <v>1482</v>
      </c>
      <c r="Y244" s="150" t="s">
        <v>522</v>
      </c>
      <c r="Z244" s="150">
        <v>1.0</v>
      </c>
    </row>
    <row r="245">
      <c r="A245" s="152">
        <f>IFERROR(__xludf.DUMMYFUNCTION("query(Y:Z,""select Z Where Y ='""&amp;H245&amp;""'"",0)"),21.0)</f>
        <v>21</v>
      </c>
      <c r="B245" s="29" t="s">
        <v>1030</v>
      </c>
      <c r="C245" s="8" t="s">
        <v>1031</v>
      </c>
      <c r="D245" s="156" t="s">
        <v>169</v>
      </c>
      <c r="E245" s="33" t="s">
        <v>1025</v>
      </c>
      <c r="F245" s="157" t="s">
        <v>1459</v>
      </c>
      <c r="G245" s="33" t="s">
        <v>1724</v>
      </c>
      <c r="H245" s="90" t="s">
        <v>679</v>
      </c>
      <c r="I245" s="33" t="s">
        <v>1816</v>
      </c>
      <c r="W245" s="151" t="s">
        <v>169</v>
      </c>
      <c r="X245" s="150" t="s">
        <v>2524</v>
      </c>
      <c r="Y245" s="150" t="s">
        <v>2526</v>
      </c>
      <c r="Z245" s="150">
        <v>1.0</v>
      </c>
    </row>
    <row r="246">
      <c r="A246" s="152">
        <f>IFERROR(__xludf.DUMMYFUNCTION("query(Y:Z,""select Z Where Y ='""&amp;H246&amp;""'"",0)"),21.0)</f>
        <v>21</v>
      </c>
      <c r="B246" s="29" t="s">
        <v>1030</v>
      </c>
      <c r="C246" s="164" t="s">
        <v>1044</v>
      </c>
      <c r="D246" s="156" t="s">
        <v>57</v>
      </c>
      <c r="E246" s="33" t="s">
        <v>1025</v>
      </c>
      <c r="F246" s="157" t="s">
        <v>1291</v>
      </c>
      <c r="G246" s="33" t="s">
        <v>1420</v>
      </c>
      <c r="H246" s="90" t="s">
        <v>790</v>
      </c>
      <c r="I246" s="33" t="s">
        <v>1674</v>
      </c>
      <c r="W246" s="151" t="s">
        <v>182</v>
      </c>
      <c r="X246" s="150" t="s">
        <v>2542</v>
      </c>
      <c r="Y246" s="150" t="s">
        <v>817</v>
      </c>
      <c r="Z246" s="150">
        <v>1.0</v>
      </c>
    </row>
    <row r="247">
      <c r="A247" s="152">
        <f>IFERROR(__xludf.DUMMYFUNCTION("query(Y:Z,""select Z Where Y ='""&amp;H247&amp;""'"",0)"),22.0)</f>
        <v>22</v>
      </c>
      <c r="B247" s="29" t="s">
        <v>1030</v>
      </c>
      <c r="C247" s="164" t="s">
        <v>1044</v>
      </c>
      <c r="D247" s="156" t="s">
        <v>159</v>
      </c>
      <c r="E247" s="33" t="s">
        <v>1025</v>
      </c>
      <c r="F247" s="157" t="s">
        <v>1503</v>
      </c>
      <c r="G247" s="33" t="s">
        <v>1504</v>
      </c>
      <c r="H247" s="90" t="s">
        <v>788</v>
      </c>
      <c r="I247" s="33" t="s">
        <v>1952</v>
      </c>
      <c r="W247" s="151" t="s">
        <v>147</v>
      </c>
      <c r="X247" s="150" t="s">
        <v>2554</v>
      </c>
      <c r="Y247" s="150" t="s">
        <v>2556</v>
      </c>
      <c r="Z247" s="150">
        <v>1.0</v>
      </c>
    </row>
    <row r="248">
      <c r="A248" s="152">
        <f>IFERROR(__xludf.DUMMYFUNCTION("query(Y:Z,""select Z Where Y ='""&amp;H248&amp;""'"",0)"),22.0)</f>
        <v>22</v>
      </c>
      <c r="B248" s="29" t="s">
        <v>1030</v>
      </c>
      <c r="C248" s="164" t="s">
        <v>1044</v>
      </c>
      <c r="D248" s="156" t="s">
        <v>177</v>
      </c>
      <c r="E248" s="33" t="s">
        <v>1025</v>
      </c>
      <c r="F248" s="157" t="s">
        <v>1918</v>
      </c>
      <c r="G248" s="33" t="s">
        <v>1921</v>
      </c>
      <c r="H248" s="90" t="s">
        <v>770</v>
      </c>
      <c r="I248" s="33" t="s">
        <v>2560</v>
      </c>
      <c r="W248" s="151" t="s">
        <v>125</v>
      </c>
      <c r="X248" s="150" t="s">
        <v>1095</v>
      </c>
      <c r="Y248" s="150" t="s">
        <v>888</v>
      </c>
      <c r="Z248" s="150">
        <v>5.0</v>
      </c>
    </row>
    <row r="249">
      <c r="A249" s="152">
        <f>IFERROR(__xludf.DUMMYFUNCTION("query(Y:Z,""select Z Where Y ='""&amp;H249&amp;""'"",0)"),23.0)</f>
        <v>23</v>
      </c>
      <c r="B249" s="29" t="s">
        <v>1030</v>
      </c>
      <c r="C249" s="8" t="s">
        <v>1031</v>
      </c>
      <c r="D249" s="156" t="s">
        <v>169</v>
      </c>
      <c r="E249" s="33" t="s">
        <v>1025</v>
      </c>
      <c r="F249" s="157" t="s">
        <v>1482</v>
      </c>
      <c r="G249" s="33" t="s">
        <v>1483</v>
      </c>
      <c r="H249" s="90" t="s">
        <v>799</v>
      </c>
      <c r="I249" s="33" t="s">
        <v>1774</v>
      </c>
      <c r="W249" s="151" t="s">
        <v>169</v>
      </c>
      <c r="X249" s="150" t="s">
        <v>1482</v>
      </c>
      <c r="Y249" s="150" t="s">
        <v>522</v>
      </c>
      <c r="Z249" s="150">
        <v>306.0</v>
      </c>
    </row>
    <row r="250">
      <c r="A250" s="152">
        <f>IFERROR(__xludf.DUMMYFUNCTION("query(Y:Z,""select Z Where Y ='""&amp;H250&amp;""'"",0)"),23.0)</f>
        <v>23</v>
      </c>
      <c r="B250" s="29" t="s">
        <v>1030</v>
      </c>
      <c r="C250" s="164" t="s">
        <v>1044</v>
      </c>
      <c r="D250" s="156" t="s">
        <v>169</v>
      </c>
      <c r="E250" s="33" t="s">
        <v>1025</v>
      </c>
      <c r="F250" s="157" t="s">
        <v>1482</v>
      </c>
      <c r="G250" s="33" t="s">
        <v>1483</v>
      </c>
      <c r="H250" s="90" t="s">
        <v>882</v>
      </c>
      <c r="I250" s="33" t="s">
        <v>1830</v>
      </c>
      <c r="W250" s="151" t="s">
        <v>108</v>
      </c>
      <c r="X250" s="150" t="s">
        <v>1200</v>
      </c>
      <c r="Y250" s="150" t="s">
        <v>649</v>
      </c>
      <c r="Z250" s="150">
        <v>1.0</v>
      </c>
    </row>
    <row r="251">
      <c r="A251" s="152">
        <f>IFERROR(__xludf.DUMMYFUNCTION("query(Y:Z,""select Z Where Y ='""&amp;H251&amp;""'"",0)"),24.0)</f>
        <v>24</v>
      </c>
      <c r="B251" s="29" t="s">
        <v>1030</v>
      </c>
      <c r="C251" s="164" t="s">
        <v>1044</v>
      </c>
      <c r="D251" s="156" t="s">
        <v>57</v>
      </c>
      <c r="E251" s="33" t="s">
        <v>1025</v>
      </c>
      <c r="F251" s="157" t="s">
        <v>1122</v>
      </c>
      <c r="G251" s="33" t="s">
        <v>1123</v>
      </c>
      <c r="H251" s="90" t="s">
        <v>582</v>
      </c>
      <c r="I251" s="33" t="s">
        <v>1645</v>
      </c>
      <c r="W251" s="149" t="s">
        <v>504</v>
      </c>
      <c r="X251" s="150" t="s">
        <v>1214</v>
      </c>
      <c r="Y251" s="150" t="s">
        <v>513</v>
      </c>
      <c r="Z251" s="150">
        <v>6.0</v>
      </c>
    </row>
    <row r="252">
      <c r="A252" s="152">
        <f>IFERROR(__xludf.DUMMYFUNCTION("query(Y:Z,""select Z Where Y ='""&amp;H252&amp;""'"",0)"),24.0)</f>
        <v>24</v>
      </c>
      <c r="B252" s="29" t="s">
        <v>1030</v>
      </c>
      <c r="C252" s="164" t="s">
        <v>1044</v>
      </c>
      <c r="D252" s="156" t="s">
        <v>159</v>
      </c>
      <c r="E252" s="33" t="s">
        <v>1025</v>
      </c>
      <c r="F252" s="157" t="s">
        <v>1637</v>
      </c>
      <c r="G252" s="33" t="s">
        <v>1639</v>
      </c>
      <c r="H252" s="90" t="s">
        <v>961</v>
      </c>
      <c r="I252" s="33" t="s">
        <v>1870</v>
      </c>
      <c r="W252" s="151" t="s">
        <v>108</v>
      </c>
      <c r="X252" s="150" t="s">
        <v>1200</v>
      </c>
      <c r="Y252" s="150" t="s">
        <v>974</v>
      </c>
      <c r="Z252" s="150">
        <v>20.0</v>
      </c>
    </row>
    <row r="253">
      <c r="A253" s="152">
        <f>IFERROR(__xludf.DUMMYFUNCTION("query(Y:Z,""select Z Where Y ='""&amp;H253&amp;""'"",0)"),24.0)</f>
        <v>24</v>
      </c>
      <c r="B253" s="29" t="s">
        <v>1030</v>
      </c>
      <c r="C253" s="164" t="s">
        <v>1044</v>
      </c>
      <c r="D253" s="156" t="s">
        <v>78</v>
      </c>
      <c r="E253" s="33" t="s">
        <v>1025</v>
      </c>
      <c r="F253" s="157" t="s">
        <v>1143</v>
      </c>
      <c r="G253" s="33" t="s">
        <v>1144</v>
      </c>
      <c r="H253" s="90" t="s">
        <v>658</v>
      </c>
      <c r="I253" s="33" t="s">
        <v>2106</v>
      </c>
      <c r="W253" s="151" t="s">
        <v>125</v>
      </c>
      <c r="X253" s="150" t="s">
        <v>1266</v>
      </c>
      <c r="Y253" s="150" t="s">
        <v>551</v>
      </c>
      <c r="Z253" s="150">
        <v>62.0</v>
      </c>
    </row>
    <row r="254">
      <c r="A254" s="152">
        <f>IFERROR(__xludf.DUMMYFUNCTION("query(Y:Z,""select Z Where Y ='""&amp;H254&amp;""'"",0)"),25.0)</f>
        <v>25</v>
      </c>
      <c r="B254" s="29" t="s">
        <v>1030</v>
      </c>
      <c r="C254" s="8" t="s">
        <v>1031</v>
      </c>
      <c r="D254" s="156" t="s">
        <v>147</v>
      </c>
      <c r="E254" s="33" t="s">
        <v>1025</v>
      </c>
      <c r="F254" s="157" t="s">
        <v>1121</v>
      </c>
      <c r="G254" s="33" t="s">
        <v>1570</v>
      </c>
      <c r="H254" s="90" t="s">
        <v>791</v>
      </c>
      <c r="I254" s="33" t="s">
        <v>1573</v>
      </c>
      <c r="W254" s="151" t="s">
        <v>182</v>
      </c>
      <c r="X254" s="150" t="s">
        <v>1482</v>
      </c>
      <c r="Y254" s="150" t="s">
        <v>522</v>
      </c>
      <c r="Z254" s="150">
        <v>1.0</v>
      </c>
    </row>
    <row r="255">
      <c r="A255" s="152">
        <f>IFERROR(__xludf.DUMMYFUNCTION("query(Y:Z,""select Z Where Y ='""&amp;H255&amp;""'"",0)"),25.0)</f>
        <v>25</v>
      </c>
      <c r="B255" s="29" t="s">
        <v>1030</v>
      </c>
      <c r="C255" s="8" t="s">
        <v>1031</v>
      </c>
      <c r="D255" s="156" t="s">
        <v>96</v>
      </c>
      <c r="E255" s="33" t="s">
        <v>1025</v>
      </c>
      <c r="F255" s="157" t="s">
        <v>1134</v>
      </c>
      <c r="G255" s="33" t="s">
        <v>2576</v>
      </c>
      <c r="H255" s="90" t="s">
        <v>1000</v>
      </c>
      <c r="I255" s="33" t="s">
        <v>2597</v>
      </c>
      <c r="W255" s="151" t="s">
        <v>177</v>
      </c>
      <c r="X255" s="150" t="s">
        <v>1918</v>
      </c>
      <c r="Y255" s="150" t="s">
        <v>641</v>
      </c>
      <c r="Z255" s="150">
        <v>132.0</v>
      </c>
    </row>
    <row r="256">
      <c r="A256" s="152">
        <f>IFERROR(__xludf.DUMMYFUNCTION("query(Y:Z,""select Z Where Y ='""&amp;H256&amp;""'"",0)"),26.0)</f>
        <v>26</v>
      </c>
      <c r="B256" s="29" t="s">
        <v>1030</v>
      </c>
      <c r="C256" s="164" t="s">
        <v>1044</v>
      </c>
      <c r="D256" s="156" t="s">
        <v>108</v>
      </c>
      <c r="E256" s="33" t="s">
        <v>1025</v>
      </c>
      <c r="F256" s="157" t="s">
        <v>1041</v>
      </c>
      <c r="G256" s="33" t="s">
        <v>1512</v>
      </c>
      <c r="H256" s="90" t="s">
        <v>618</v>
      </c>
      <c r="I256" s="33" t="s">
        <v>1520</v>
      </c>
      <c r="W256" s="149" t="s">
        <v>504</v>
      </c>
      <c r="X256" s="150" t="s">
        <v>1415</v>
      </c>
      <c r="Y256" s="150" t="s">
        <v>515</v>
      </c>
      <c r="Z256" s="150">
        <v>4.0</v>
      </c>
    </row>
    <row r="257">
      <c r="A257" s="152">
        <f>IFERROR(__xludf.DUMMYFUNCTION("query(Y:Z,""select Z Where Y ='""&amp;H257&amp;""'"",0)"),26.0)</f>
        <v>26</v>
      </c>
      <c r="B257" s="29" t="s">
        <v>1030</v>
      </c>
      <c r="C257" s="164" t="s">
        <v>1044</v>
      </c>
      <c r="D257" s="156" t="s">
        <v>78</v>
      </c>
      <c r="E257" s="33" t="s">
        <v>1025</v>
      </c>
      <c r="F257" s="157" t="s">
        <v>1245</v>
      </c>
      <c r="G257" s="33" t="s">
        <v>1328</v>
      </c>
      <c r="H257" s="90" t="s">
        <v>650</v>
      </c>
      <c r="I257" s="33" t="s">
        <v>2298</v>
      </c>
      <c r="W257" s="149" t="s">
        <v>504</v>
      </c>
      <c r="X257" s="150" t="s">
        <v>1174</v>
      </c>
      <c r="Y257" s="150" t="s">
        <v>600</v>
      </c>
      <c r="Z257" s="150">
        <v>1.0</v>
      </c>
    </row>
    <row r="258">
      <c r="A258" s="152">
        <f>IFERROR(__xludf.DUMMYFUNCTION("query(Y:Z,""select Z Where Y ='""&amp;H258&amp;""'"",0)"),26.0)</f>
        <v>26</v>
      </c>
      <c r="B258" s="29" t="s">
        <v>1030</v>
      </c>
      <c r="C258" s="164" t="s">
        <v>1044</v>
      </c>
      <c r="D258" s="156" t="s">
        <v>84</v>
      </c>
      <c r="E258" s="33" t="s">
        <v>1025</v>
      </c>
      <c r="F258" s="157" t="s">
        <v>2022</v>
      </c>
      <c r="G258" s="33" t="s">
        <v>2457</v>
      </c>
      <c r="H258" s="90" t="s">
        <v>632</v>
      </c>
      <c r="I258" s="33" t="s">
        <v>2460</v>
      </c>
      <c r="W258" s="151" t="s">
        <v>169</v>
      </c>
      <c r="X258" s="150" t="s">
        <v>1459</v>
      </c>
      <c r="Y258" s="150" t="s">
        <v>609</v>
      </c>
      <c r="Z258" s="150">
        <v>43.0</v>
      </c>
    </row>
    <row r="259">
      <c r="A259" s="152">
        <f>IFERROR(__xludf.DUMMYFUNCTION("query(Y:Z,""select Z Where Y ='""&amp;H259&amp;""'"",0)"),27.0)</f>
        <v>27</v>
      </c>
      <c r="B259" s="29" t="s">
        <v>1030</v>
      </c>
      <c r="C259" s="164" t="s">
        <v>1044</v>
      </c>
      <c r="D259" s="156" t="s">
        <v>84</v>
      </c>
      <c r="E259" s="33" t="s">
        <v>1025</v>
      </c>
      <c r="F259" s="157" t="s">
        <v>1176</v>
      </c>
      <c r="G259" s="33" t="s">
        <v>1177</v>
      </c>
      <c r="H259" s="90" t="s">
        <v>605</v>
      </c>
      <c r="I259" s="33" t="s">
        <v>2360</v>
      </c>
      <c r="W259" s="149" t="s">
        <v>504</v>
      </c>
      <c r="X259" s="150" t="s">
        <v>1174</v>
      </c>
      <c r="Y259" s="150" t="s">
        <v>580</v>
      </c>
      <c r="Z259" s="150">
        <v>2.0</v>
      </c>
    </row>
    <row r="260">
      <c r="A260" s="152">
        <f>IFERROR(__xludf.DUMMYFUNCTION("query(Y:Z,""select Z Where Y ='""&amp;H260&amp;""'"",0)"),29.0)</f>
        <v>29</v>
      </c>
      <c r="B260" s="29" t="s">
        <v>1030</v>
      </c>
      <c r="C260" s="164" t="s">
        <v>1044</v>
      </c>
      <c r="D260" s="156" t="s">
        <v>50</v>
      </c>
      <c r="E260" s="33" t="s">
        <v>1025</v>
      </c>
      <c r="F260" s="157" t="s">
        <v>1055</v>
      </c>
      <c r="G260" s="33" t="s">
        <v>1056</v>
      </c>
      <c r="H260" s="90" t="s">
        <v>735</v>
      </c>
      <c r="I260" s="33" t="s">
        <v>1090</v>
      </c>
      <c r="W260" s="151" t="s">
        <v>177</v>
      </c>
      <c r="X260" s="150" t="s">
        <v>1046</v>
      </c>
      <c r="Y260" s="150" t="s">
        <v>529</v>
      </c>
      <c r="Z260" s="150">
        <v>167.0</v>
      </c>
    </row>
    <row r="261">
      <c r="A261" s="152">
        <f>IFERROR(__xludf.DUMMYFUNCTION("query(Y:Z,""select Z Where Y ='""&amp;H261&amp;""'"",0)"),29.0)</f>
        <v>29</v>
      </c>
      <c r="B261" s="29" t="s">
        <v>1030</v>
      </c>
      <c r="C261" s="164" t="s">
        <v>1044</v>
      </c>
      <c r="D261" s="156" t="s">
        <v>84</v>
      </c>
      <c r="E261" s="33" t="s">
        <v>1025</v>
      </c>
      <c r="F261" s="157" t="s">
        <v>2022</v>
      </c>
      <c r="G261" s="33" t="s">
        <v>2457</v>
      </c>
      <c r="H261" s="90" t="s">
        <v>661</v>
      </c>
      <c r="I261" s="33" t="s">
        <v>2466</v>
      </c>
      <c r="W261" s="151" t="s">
        <v>125</v>
      </c>
      <c r="X261" s="150" t="s">
        <v>1459</v>
      </c>
      <c r="Y261" s="150" t="s">
        <v>583</v>
      </c>
      <c r="Z261" s="150">
        <v>2.0</v>
      </c>
    </row>
    <row r="262">
      <c r="A262" s="152">
        <f>IFERROR(__xludf.DUMMYFUNCTION("query(Y:Z,""select Z Where Y ='""&amp;H262&amp;""'"",0)"),30.0)</f>
        <v>30</v>
      </c>
      <c r="B262" s="29" t="s">
        <v>1030</v>
      </c>
      <c r="C262" s="164" t="s">
        <v>1044</v>
      </c>
      <c r="D262" s="156" t="s">
        <v>57</v>
      </c>
      <c r="E262" s="33" t="s">
        <v>1025</v>
      </c>
      <c r="F262" s="157" t="s">
        <v>1291</v>
      </c>
      <c r="G262" s="33" t="s">
        <v>1420</v>
      </c>
      <c r="H262" s="90" t="s">
        <v>804</v>
      </c>
      <c r="I262" s="33" t="s">
        <v>1678</v>
      </c>
      <c r="W262" s="149" t="s">
        <v>504</v>
      </c>
      <c r="X262" s="150" t="s">
        <v>1422</v>
      </c>
      <c r="Y262" s="150" t="s">
        <v>2717</v>
      </c>
      <c r="Z262" s="150">
        <v>1.0</v>
      </c>
    </row>
    <row r="263">
      <c r="A263" s="152">
        <f>IFERROR(__xludf.DUMMYFUNCTION("query(Y:Z,""select Z Where Y ='""&amp;H263&amp;""'"",0)"),31.0)</f>
        <v>31</v>
      </c>
      <c r="B263" s="29" t="s">
        <v>1030</v>
      </c>
      <c r="C263" s="164" t="s">
        <v>1044</v>
      </c>
      <c r="D263" s="156" t="s">
        <v>57</v>
      </c>
      <c r="E263" s="33" t="s">
        <v>1025</v>
      </c>
      <c r="F263" s="157" t="s">
        <v>1291</v>
      </c>
      <c r="G263" s="33" t="s">
        <v>1420</v>
      </c>
      <c r="H263" s="90" t="s">
        <v>956</v>
      </c>
      <c r="I263" s="33" t="s">
        <v>1668</v>
      </c>
      <c r="W263" s="151" t="s">
        <v>182</v>
      </c>
      <c r="X263" s="150" t="s">
        <v>2726</v>
      </c>
      <c r="Y263" s="150" t="s">
        <v>2728</v>
      </c>
      <c r="Z263" s="150">
        <v>1.0</v>
      </c>
    </row>
    <row r="264">
      <c r="A264" s="152">
        <f>IFERROR(__xludf.DUMMYFUNCTION("query(Y:Z,""select Z Where Y ='""&amp;H264&amp;""'"",0)"),31.0)</f>
        <v>31</v>
      </c>
      <c r="B264" s="29" t="s">
        <v>1030</v>
      </c>
      <c r="C264" s="164" t="s">
        <v>1044</v>
      </c>
      <c r="D264" s="156" t="s">
        <v>78</v>
      </c>
      <c r="E264" s="33" t="s">
        <v>1025</v>
      </c>
      <c r="F264" s="157" t="s">
        <v>1245</v>
      </c>
      <c r="G264" s="33" t="s">
        <v>1328</v>
      </c>
      <c r="H264" s="90" t="s">
        <v>611</v>
      </c>
      <c r="I264" s="33" t="s">
        <v>2310</v>
      </c>
      <c r="W264" s="151" t="s">
        <v>147</v>
      </c>
      <c r="X264" s="150" t="s">
        <v>1174</v>
      </c>
      <c r="Y264" s="150" t="s">
        <v>899</v>
      </c>
      <c r="Z264" s="150">
        <v>37.0</v>
      </c>
    </row>
    <row r="265">
      <c r="A265" s="152">
        <f>IFERROR(__xludf.DUMMYFUNCTION("query(Y:Z,""select Z Where Y ='""&amp;H265&amp;""'"",0)"),34.0)</f>
        <v>34</v>
      </c>
      <c r="B265" s="29" t="s">
        <v>1030</v>
      </c>
      <c r="C265" s="164" t="s">
        <v>1044</v>
      </c>
      <c r="D265" s="156" t="s">
        <v>57</v>
      </c>
      <c r="E265" s="33" t="s">
        <v>1025</v>
      </c>
      <c r="F265" s="157" t="s">
        <v>1122</v>
      </c>
      <c r="G265" s="33" t="s">
        <v>1123</v>
      </c>
      <c r="H265" s="90" t="s">
        <v>1004</v>
      </c>
      <c r="I265" s="33" t="s">
        <v>1623</v>
      </c>
      <c r="W265" s="151" t="s">
        <v>37</v>
      </c>
      <c r="X265" s="150" t="s">
        <v>1438</v>
      </c>
      <c r="Y265" s="150" t="s">
        <v>528</v>
      </c>
      <c r="Z265" s="150">
        <v>12.0</v>
      </c>
    </row>
    <row r="266">
      <c r="A266" s="152">
        <f>IFERROR(__xludf.DUMMYFUNCTION("query(Y:Z,""select Z Where Y ='""&amp;H266&amp;""'"",0)"),37.0)</f>
        <v>37</v>
      </c>
      <c r="B266" s="29" t="s">
        <v>305</v>
      </c>
      <c r="C266" s="155" t="s">
        <v>303</v>
      </c>
      <c r="D266" s="156" t="s">
        <v>125</v>
      </c>
      <c r="E266" s="33" t="s">
        <v>1025</v>
      </c>
      <c r="F266" s="157" t="s">
        <v>1127</v>
      </c>
      <c r="G266" s="33" t="s">
        <v>1128</v>
      </c>
      <c r="H266" s="90" t="s">
        <v>988</v>
      </c>
      <c r="I266" s="33" t="s">
        <v>1135</v>
      </c>
      <c r="W266" s="149" t="s">
        <v>504</v>
      </c>
      <c r="X266" s="169" t="s">
        <v>504</v>
      </c>
      <c r="Y266" s="150" t="s">
        <v>93</v>
      </c>
      <c r="Z266" s="150">
        <v>1.0</v>
      </c>
    </row>
    <row r="267">
      <c r="A267" s="152">
        <f>IFERROR(__xludf.DUMMYFUNCTION("query(Y:Z,""select Z Where Y ='""&amp;H267&amp;""'"",0)"),37.0)</f>
        <v>37</v>
      </c>
      <c r="B267" s="29" t="s">
        <v>1464</v>
      </c>
      <c r="C267" s="8" t="s">
        <v>1031</v>
      </c>
      <c r="D267" s="156" t="s">
        <v>147</v>
      </c>
      <c r="E267" s="33" t="s">
        <v>1025</v>
      </c>
      <c r="F267" s="157" t="s">
        <v>1174</v>
      </c>
      <c r="G267" s="33" t="s">
        <v>1545</v>
      </c>
      <c r="H267" s="90" t="s">
        <v>899</v>
      </c>
      <c r="I267" s="33" t="s">
        <v>1563</v>
      </c>
      <c r="W267" s="151" t="s">
        <v>96</v>
      </c>
      <c r="X267" s="150" t="s">
        <v>1370</v>
      </c>
      <c r="Y267" s="150" t="s">
        <v>897</v>
      </c>
      <c r="Z267" s="150">
        <v>5.0</v>
      </c>
    </row>
    <row r="268">
      <c r="A268" s="152">
        <f>IFERROR(__xludf.DUMMYFUNCTION("query(Y:Z,""select Z Where Y ='""&amp;H268&amp;""'"",0)"),39.0)</f>
        <v>39</v>
      </c>
      <c r="B268" s="29" t="s">
        <v>305</v>
      </c>
      <c r="C268" s="164" t="s">
        <v>1044</v>
      </c>
      <c r="D268" s="156" t="s">
        <v>125</v>
      </c>
      <c r="E268" s="33" t="s">
        <v>1025</v>
      </c>
      <c r="F268" s="157" t="s">
        <v>1140</v>
      </c>
      <c r="G268" s="33" t="s">
        <v>1141</v>
      </c>
      <c r="H268" s="90" t="s">
        <v>975</v>
      </c>
      <c r="I268" s="33" t="s">
        <v>1142</v>
      </c>
      <c r="W268" s="149" t="s">
        <v>504</v>
      </c>
      <c r="X268" s="150" t="s">
        <v>1065</v>
      </c>
      <c r="Y268" s="150" t="s">
        <v>538</v>
      </c>
      <c r="Z268" s="150">
        <v>4.0</v>
      </c>
    </row>
    <row r="269">
      <c r="A269" s="152">
        <f>IFERROR(__xludf.DUMMYFUNCTION("query(Y:Z,""select Z Where Y ='""&amp;H269&amp;""'"",0)"),41.0)</f>
        <v>41</v>
      </c>
      <c r="B269" s="29" t="s">
        <v>1030</v>
      </c>
      <c r="C269" s="164" t="s">
        <v>1044</v>
      </c>
      <c r="D269" s="156" t="s">
        <v>57</v>
      </c>
      <c r="E269" s="33" t="s">
        <v>1025</v>
      </c>
      <c r="F269" s="157" t="s">
        <v>1254</v>
      </c>
      <c r="G269" s="33" t="s">
        <v>1255</v>
      </c>
      <c r="H269" s="90" t="s">
        <v>844</v>
      </c>
      <c r="I269" s="33" t="s">
        <v>1720</v>
      </c>
      <c r="W269" s="151" t="s">
        <v>53</v>
      </c>
      <c r="X269" s="150" t="s">
        <v>1118</v>
      </c>
      <c r="Y269" s="150" t="s">
        <v>691</v>
      </c>
      <c r="Z269" s="150">
        <v>1.0</v>
      </c>
    </row>
    <row r="270">
      <c r="A270" s="152">
        <f>IFERROR(__xludf.DUMMYFUNCTION("query(Y:Z,""select Z Where Y ='""&amp;H270&amp;""'"",0)"),43.0)</f>
        <v>43</v>
      </c>
      <c r="B270" s="29" t="s">
        <v>1464</v>
      </c>
      <c r="C270" s="8" t="s">
        <v>1031</v>
      </c>
      <c r="D270" s="156" t="s">
        <v>147</v>
      </c>
      <c r="E270" s="33" t="s">
        <v>1025</v>
      </c>
      <c r="F270" s="157" t="s">
        <v>1174</v>
      </c>
      <c r="G270" s="33" t="s">
        <v>1545</v>
      </c>
      <c r="H270" s="90" t="s">
        <v>967</v>
      </c>
      <c r="I270" s="33" t="s">
        <v>1553</v>
      </c>
      <c r="W270" s="149" t="s">
        <v>504</v>
      </c>
      <c r="X270" s="150" t="s">
        <v>1370</v>
      </c>
      <c r="Y270" s="150" t="s">
        <v>614</v>
      </c>
      <c r="Z270" s="150">
        <v>1.0</v>
      </c>
    </row>
    <row r="271">
      <c r="A271" s="152">
        <f>IFERROR(__xludf.DUMMYFUNCTION("query(Y:Z,""select Z Where Y ='""&amp;H271&amp;""'"",0)"),43.0)</f>
        <v>43</v>
      </c>
      <c r="B271" s="29" t="s">
        <v>1030</v>
      </c>
      <c r="C271" s="8" t="s">
        <v>1031</v>
      </c>
      <c r="D271" s="156" t="s">
        <v>169</v>
      </c>
      <c r="E271" s="33" t="s">
        <v>1025</v>
      </c>
      <c r="F271" s="157" t="s">
        <v>1459</v>
      </c>
      <c r="G271" s="33" t="s">
        <v>1724</v>
      </c>
      <c r="H271" s="90" t="s">
        <v>609</v>
      </c>
      <c r="I271" s="33" t="s">
        <v>1820</v>
      </c>
      <c r="W271" s="151" t="s">
        <v>177</v>
      </c>
      <c r="X271" s="150" t="s">
        <v>1918</v>
      </c>
      <c r="Y271" s="150" t="s">
        <v>996</v>
      </c>
      <c r="Z271" s="150">
        <v>10.0</v>
      </c>
    </row>
    <row r="272">
      <c r="A272" s="152">
        <f>IFERROR(__xludf.DUMMYFUNCTION("query(Y:Z,""select Z Where Y ='""&amp;H272&amp;""'"",0)"),43.0)</f>
        <v>43</v>
      </c>
      <c r="B272" s="29" t="s">
        <v>1030</v>
      </c>
      <c r="C272" s="164" t="s">
        <v>1044</v>
      </c>
      <c r="D272" s="156" t="s">
        <v>78</v>
      </c>
      <c r="E272" s="33" t="s">
        <v>1025</v>
      </c>
      <c r="F272" s="157" t="s">
        <v>1245</v>
      </c>
      <c r="G272" s="33" t="s">
        <v>1328</v>
      </c>
      <c r="H272" s="90" t="s">
        <v>745</v>
      </c>
      <c r="I272" s="33" t="s">
        <v>2306</v>
      </c>
      <c r="W272" s="151" t="s">
        <v>147</v>
      </c>
      <c r="X272" s="150" t="s">
        <v>1174</v>
      </c>
      <c r="Y272" s="150" t="s">
        <v>733</v>
      </c>
      <c r="Z272" s="150">
        <v>58.0</v>
      </c>
    </row>
    <row r="273">
      <c r="A273" s="152">
        <f>IFERROR(__xludf.DUMMYFUNCTION("query(Y:Z,""select Z Where Y ='""&amp;H273&amp;""'"",0)"),44.0)</f>
        <v>44</v>
      </c>
      <c r="B273" s="29" t="s">
        <v>1464</v>
      </c>
      <c r="C273" s="8" t="s">
        <v>1031</v>
      </c>
      <c r="D273" s="156" t="s">
        <v>147</v>
      </c>
      <c r="E273" s="33" t="s">
        <v>1025</v>
      </c>
      <c r="F273" s="157" t="s">
        <v>1525</v>
      </c>
      <c r="G273" s="33" t="s">
        <v>1526</v>
      </c>
      <c r="H273" s="90" t="s">
        <v>595</v>
      </c>
      <c r="I273" s="33" t="s">
        <v>1534</v>
      </c>
      <c r="W273" s="151" t="s">
        <v>57</v>
      </c>
      <c r="X273" s="150" t="s">
        <v>1246</v>
      </c>
      <c r="Y273" s="150" t="s">
        <v>960</v>
      </c>
      <c r="Z273" s="150">
        <v>17.0</v>
      </c>
    </row>
    <row r="274">
      <c r="A274" s="152">
        <f>IFERROR(__xludf.DUMMYFUNCTION("query(Y:Z,""select Z Where Y ='""&amp;H274&amp;""'"",0)"),45.0)</f>
        <v>45</v>
      </c>
      <c r="B274" s="29" t="s">
        <v>1464</v>
      </c>
      <c r="C274" s="8" t="s">
        <v>1031</v>
      </c>
      <c r="D274" s="156" t="s">
        <v>147</v>
      </c>
      <c r="E274" s="33" t="s">
        <v>1025</v>
      </c>
      <c r="F274" s="157" t="s">
        <v>1174</v>
      </c>
      <c r="G274" s="33" t="s">
        <v>1545</v>
      </c>
      <c r="H274" s="90" t="s">
        <v>602</v>
      </c>
      <c r="I274" s="33" t="s">
        <v>1559</v>
      </c>
      <c r="W274" s="151" t="s">
        <v>96</v>
      </c>
      <c r="X274" s="150" t="s">
        <v>1370</v>
      </c>
      <c r="Y274" s="150" t="s">
        <v>540</v>
      </c>
      <c r="Z274" s="150">
        <v>42.0</v>
      </c>
    </row>
    <row r="275">
      <c r="A275" s="152">
        <f>IFERROR(__xludf.DUMMYFUNCTION("query(Y:Z,""select Z Where Y ='""&amp;H275&amp;""'"",0)"),46.0)</f>
        <v>46</v>
      </c>
      <c r="B275" s="29" t="s">
        <v>1030</v>
      </c>
      <c r="C275" s="164" t="s">
        <v>1044</v>
      </c>
      <c r="D275" s="156" t="s">
        <v>84</v>
      </c>
      <c r="E275" s="33" t="s">
        <v>1025</v>
      </c>
      <c r="F275" s="157" t="s">
        <v>1176</v>
      </c>
      <c r="G275" s="33" t="s">
        <v>1177</v>
      </c>
      <c r="H275" s="90" t="s">
        <v>755</v>
      </c>
      <c r="I275" s="33" t="s">
        <v>2386</v>
      </c>
      <c r="W275" s="151" t="s">
        <v>96</v>
      </c>
      <c r="X275" s="150" t="s">
        <v>1174</v>
      </c>
      <c r="Y275" s="150" t="s">
        <v>659</v>
      </c>
      <c r="Z275" s="150">
        <v>1.0</v>
      </c>
    </row>
    <row r="276">
      <c r="A276" s="152">
        <f>IFERROR(__xludf.DUMMYFUNCTION("query(Y:Z,""select Z Where Y ='""&amp;H276&amp;""'"",0)"),49.0)</f>
        <v>49</v>
      </c>
      <c r="B276" s="29" t="s">
        <v>1030</v>
      </c>
      <c r="C276" s="164" t="s">
        <v>1044</v>
      </c>
      <c r="D276" s="156" t="s">
        <v>57</v>
      </c>
      <c r="E276" s="33" t="s">
        <v>1025</v>
      </c>
      <c r="F276" s="157" t="s">
        <v>1254</v>
      </c>
      <c r="G276" s="33" t="s">
        <v>1255</v>
      </c>
      <c r="H276" s="90" t="s">
        <v>544</v>
      </c>
      <c r="I276" s="33" t="s">
        <v>1707</v>
      </c>
      <c r="W276" s="151" t="s">
        <v>125</v>
      </c>
      <c r="X276" s="150" t="s">
        <v>1118</v>
      </c>
      <c r="Y276" s="150" t="s">
        <v>911</v>
      </c>
      <c r="Z276" s="150">
        <v>9.0</v>
      </c>
    </row>
    <row r="277">
      <c r="A277" s="152">
        <f>IFERROR(__xludf.DUMMYFUNCTION("query(Y:Z,""select Z Where Y ='""&amp;H277&amp;""'"",0)"),55.0)</f>
        <v>55</v>
      </c>
      <c r="B277" s="29" t="s">
        <v>1030</v>
      </c>
      <c r="C277" s="164" t="s">
        <v>1044</v>
      </c>
      <c r="D277" s="156" t="s">
        <v>159</v>
      </c>
      <c r="E277" s="33" t="s">
        <v>1025</v>
      </c>
      <c r="F277" s="157" t="s">
        <v>1637</v>
      </c>
      <c r="G277" s="33" t="s">
        <v>1639</v>
      </c>
      <c r="H277" s="90" t="s">
        <v>667</v>
      </c>
      <c r="I277" s="33" t="s">
        <v>1897</v>
      </c>
      <c r="W277" s="149" t="s">
        <v>504</v>
      </c>
      <c r="X277" s="150" t="s">
        <v>1164</v>
      </c>
      <c r="Y277" s="150" t="s">
        <v>697</v>
      </c>
      <c r="Z277" s="150">
        <v>1.0</v>
      </c>
    </row>
    <row r="278">
      <c r="A278" s="152">
        <f>IFERROR(__xludf.DUMMYFUNCTION("query(Y:Z,""select Z Where Y ='""&amp;H278&amp;""'"",0)"),59.0)</f>
        <v>59</v>
      </c>
      <c r="B278" s="29" t="s">
        <v>1030</v>
      </c>
      <c r="C278" s="8" t="s">
        <v>1031</v>
      </c>
      <c r="D278" s="156" t="s">
        <v>147</v>
      </c>
      <c r="E278" s="33" t="s">
        <v>1025</v>
      </c>
      <c r="F278" s="157" t="s">
        <v>1525</v>
      </c>
      <c r="G278" s="33" t="s">
        <v>1526</v>
      </c>
      <c r="H278" s="90" t="s">
        <v>578</v>
      </c>
      <c r="I278" s="33" t="s">
        <v>1538</v>
      </c>
      <c r="W278" s="151" t="s">
        <v>57</v>
      </c>
      <c r="X278" s="150" t="s">
        <v>1246</v>
      </c>
      <c r="Y278" s="150" t="s">
        <v>643</v>
      </c>
      <c r="Z278" s="150">
        <v>109.0</v>
      </c>
    </row>
    <row r="279">
      <c r="A279" s="152">
        <f>IFERROR(__xludf.DUMMYFUNCTION("query(Y:Z,""select Z Where Y ='""&amp;H279&amp;""'"",0)"),61.0)</f>
        <v>61</v>
      </c>
      <c r="B279" s="29" t="s">
        <v>1030</v>
      </c>
      <c r="C279" s="25" t="s">
        <v>1181</v>
      </c>
      <c r="D279" s="156" t="s">
        <v>182</v>
      </c>
      <c r="E279" s="33" t="s">
        <v>1025</v>
      </c>
      <c r="F279" s="157" t="s">
        <v>1214</v>
      </c>
      <c r="G279" s="33" t="s">
        <v>1215</v>
      </c>
      <c r="H279" s="90" t="s">
        <v>877</v>
      </c>
      <c r="I279" s="33" t="s">
        <v>1217</v>
      </c>
      <c r="W279" s="151" t="s">
        <v>78</v>
      </c>
      <c r="X279" s="150" t="s">
        <v>1376</v>
      </c>
      <c r="Y279" s="150" t="s">
        <v>805</v>
      </c>
      <c r="Z279" s="150">
        <v>9.0</v>
      </c>
    </row>
    <row r="280">
      <c r="A280" s="152">
        <f>IFERROR(__xludf.DUMMYFUNCTION("query(Y:Z,""select Z Where Y ='""&amp;H280&amp;""'"",0)"),65.0)</f>
        <v>65</v>
      </c>
      <c r="B280" s="29" t="s">
        <v>1030</v>
      </c>
      <c r="C280" s="164" t="s">
        <v>1044</v>
      </c>
      <c r="D280" s="156" t="s">
        <v>57</v>
      </c>
      <c r="E280" s="33" t="s">
        <v>1025</v>
      </c>
      <c r="F280" s="157" t="s">
        <v>1122</v>
      </c>
      <c r="G280" s="33" t="s">
        <v>1123</v>
      </c>
      <c r="H280" s="90" t="s">
        <v>594</v>
      </c>
      <c r="I280" s="33" t="s">
        <v>1641</v>
      </c>
      <c r="W280" s="151" t="s">
        <v>182</v>
      </c>
      <c r="X280" s="150" t="s">
        <v>1214</v>
      </c>
      <c r="Y280" s="150" t="s">
        <v>823</v>
      </c>
      <c r="Z280" s="150">
        <v>1.0</v>
      </c>
    </row>
    <row r="281">
      <c r="A281" s="152">
        <f>IFERROR(__xludf.DUMMYFUNCTION("query(Y:Z,""select Z Where Y ='""&amp;H281&amp;""'"",0)"),71.0)</f>
        <v>71</v>
      </c>
      <c r="B281" s="29" t="s">
        <v>1030</v>
      </c>
      <c r="C281" s="164" t="s">
        <v>1044</v>
      </c>
      <c r="D281" s="156" t="s">
        <v>159</v>
      </c>
      <c r="E281" s="33" t="s">
        <v>1025</v>
      </c>
      <c r="F281" s="157" t="s">
        <v>1427</v>
      </c>
      <c r="G281" s="33" t="s">
        <v>1428</v>
      </c>
      <c r="H281" s="90" t="s">
        <v>969</v>
      </c>
      <c r="I281" s="33" t="s">
        <v>1852</v>
      </c>
      <c r="W281" s="149" t="s">
        <v>504</v>
      </c>
      <c r="X281" s="150" t="s">
        <v>1200</v>
      </c>
      <c r="Y281" s="150" t="s">
        <v>649</v>
      </c>
      <c r="Z281" s="150">
        <v>1.0</v>
      </c>
    </row>
    <row r="282">
      <c r="A282" s="152">
        <f>IFERROR(__xludf.DUMMYFUNCTION("query(Y:Z,""select Z Where Y ='""&amp;H282&amp;""'"",0)"),83.0)</f>
        <v>83</v>
      </c>
      <c r="B282" s="29" t="s">
        <v>1030</v>
      </c>
      <c r="C282" s="8" t="s">
        <v>1031</v>
      </c>
      <c r="D282" s="156" t="s">
        <v>147</v>
      </c>
      <c r="E282" s="33" t="s">
        <v>1025</v>
      </c>
      <c r="F282" s="157" t="s">
        <v>1507</v>
      </c>
      <c r="G282" s="33" t="s">
        <v>1566</v>
      </c>
      <c r="H282" s="90" t="s">
        <v>730</v>
      </c>
      <c r="I282" s="33" t="s">
        <v>1568</v>
      </c>
      <c r="W282" s="149" t="s">
        <v>504</v>
      </c>
      <c r="X282" s="150" t="s">
        <v>1370</v>
      </c>
      <c r="Y282" s="150" t="s">
        <v>849</v>
      </c>
      <c r="Z282" s="150">
        <v>7.0</v>
      </c>
    </row>
    <row r="283">
      <c r="A283" s="152">
        <f>IFERROR(__xludf.DUMMYFUNCTION("query(Y:Z,""select Z Where Y ='""&amp;H283&amp;""'"",0)"),84.0)</f>
        <v>84</v>
      </c>
      <c r="B283" s="29" t="s">
        <v>1464</v>
      </c>
      <c r="C283" s="8" t="s">
        <v>1031</v>
      </c>
      <c r="D283" s="156" t="s">
        <v>147</v>
      </c>
      <c r="E283" s="33" t="s">
        <v>1025</v>
      </c>
      <c r="F283" s="157" t="s">
        <v>1525</v>
      </c>
      <c r="G283" s="33" t="s">
        <v>1526</v>
      </c>
      <c r="H283" s="90" t="s">
        <v>672</v>
      </c>
      <c r="I283" s="33" t="s">
        <v>1540</v>
      </c>
      <c r="W283" s="151" t="s">
        <v>147</v>
      </c>
      <c r="X283" s="150" t="s">
        <v>346</v>
      </c>
      <c r="Y283" s="150" t="s">
        <v>346</v>
      </c>
      <c r="Z283" s="150">
        <v>1.0</v>
      </c>
    </row>
    <row r="284">
      <c r="A284" s="152">
        <f>IFERROR(__xludf.DUMMYFUNCTION("query(Y:Z,""select Z Where Y ='""&amp;H284&amp;""'"",0)"),85.0)</f>
        <v>85</v>
      </c>
      <c r="B284" s="29" t="s">
        <v>1464</v>
      </c>
      <c r="C284" s="164" t="s">
        <v>1181</v>
      </c>
      <c r="D284" s="156" t="s">
        <v>159</v>
      </c>
      <c r="E284" s="33" t="s">
        <v>1025</v>
      </c>
      <c r="F284" s="157" t="s">
        <v>1924</v>
      </c>
      <c r="G284" s="33" t="s">
        <v>1925</v>
      </c>
      <c r="H284" s="90" t="s">
        <v>681</v>
      </c>
      <c r="I284" s="33" t="s">
        <v>1927</v>
      </c>
      <c r="W284" s="149" t="s">
        <v>504</v>
      </c>
      <c r="X284" s="150" t="s">
        <v>1753</v>
      </c>
      <c r="Y284" s="150" t="s">
        <v>591</v>
      </c>
      <c r="Z284" s="150">
        <v>1.0</v>
      </c>
    </row>
    <row r="285">
      <c r="A285" s="152">
        <f>IFERROR(__xludf.DUMMYFUNCTION("query(Y:Z,""select Z Where Y ='""&amp;H285&amp;""'"",0)"),87.0)</f>
        <v>87</v>
      </c>
      <c r="B285" s="29" t="s">
        <v>1464</v>
      </c>
      <c r="C285" s="8" t="s">
        <v>1031</v>
      </c>
      <c r="D285" s="156" t="s">
        <v>147</v>
      </c>
      <c r="E285" s="33" t="s">
        <v>1025</v>
      </c>
      <c r="F285" s="157" t="s">
        <v>1174</v>
      </c>
      <c r="G285" s="33" t="s">
        <v>1545</v>
      </c>
      <c r="H285" s="90" t="s">
        <v>634</v>
      </c>
      <c r="I285" s="33" t="s">
        <v>1550</v>
      </c>
      <c r="W285" s="151" t="s">
        <v>96</v>
      </c>
      <c r="X285" s="150" t="s">
        <v>1370</v>
      </c>
      <c r="Y285" s="150" t="s">
        <v>629</v>
      </c>
      <c r="Z285" s="150">
        <v>15.0</v>
      </c>
    </row>
    <row r="286">
      <c r="A286" s="152">
        <f>IFERROR(__xludf.DUMMYFUNCTION("query(Y:Z,""select Z Where Y ='""&amp;H286&amp;""'"",0)"),88.0)</f>
        <v>88</v>
      </c>
      <c r="B286" s="29" t="s">
        <v>1030</v>
      </c>
      <c r="C286" s="8" t="s">
        <v>1031</v>
      </c>
      <c r="D286" s="156" t="s">
        <v>147</v>
      </c>
      <c r="E286" s="33" t="s">
        <v>1025</v>
      </c>
      <c r="F286" s="157" t="s">
        <v>1174</v>
      </c>
      <c r="G286" s="33" t="s">
        <v>1545</v>
      </c>
      <c r="H286" s="90" t="s">
        <v>860</v>
      </c>
      <c r="I286" s="33" t="s">
        <v>1560</v>
      </c>
      <c r="W286" s="149" t="s">
        <v>504</v>
      </c>
      <c r="X286" s="150" t="s">
        <v>1370</v>
      </c>
      <c r="Y286" s="150" t="s">
        <v>540</v>
      </c>
      <c r="Z286" s="150">
        <v>1.0</v>
      </c>
    </row>
    <row r="287">
      <c r="A287" s="152">
        <f>IFERROR(__xludf.DUMMYFUNCTION("query(Y:Z,""select Z Where Y ='""&amp;H287&amp;""'"",0)"),93.0)</f>
        <v>93</v>
      </c>
      <c r="B287" s="29" t="s">
        <v>1030</v>
      </c>
      <c r="C287" s="164" t="s">
        <v>1044</v>
      </c>
      <c r="D287" s="156" t="s">
        <v>159</v>
      </c>
      <c r="E287" s="33" t="s">
        <v>1025</v>
      </c>
      <c r="F287" s="157" t="s">
        <v>1427</v>
      </c>
      <c r="G287" s="33" t="s">
        <v>1428</v>
      </c>
      <c r="H287" s="90" t="s">
        <v>570</v>
      </c>
      <c r="I287" s="33" t="s">
        <v>1841</v>
      </c>
      <c r="W287" s="151" t="s">
        <v>108</v>
      </c>
      <c r="X287" s="150" t="s">
        <v>1200</v>
      </c>
      <c r="Y287" s="150" t="s">
        <v>764</v>
      </c>
      <c r="Z287" s="150">
        <v>4.0</v>
      </c>
    </row>
    <row r="288">
      <c r="A288" s="152">
        <f>IFERROR(__xludf.DUMMYFUNCTION("query(Y:Z,""select Z Where Y ='""&amp;H288&amp;""'"",0)"),101.0)</f>
        <v>101</v>
      </c>
      <c r="B288" s="29" t="s">
        <v>1030</v>
      </c>
      <c r="C288" s="8" t="s">
        <v>1031</v>
      </c>
      <c r="D288" s="156" t="s">
        <v>147</v>
      </c>
      <c r="E288" s="33" t="s">
        <v>1025</v>
      </c>
      <c r="F288" s="157" t="s">
        <v>1233</v>
      </c>
      <c r="G288" s="33" t="s">
        <v>1541</v>
      </c>
      <c r="H288" s="90" t="s">
        <v>592</v>
      </c>
      <c r="I288" s="33" t="s">
        <v>1542</v>
      </c>
      <c r="W288" s="151" t="s">
        <v>37</v>
      </c>
      <c r="X288" s="150" t="s">
        <v>1433</v>
      </c>
      <c r="Y288" s="150" t="s">
        <v>520</v>
      </c>
      <c r="Z288" s="150">
        <v>10.0</v>
      </c>
    </row>
    <row r="289">
      <c r="A289" s="152">
        <f>IFERROR(__xludf.DUMMYFUNCTION("query(Y:Z,""select Z Where Y ='""&amp;H289&amp;""'"",0)"),144.0)</f>
        <v>144</v>
      </c>
      <c r="B289" s="29" t="s">
        <v>1464</v>
      </c>
      <c r="C289" s="8" t="s">
        <v>1031</v>
      </c>
      <c r="D289" s="156" t="s">
        <v>147</v>
      </c>
      <c r="E289" s="33" t="s">
        <v>1025</v>
      </c>
      <c r="F289" s="157" t="s">
        <v>1507</v>
      </c>
      <c r="G289" s="33" t="s">
        <v>1566</v>
      </c>
      <c r="H289" s="90" t="s">
        <v>628</v>
      </c>
      <c r="I289" s="33" t="s">
        <v>1567</v>
      </c>
      <c r="W289" s="149" t="s">
        <v>504</v>
      </c>
      <c r="X289" s="150" t="s">
        <v>1370</v>
      </c>
      <c r="Y289" s="150" t="s">
        <v>574</v>
      </c>
      <c r="Z289" s="150">
        <v>1.0</v>
      </c>
    </row>
    <row r="290">
      <c r="A290" s="152">
        <f>IFERROR(__xludf.DUMMYFUNCTION("query(Y:Z,""select Z Where Y ='""&amp;H290&amp;""'"",0)"),148.0)</f>
        <v>148</v>
      </c>
      <c r="B290" s="29" t="s">
        <v>1464</v>
      </c>
      <c r="C290" s="8" t="s">
        <v>1031</v>
      </c>
      <c r="D290" s="156" t="s">
        <v>147</v>
      </c>
      <c r="E290" s="33" t="s">
        <v>1025</v>
      </c>
      <c r="F290" s="157" t="s">
        <v>1233</v>
      </c>
      <c r="G290" s="33" t="s">
        <v>1541</v>
      </c>
      <c r="H290" s="90" t="s">
        <v>533</v>
      </c>
      <c r="I290" s="33" t="s">
        <v>1544</v>
      </c>
      <c r="W290" s="151" t="s">
        <v>37</v>
      </c>
      <c r="X290" s="150" t="s">
        <v>1433</v>
      </c>
      <c r="Y290" s="150" t="s">
        <v>584</v>
      </c>
      <c r="Z290" s="150">
        <v>3.0</v>
      </c>
    </row>
    <row r="291">
      <c r="A291" s="152">
        <f>IFERROR(__xludf.DUMMYFUNCTION("query(Y:Z,""select Z Where Y ='""&amp;H291&amp;""'"",0)"),152.0)</f>
        <v>152</v>
      </c>
      <c r="B291" s="29" t="s">
        <v>1030</v>
      </c>
      <c r="C291" s="8" t="s">
        <v>1031</v>
      </c>
      <c r="D291" s="156" t="s">
        <v>96</v>
      </c>
      <c r="E291" s="33" t="s">
        <v>1025</v>
      </c>
      <c r="F291" s="157" t="s">
        <v>1134</v>
      </c>
      <c r="G291" s="33" t="s">
        <v>2576</v>
      </c>
      <c r="H291" s="90" t="s">
        <v>880</v>
      </c>
      <c r="I291" s="33" t="s">
        <v>2591</v>
      </c>
      <c r="W291" s="149" t="s">
        <v>504</v>
      </c>
      <c r="X291" s="150" t="s">
        <v>1918</v>
      </c>
      <c r="Y291" s="150" t="s">
        <v>514</v>
      </c>
      <c r="Z291" s="150">
        <v>6.0</v>
      </c>
    </row>
    <row r="292">
      <c r="A292" s="152">
        <f>IFERROR(__xludf.DUMMYFUNCTION("query(Y:Z,""select Z Where Y ='""&amp;H292&amp;""'"",0)"),170.0)</f>
        <v>170</v>
      </c>
      <c r="B292" s="29" t="s">
        <v>1464</v>
      </c>
      <c r="C292" s="8" t="s">
        <v>1031</v>
      </c>
      <c r="D292" s="156" t="s">
        <v>147</v>
      </c>
      <c r="E292" s="33" t="s">
        <v>1025</v>
      </c>
      <c r="F292" s="157" t="s">
        <v>1174</v>
      </c>
      <c r="G292" s="33" t="s">
        <v>1545</v>
      </c>
      <c r="H292" s="90" t="s">
        <v>545</v>
      </c>
      <c r="I292" s="33" t="s">
        <v>1546</v>
      </c>
      <c r="W292" s="149" t="s">
        <v>504</v>
      </c>
      <c r="X292" s="150" t="s">
        <v>1433</v>
      </c>
      <c r="Y292" s="150" t="s">
        <v>520</v>
      </c>
      <c r="Z292" s="150">
        <v>45.0</v>
      </c>
    </row>
    <row r="293">
      <c r="A293" s="152">
        <f>IFERROR(__xludf.DUMMYFUNCTION("query(Y:Z,""select Z Where Y ='""&amp;H293&amp;""'"",0)"),271.0)</f>
        <v>271</v>
      </c>
      <c r="B293" s="29" t="s">
        <v>1464</v>
      </c>
      <c r="C293" s="25" t="s">
        <v>1181</v>
      </c>
      <c r="D293" s="156" t="s">
        <v>182</v>
      </c>
      <c r="E293" s="33" t="s">
        <v>1025</v>
      </c>
      <c r="F293" s="157" t="s">
        <v>1116</v>
      </c>
      <c r="G293" s="33" t="s">
        <v>1184</v>
      </c>
      <c r="H293" s="90" t="s">
        <v>624</v>
      </c>
      <c r="I293" s="33" t="s">
        <v>1207</v>
      </c>
      <c r="W293" s="151" t="s">
        <v>78</v>
      </c>
      <c r="X293" s="150" t="s">
        <v>1376</v>
      </c>
      <c r="Y293" s="150" t="s">
        <v>991</v>
      </c>
      <c r="Z293" s="150">
        <v>3.0</v>
      </c>
    </row>
    <row r="294">
      <c r="A294" s="152">
        <f>IFERROR(__xludf.DUMMYFUNCTION("query(Y:Z,""select Z Where Y ='""&amp;H294&amp;""'"",0)"),343.0)</f>
        <v>343</v>
      </c>
      <c r="B294" s="29" t="s">
        <v>1464</v>
      </c>
      <c r="C294" s="25" t="s">
        <v>1181</v>
      </c>
      <c r="D294" s="156" t="s">
        <v>182</v>
      </c>
      <c r="E294" s="33" t="s">
        <v>1025</v>
      </c>
      <c r="F294" s="157" t="s">
        <v>1116</v>
      </c>
      <c r="G294" s="33" t="s">
        <v>1184</v>
      </c>
      <c r="H294" s="90" t="s">
        <v>559</v>
      </c>
      <c r="I294" s="33" t="s">
        <v>1190</v>
      </c>
      <c r="W294" s="151" t="s">
        <v>57</v>
      </c>
      <c r="X294" s="150" t="s">
        <v>1254</v>
      </c>
      <c r="Y294" s="150" t="s">
        <v>800</v>
      </c>
      <c r="Z294" s="150">
        <v>21.0</v>
      </c>
    </row>
    <row r="295">
      <c r="A295" s="152" t="str">
        <f>IFERROR(__xludf.DUMMYFUNCTION("query(Y:Z,""select Z Where Y ='""&amp;H295&amp;""'"",0)"),"#REF!")</f>
        <v>#REF!</v>
      </c>
      <c r="B295" s="29" t="s">
        <v>305</v>
      </c>
      <c r="C295" s="155" t="s">
        <v>303</v>
      </c>
      <c r="D295" s="156" t="s">
        <v>125</v>
      </c>
      <c r="E295" s="33" t="s">
        <v>1025</v>
      </c>
      <c r="F295" s="157" t="s">
        <v>1127</v>
      </c>
      <c r="G295" s="33" t="s">
        <v>1128</v>
      </c>
      <c r="H295" s="90" t="s">
        <v>98</v>
      </c>
      <c r="I295" s="33" t="s">
        <v>1137</v>
      </c>
      <c r="W295" s="151" t="s">
        <v>147</v>
      </c>
      <c r="X295" s="150" t="s">
        <v>1029</v>
      </c>
      <c r="Y295" s="150" t="s">
        <v>748</v>
      </c>
      <c r="Z295" s="150">
        <v>8.0</v>
      </c>
    </row>
    <row r="296">
      <c r="A296" s="152" t="str">
        <f>IFERROR(__xludf.DUMMYFUNCTION("query(Y:Z,""select Z Where Y ='""&amp;H296&amp;""'"",0)"),"#REF!")</f>
        <v>#REF!</v>
      </c>
      <c r="B296" s="29" t="s">
        <v>305</v>
      </c>
      <c r="C296" s="155" t="s">
        <v>303</v>
      </c>
      <c r="D296" s="156" t="s">
        <v>37</v>
      </c>
      <c r="E296" s="33" t="s">
        <v>1025</v>
      </c>
      <c r="F296" s="157" t="s">
        <v>1416</v>
      </c>
      <c r="G296" s="33" t="s">
        <v>1417</v>
      </c>
      <c r="H296" s="90" t="s">
        <v>557</v>
      </c>
      <c r="I296" s="33" t="s">
        <v>1418</v>
      </c>
      <c r="W296" s="151" t="s">
        <v>147</v>
      </c>
      <c r="X296" s="150" t="s">
        <v>1029</v>
      </c>
      <c r="Y296" s="150" t="s">
        <v>703</v>
      </c>
      <c r="Z296" s="150">
        <v>95.0</v>
      </c>
    </row>
    <row r="297">
      <c r="A297" s="152" t="str">
        <f>IFERROR(__xludf.DUMMYFUNCTION("query(Y:Z,""select Z Where Y ='""&amp;H297&amp;""'"",0)"),"#REF!")</f>
        <v>#REF!</v>
      </c>
      <c r="B297" s="29" t="s">
        <v>305</v>
      </c>
      <c r="C297" s="155" t="s">
        <v>303</v>
      </c>
      <c r="D297" s="156" t="s">
        <v>37</v>
      </c>
      <c r="E297" s="33" t="s">
        <v>1025</v>
      </c>
      <c r="F297" s="157" t="s">
        <v>1416</v>
      </c>
      <c r="G297" s="33" t="s">
        <v>1417</v>
      </c>
      <c r="H297" s="90" t="s">
        <v>536</v>
      </c>
      <c r="I297" s="33" t="s">
        <v>1419</v>
      </c>
      <c r="W297" s="149" t="s">
        <v>504</v>
      </c>
      <c r="X297" s="150" t="s">
        <v>1029</v>
      </c>
      <c r="Y297" s="150" t="s">
        <v>703</v>
      </c>
      <c r="Z297" s="150">
        <v>1.0</v>
      </c>
    </row>
    <row r="298">
      <c r="A298" s="152" t="str">
        <f>IFERROR(__xludf.DUMMYFUNCTION("query(Y:Z,""select Z Where Y ='""&amp;H298&amp;""'"",0)"),"#REF!")</f>
        <v>#REF!</v>
      </c>
      <c r="B298" s="29" t="s">
        <v>305</v>
      </c>
      <c r="C298" s="155" t="s">
        <v>303</v>
      </c>
      <c r="D298" s="156" t="s">
        <v>37</v>
      </c>
      <c r="E298" s="33" t="s">
        <v>1025</v>
      </c>
      <c r="F298" s="157" t="s">
        <v>1026</v>
      </c>
      <c r="G298" s="33" t="s">
        <v>1027</v>
      </c>
      <c r="H298" s="90" t="s">
        <v>523</v>
      </c>
      <c r="I298" s="33" t="s">
        <v>1423</v>
      </c>
      <c r="W298" s="151" t="s">
        <v>147</v>
      </c>
      <c r="X298" s="150" t="s">
        <v>1029</v>
      </c>
      <c r="Y298" s="150" t="s">
        <v>585</v>
      </c>
      <c r="Z298" s="150">
        <v>58.0</v>
      </c>
    </row>
    <row r="299">
      <c r="A299" s="152" t="str">
        <f>IFERROR(__xludf.DUMMYFUNCTION("query(Y:Z,""select Z Where Y ='""&amp;H299&amp;""'"",0)"),"#REF!")</f>
        <v>#REF!</v>
      </c>
      <c r="B299" s="29" t="s">
        <v>305</v>
      </c>
      <c r="C299" s="155" t="s">
        <v>303</v>
      </c>
      <c r="D299" s="156" t="s">
        <v>37</v>
      </c>
      <c r="E299" s="33" t="s">
        <v>1025</v>
      </c>
      <c r="F299" s="157" t="s">
        <v>1026</v>
      </c>
      <c r="G299" s="33" t="s">
        <v>1027</v>
      </c>
      <c r="H299" s="90" t="s">
        <v>601</v>
      </c>
      <c r="I299" s="33" t="s">
        <v>1424</v>
      </c>
      <c r="W299" s="151" t="s">
        <v>108</v>
      </c>
      <c r="X299" s="150" t="s">
        <v>1192</v>
      </c>
      <c r="Y299" s="150" t="s">
        <v>566</v>
      </c>
      <c r="Z299" s="150">
        <v>38.0</v>
      </c>
    </row>
    <row r="300">
      <c r="A300" s="152" t="str">
        <f>IFERROR(__xludf.DUMMYFUNCTION("query(Y:Z,""select Z Where Y ='""&amp;H300&amp;""'"",0)"),"#REF!")</f>
        <v>#REF!</v>
      </c>
      <c r="B300" s="29" t="s">
        <v>305</v>
      </c>
      <c r="C300" s="155" t="s">
        <v>303</v>
      </c>
      <c r="D300" s="156" t="s">
        <v>37</v>
      </c>
      <c r="E300" s="33" t="s">
        <v>1025</v>
      </c>
      <c r="F300" s="157" t="s">
        <v>1026</v>
      </c>
      <c r="G300" s="33" t="s">
        <v>1027</v>
      </c>
      <c r="H300" s="90" t="s">
        <v>666</v>
      </c>
      <c r="I300" s="33" t="s">
        <v>1426</v>
      </c>
      <c r="W300" s="149" t="s">
        <v>504</v>
      </c>
      <c r="X300" s="150" t="s">
        <v>1192</v>
      </c>
      <c r="Y300" s="150" t="s">
        <v>566</v>
      </c>
      <c r="Z300" s="150">
        <v>1.0</v>
      </c>
    </row>
    <row r="301">
      <c r="A301" s="152" t="str">
        <f>IFERROR(__xludf.DUMMYFUNCTION("query(Y:Z,""select Z Where Y ='""&amp;H301&amp;""'"",0)"),"#REF!")</f>
        <v>#REF!</v>
      </c>
      <c r="B301" s="29" t="s">
        <v>305</v>
      </c>
      <c r="C301" s="155" t="s">
        <v>303</v>
      </c>
      <c r="D301" s="156" t="s">
        <v>37</v>
      </c>
      <c r="E301" s="33" t="s">
        <v>1025</v>
      </c>
      <c r="F301" s="157" t="s">
        <v>1026</v>
      </c>
      <c r="G301" s="33" t="s">
        <v>1027</v>
      </c>
      <c r="H301" s="90" t="s">
        <v>778</v>
      </c>
      <c r="I301" s="33" t="s">
        <v>1429</v>
      </c>
      <c r="W301" s="151" t="s">
        <v>108</v>
      </c>
      <c r="X301" s="150" t="s">
        <v>1192</v>
      </c>
      <c r="Y301" s="150" t="s">
        <v>573</v>
      </c>
      <c r="Z301" s="150">
        <v>70.0</v>
      </c>
    </row>
    <row r="302">
      <c r="A302" s="152" t="str">
        <f>IFERROR(__xludf.DUMMYFUNCTION("query(Y:Z,""select Z Where Y ='""&amp;H302&amp;""'"",0)"),"#REF!")</f>
        <v>#REF!</v>
      </c>
      <c r="B302" s="29" t="s">
        <v>305</v>
      </c>
      <c r="C302" s="155" t="s">
        <v>303</v>
      </c>
      <c r="D302" s="156" t="s">
        <v>37</v>
      </c>
      <c r="E302" s="33" t="s">
        <v>1025</v>
      </c>
      <c r="F302" s="157" t="s">
        <v>1026</v>
      </c>
      <c r="G302" s="33" t="s">
        <v>1027</v>
      </c>
      <c r="H302" s="90" t="s">
        <v>869</v>
      </c>
      <c r="I302" s="33" t="s">
        <v>1431</v>
      </c>
      <c r="W302" s="149" t="s">
        <v>504</v>
      </c>
      <c r="X302" s="150" t="s">
        <v>1192</v>
      </c>
      <c r="Y302" s="150" t="s">
        <v>573</v>
      </c>
      <c r="Z302" s="150">
        <v>1.0</v>
      </c>
    </row>
    <row r="303">
      <c r="A303" s="152" t="str">
        <f>IFERROR(__xludf.DUMMYFUNCTION("query(Y:Z,""select Z Where Y ='""&amp;H303&amp;""'"",0)"),"#REF!")</f>
        <v>#REF!</v>
      </c>
      <c r="B303" s="29" t="s">
        <v>305</v>
      </c>
      <c r="C303" s="155" t="s">
        <v>303</v>
      </c>
      <c r="D303" s="156" t="s">
        <v>37</v>
      </c>
      <c r="E303" s="33" t="s">
        <v>1025</v>
      </c>
      <c r="F303" s="157" t="s">
        <v>1026</v>
      </c>
      <c r="G303" s="33" t="s">
        <v>1027</v>
      </c>
      <c r="H303" s="90" t="s">
        <v>563</v>
      </c>
      <c r="I303" s="33" t="s">
        <v>1432</v>
      </c>
      <c r="W303" s="151" t="s">
        <v>57</v>
      </c>
      <c r="X303" s="150" t="s">
        <v>1254</v>
      </c>
      <c r="Y303" s="150" t="s">
        <v>612</v>
      </c>
      <c r="Z303" s="150">
        <v>11.0</v>
      </c>
    </row>
    <row r="304">
      <c r="A304" s="152" t="str">
        <f>IFERROR(__xludf.DUMMYFUNCTION("query(Y:Z,""select Z Where Y ='""&amp;H304&amp;""'"",0)"),"#REF!")</f>
        <v>#REF!</v>
      </c>
      <c r="B304" s="29" t="s">
        <v>305</v>
      </c>
      <c r="C304" s="155" t="s">
        <v>303</v>
      </c>
      <c r="D304" s="156" t="s">
        <v>37</v>
      </c>
      <c r="E304" s="33" t="s">
        <v>1025</v>
      </c>
      <c r="F304" s="157" t="s">
        <v>1433</v>
      </c>
      <c r="G304" s="33" t="s">
        <v>1434</v>
      </c>
      <c r="H304" s="90" t="s">
        <v>520</v>
      </c>
      <c r="I304" s="33" t="s">
        <v>1435</v>
      </c>
      <c r="W304" s="151" t="s">
        <v>57</v>
      </c>
      <c r="X304" s="150" t="s">
        <v>1254</v>
      </c>
      <c r="Y304" s="150" t="s">
        <v>784</v>
      </c>
      <c r="Z304" s="150">
        <v>2.0</v>
      </c>
    </row>
    <row r="305">
      <c r="A305" s="152" t="str">
        <f>IFERROR(__xludf.DUMMYFUNCTION("query(Y:Z,""select Z Where Y ='""&amp;H305&amp;""'"",0)"),"#REF!")</f>
        <v>#REF!</v>
      </c>
      <c r="B305" s="29" t="s">
        <v>305</v>
      </c>
      <c r="C305" s="155" t="s">
        <v>303</v>
      </c>
      <c r="D305" s="156" t="s">
        <v>37</v>
      </c>
      <c r="E305" s="33" t="s">
        <v>1025</v>
      </c>
      <c r="F305" s="157" t="s">
        <v>1433</v>
      </c>
      <c r="G305" s="33" t="s">
        <v>1434</v>
      </c>
      <c r="H305" s="90" t="s">
        <v>584</v>
      </c>
      <c r="I305" s="33" t="s">
        <v>1437</v>
      </c>
      <c r="W305" s="151" t="s">
        <v>57</v>
      </c>
      <c r="X305" s="150" t="s">
        <v>1254</v>
      </c>
      <c r="Y305" s="150" t="s">
        <v>852</v>
      </c>
      <c r="Z305" s="150">
        <v>5.0</v>
      </c>
    </row>
    <row r="306">
      <c r="A306" s="152" t="str">
        <f>IFERROR(__xludf.DUMMYFUNCTION("query(Y:Z,""select Z Where Y ='""&amp;H306&amp;""'"",0)"),"#REF!")</f>
        <v>#REF!</v>
      </c>
      <c r="B306" s="29" t="s">
        <v>305</v>
      </c>
      <c r="C306" s="155" t="s">
        <v>303</v>
      </c>
      <c r="D306" s="156" t="s">
        <v>37</v>
      </c>
      <c r="E306" s="33" t="s">
        <v>1025</v>
      </c>
      <c r="F306" s="157" t="s">
        <v>1438</v>
      </c>
      <c r="G306" s="33" t="s">
        <v>1439</v>
      </c>
      <c r="H306" s="90" t="s">
        <v>528</v>
      </c>
      <c r="I306" s="33" t="s">
        <v>1440</v>
      </c>
      <c r="W306" s="151" t="s">
        <v>57</v>
      </c>
      <c r="X306" s="150" t="s">
        <v>1254</v>
      </c>
      <c r="Y306" s="150" t="s">
        <v>844</v>
      </c>
      <c r="Z306" s="150">
        <v>41.0</v>
      </c>
    </row>
    <row r="307">
      <c r="A307" s="152" t="str">
        <f>IFERROR(__xludf.DUMMYFUNCTION("query(Y:Z,""select Z Where Y ='""&amp;H307&amp;""'"",0)"),"#REF!")</f>
        <v>#REF!</v>
      </c>
      <c r="B307" s="29" t="s">
        <v>305</v>
      </c>
      <c r="C307" s="164" t="s">
        <v>303</v>
      </c>
      <c r="D307" s="156" t="s">
        <v>125</v>
      </c>
      <c r="E307" s="33" t="s">
        <v>1025</v>
      </c>
      <c r="F307" s="157" t="s">
        <v>1140</v>
      </c>
      <c r="G307" s="33" t="s">
        <v>1141</v>
      </c>
      <c r="H307" s="90" t="s">
        <v>1001</v>
      </c>
      <c r="I307" s="33" t="s">
        <v>1146</v>
      </c>
      <c r="W307" s="149" t="s">
        <v>504</v>
      </c>
      <c r="X307" s="150" t="s">
        <v>1254</v>
      </c>
      <c r="Y307" s="150" t="s">
        <v>800</v>
      </c>
      <c r="Z307" s="150">
        <v>1.0</v>
      </c>
    </row>
    <row r="308">
      <c r="A308" s="152" t="str">
        <f>IFERROR(__xludf.DUMMYFUNCTION("query(Y:Z,""select Z Where Y ='""&amp;H308&amp;""'"",0)"),"#REF!")</f>
        <v>#REF!</v>
      </c>
      <c r="B308" s="29" t="s">
        <v>1464</v>
      </c>
      <c r="C308" s="25" t="s">
        <v>1181</v>
      </c>
      <c r="D308" s="156" t="s">
        <v>182</v>
      </c>
      <c r="E308" s="33" t="s">
        <v>1025</v>
      </c>
      <c r="F308" s="157" t="s">
        <v>1116</v>
      </c>
      <c r="G308" s="33" t="s">
        <v>1184</v>
      </c>
      <c r="H308" s="90" t="s">
        <v>506</v>
      </c>
      <c r="I308" s="33" t="s">
        <v>1185</v>
      </c>
      <c r="W308" s="151" t="s">
        <v>57</v>
      </c>
      <c r="X308" s="150" t="s">
        <v>1254</v>
      </c>
      <c r="Y308" s="150" t="s">
        <v>742</v>
      </c>
      <c r="Z308" s="150">
        <v>18.0</v>
      </c>
    </row>
    <row r="309">
      <c r="A309" s="152" t="str">
        <f>IFERROR(__xludf.DUMMYFUNCTION("query(Y:Z,""select Z Where Y ='""&amp;H309&amp;""'"",0)"),"#REF!")</f>
        <v>#REF!</v>
      </c>
      <c r="B309" s="29" t="s">
        <v>1464</v>
      </c>
      <c r="C309" s="25" t="s">
        <v>1181</v>
      </c>
      <c r="D309" s="156" t="s">
        <v>182</v>
      </c>
      <c r="E309" s="33" t="s">
        <v>1025</v>
      </c>
      <c r="F309" s="157" t="s">
        <v>1116</v>
      </c>
      <c r="G309" s="33" t="s">
        <v>1184</v>
      </c>
      <c r="H309" s="90" t="s">
        <v>548</v>
      </c>
      <c r="I309" s="33" t="s">
        <v>1188</v>
      </c>
      <c r="W309" s="151" t="s">
        <v>57</v>
      </c>
      <c r="X309" s="150" t="s">
        <v>1254</v>
      </c>
      <c r="Y309" s="150" t="s">
        <v>579</v>
      </c>
      <c r="Z309" s="150">
        <v>54.0</v>
      </c>
    </row>
    <row r="310">
      <c r="A310" s="152" t="str">
        <f>IFERROR(__xludf.DUMMYFUNCTION("query(Y:Z,""select Z Where Y ='""&amp;H310&amp;""'"",0)"),"#REF!")</f>
        <v>#REF!</v>
      </c>
      <c r="B310" s="29" t="s">
        <v>1464</v>
      </c>
      <c r="C310" s="25" t="s">
        <v>1181</v>
      </c>
      <c r="D310" s="156" t="s">
        <v>182</v>
      </c>
      <c r="E310" s="33" t="s">
        <v>1025</v>
      </c>
      <c r="F310" s="157" t="s">
        <v>1116</v>
      </c>
      <c r="G310" s="33" t="s">
        <v>1184</v>
      </c>
      <c r="H310" s="90" t="s">
        <v>530</v>
      </c>
      <c r="I310" s="33" t="s">
        <v>1193</v>
      </c>
      <c r="W310" s="149" t="s">
        <v>504</v>
      </c>
      <c r="X310" s="150" t="s">
        <v>1254</v>
      </c>
      <c r="Y310" s="150" t="s">
        <v>579</v>
      </c>
      <c r="Z310" s="150">
        <v>1.0</v>
      </c>
    </row>
    <row r="311">
      <c r="A311" s="152" t="str">
        <f>IFERROR(__xludf.DUMMYFUNCTION("query(Y:Z,""select Z Where Y ='""&amp;H311&amp;""'"",0)"),"#REF!")</f>
        <v>#REF!</v>
      </c>
      <c r="B311" s="29" t="s">
        <v>1464</v>
      </c>
      <c r="C311" s="25" t="s">
        <v>1181</v>
      </c>
      <c r="D311" s="156" t="s">
        <v>182</v>
      </c>
      <c r="E311" s="33" t="s">
        <v>1025</v>
      </c>
      <c r="F311" s="157" t="s">
        <v>1116</v>
      </c>
      <c r="G311" s="33" t="s">
        <v>1184</v>
      </c>
      <c r="H311" s="90" t="s">
        <v>577</v>
      </c>
      <c r="I311" s="33" t="s">
        <v>1198</v>
      </c>
      <c r="W311" s="151" t="s">
        <v>57</v>
      </c>
      <c r="X311" s="150" t="s">
        <v>1254</v>
      </c>
      <c r="Y311" s="150" t="s">
        <v>544</v>
      </c>
      <c r="Z311" s="150">
        <v>49.0</v>
      </c>
    </row>
    <row r="312">
      <c r="A312" s="152" t="str">
        <f>IFERROR(__xludf.DUMMYFUNCTION("query(Y:Z,""select Z Where Y ='""&amp;H312&amp;""'"",0)"),"#REF!")</f>
        <v>#REF!</v>
      </c>
      <c r="B312" s="29" t="s">
        <v>1464</v>
      </c>
      <c r="C312" s="25" t="s">
        <v>1181</v>
      </c>
      <c r="D312" s="156" t="s">
        <v>182</v>
      </c>
      <c r="E312" s="33" t="s">
        <v>1025</v>
      </c>
      <c r="F312" s="157" t="s">
        <v>1116</v>
      </c>
      <c r="G312" s="33" t="s">
        <v>1184</v>
      </c>
      <c r="H312" s="90" t="s">
        <v>543</v>
      </c>
      <c r="I312" s="33" t="s">
        <v>1199</v>
      </c>
      <c r="W312" s="151" t="s">
        <v>57</v>
      </c>
      <c r="X312" s="150" t="s">
        <v>3020</v>
      </c>
      <c r="Y312" s="150" t="s">
        <v>3022</v>
      </c>
      <c r="Z312" s="150">
        <v>1.0</v>
      </c>
    </row>
    <row r="313">
      <c r="A313" s="152" t="str">
        <f>IFERROR(__xludf.DUMMYFUNCTION("query(Y:Z,""select Z Where Y ='""&amp;H313&amp;""'"",0)"),"#REF!")</f>
        <v>#REF!</v>
      </c>
      <c r="B313" s="29" t="s">
        <v>1464</v>
      </c>
      <c r="C313" s="25" t="s">
        <v>1181</v>
      </c>
      <c r="D313" s="156" t="s">
        <v>182</v>
      </c>
      <c r="E313" s="33" t="s">
        <v>1025</v>
      </c>
      <c r="F313" s="157" t="s">
        <v>1116</v>
      </c>
      <c r="G313" s="33" t="s">
        <v>1184</v>
      </c>
      <c r="H313" s="90" t="s">
        <v>507</v>
      </c>
      <c r="I313" s="33" t="s">
        <v>1203</v>
      </c>
      <c r="W313" s="151" t="s">
        <v>57</v>
      </c>
      <c r="X313" s="150" t="s">
        <v>3029</v>
      </c>
      <c r="Y313" s="150" t="s">
        <v>3031</v>
      </c>
      <c r="Z313" s="150">
        <v>1.0</v>
      </c>
    </row>
    <row r="314">
      <c r="A314" s="152" t="str">
        <f>IFERROR(__xludf.DUMMYFUNCTION("query(Y:Z,""select Z Where Y ='""&amp;H314&amp;""'"",0)"),"#REF!")</f>
        <v>#REF!</v>
      </c>
      <c r="B314" s="29" t="s">
        <v>1464</v>
      </c>
      <c r="C314" s="25" t="s">
        <v>1181</v>
      </c>
      <c r="D314" s="156" t="s">
        <v>182</v>
      </c>
      <c r="E314" s="33" t="s">
        <v>1025</v>
      </c>
      <c r="F314" s="157" t="s">
        <v>1116</v>
      </c>
      <c r="G314" s="33" t="s">
        <v>1184</v>
      </c>
      <c r="H314" s="90" t="s">
        <v>519</v>
      </c>
      <c r="I314" s="33" t="s">
        <v>1209</v>
      </c>
      <c r="W314" s="151" t="s">
        <v>78</v>
      </c>
      <c r="X314" s="150" t="s">
        <v>1376</v>
      </c>
      <c r="Y314" s="150" t="s">
        <v>838</v>
      </c>
      <c r="Z314" s="150">
        <v>4.0</v>
      </c>
    </row>
    <row r="315">
      <c r="A315" s="152" t="str">
        <f>IFERROR(__xludf.DUMMYFUNCTION("query(Y:Z,""select Z Where Y ='""&amp;H315&amp;""'"",0)"),"#REF!")</f>
        <v>#REF!</v>
      </c>
      <c r="B315" s="29" t="s">
        <v>1464</v>
      </c>
      <c r="C315" s="25" t="s">
        <v>1181</v>
      </c>
      <c r="D315" s="156" t="s">
        <v>182</v>
      </c>
      <c r="E315" s="33" t="s">
        <v>1025</v>
      </c>
      <c r="F315" s="157" t="s">
        <v>1214</v>
      </c>
      <c r="G315" s="33" t="s">
        <v>1215</v>
      </c>
      <c r="H315" s="90" t="s">
        <v>513</v>
      </c>
      <c r="I315" s="33" t="s">
        <v>1216</v>
      </c>
      <c r="W315" s="151" t="s">
        <v>78</v>
      </c>
      <c r="X315" s="150" t="s">
        <v>1376</v>
      </c>
      <c r="Y315" s="150" t="s">
        <v>876</v>
      </c>
      <c r="Z315" s="150">
        <v>14.0</v>
      </c>
    </row>
    <row r="316">
      <c r="A316" s="152" t="str">
        <f>IFERROR(__xludf.DUMMYFUNCTION("query(Y:Z,""select Z Where Y ='""&amp;H316&amp;""'"",0)"),"#REF!")</f>
        <v>#REF!</v>
      </c>
      <c r="B316" s="29" t="s">
        <v>1464</v>
      </c>
      <c r="C316" s="25" t="s">
        <v>1181</v>
      </c>
      <c r="D316" s="156" t="s">
        <v>169</v>
      </c>
      <c r="E316" s="33" t="s">
        <v>1025</v>
      </c>
      <c r="F316" s="157" t="s">
        <v>1459</v>
      </c>
      <c r="G316" s="33" t="s">
        <v>1724</v>
      </c>
      <c r="H316" s="90" t="s">
        <v>576</v>
      </c>
      <c r="I316" s="33" t="s">
        <v>1726</v>
      </c>
      <c r="W316" s="151" t="s">
        <v>78</v>
      </c>
      <c r="X316" s="150" t="s">
        <v>1376</v>
      </c>
      <c r="Y316" s="150" t="s">
        <v>721</v>
      </c>
      <c r="Z316" s="150">
        <v>11.0</v>
      </c>
    </row>
    <row r="317">
      <c r="A317" s="152" t="str">
        <f>IFERROR(__xludf.DUMMYFUNCTION("query(Y:Z,""select Z Where Y ='""&amp;H317&amp;""'"",0)"),"#REF!")</f>
        <v>#REF!</v>
      </c>
      <c r="B317" s="29" t="s">
        <v>1464</v>
      </c>
      <c r="C317" s="8" t="s">
        <v>1031</v>
      </c>
      <c r="D317" s="156" t="s">
        <v>46</v>
      </c>
      <c r="E317" s="33" t="s">
        <v>1025</v>
      </c>
      <c r="F317" s="157" t="s">
        <v>1039</v>
      </c>
      <c r="G317" s="33" t="s">
        <v>1042</v>
      </c>
      <c r="H317" s="90" t="s">
        <v>606</v>
      </c>
      <c r="I317" s="33" t="s">
        <v>1043</v>
      </c>
      <c r="W317" s="151" t="s">
        <v>78</v>
      </c>
      <c r="X317" s="150" t="s">
        <v>1376</v>
      </c>
      <c r="Y317" s="150" t="s">
        <v>993</v>
      </c>
      <c r="Z317" s="150">
        <v>19.0</v>
      </c>
    </row>
    <row r="318">
      <c r="A318" s="152" t="str">
        <f>IFERROR(__xludf.DUMMYFUNCTION("query(Y:Z,""select Z Where Y ='""&amp;H318&amp;""'"",0)"),"#REF!")</f>
        <v>#REF!</v>
      </c>
      <c r="B318" s="29" t="s">
        <v>1464</v>
      </c>
      <c r="C318" s="8" t="s">
        <v>1031</v>
      </c>
      <c r="D318" s="156" t="s">
        <v>50</v>
      </c>
      <c r="E318" s="33" t="s">
        <v>1025</v>
      </c>
      <c r="F318" s="157" t="s">
        <v>1067</v>
      </c>
      <c r="G318" s="33" t="s">
        <v>1068</v>
      </c>
      <c r="H318" s="90" t="s">
        <v>564</v>
      </c>
      <c r="I318" s="33" t="s">
        <v>1073</v>
      </c>
      <c r="W318" s="151" t="s">
        <v>108</v>
      </c>
      <c r="X318" s="150" t="s">
        <v>3066</v>
      </c>
      <c r="Y318" s="150" t="s">
        <v>640</v>
      </c>
      <c r="Z318" s="150">
        <v>1.0</v>
      </c>
    </row>
    <row r="319">
      <c r="A319" s="152" t="str">
        <f>IFERROR(__xludf.DUMMYFUNCTION("query(Y:Z,""select Z Where Y ='""&amp;H319&amp;""'"",0)"),"#REF!")</f>
        <v>#REF!</v>
      </c>
      <c r="B319" s="29" t="s">
        <v>1464</v>
      </c>
      <c r="C319" s="8" t="s">
        <v>1031</v>
      </c>
      <c r="D319" s="156" t="s">
        <v>50</v>
      </c>
      <c r="E319" s="33" t="s">
        <v>1025</v>
      </c>
      <c r="F319" s="157" t="s">
        <v>1067</v>
      </c>
      <c r="G319" s="33" t="s">
        <v>1068</v>
      </c>
      <c r="H319" s="90" t="s">
        <v>508</v>
      </c>
      <c r="I319" s="33" t="s">
        <v>1086</v>
      </c>
      <c r="W319" s="151" t="s">
        <v>108</v>
      </c>
      <c r="X319" s="150" t="s">
        <v>1204</v>
      </c>
      <c r="Y319" s="150" t="s">
        <v>617</v>
      </c>
      <c r="Z319" s="150">
        <v>21.0</v>
      </c>
    </row>
    <row r="320">
      <c r="A320" s="152" t="str">
        <f>IFERROR(__xludf.DUMMYFUNCTION("query(Y:Z,""select Z Where Y ='""&amp;H320&amp;""'"",0)"),"#REF!")</f>
        <v>#REF!</v>
      </c>
      <c r="B320" s="29" t="s">
        <v>1030</v>
      </c>
      <c r="C320" s="8" t="s">
        <v>1031</v>
      </c>
      <c r="D320" s="156" t="s">
        <v>43</v>
      </c>
      <c r="E320" s="33" t="s">
        <v>1025</v>
      </c>
      <c r="F320" s="157" t="s">
        <v>1194</v>
      </c>
      <c r="G320" s="33" t="s">
        <v>1195</v>
      </c>
      <c r="H320" s="90" t="s">
        <v>716</v>
      </c>
      <c r="I320" s="33" t="s">
        <v>1379</v>
      </c>
      <c r="W320" s="151" t="s">
        <v>108</v>
      </c>
      <c r="X320" s="150" t="s">
        <v>1204</v>
      </c>
      <c r="Y320" s="150" t="s">
        <v>115</v>
      </c>
      <c r="Z320" s="150">
        <v>12.0</v>
      </c>
    </row>
    <row r="321">
      <c r="A321" s="152" t="str">
        <f>IFERROR(__xludf.DUMMYFUNCTION("query(Y:Z,""select Z Where Y ='""&amp;H321&amp;""'"",0)"),"#REF!")</f>
        <v>#REF!</v>
      </c>
      <c r="B321" s="29" t="s">
        <v>1030</v>
      </c>
      <c r="C321" s="8" t="s">
        <v>1031</v>
      </c>
      <c r="D321" s="156" t="s">
        <v>43</v>
      </c>
      <c r="E321" s="33" t="s">
        <v>1025</v>
      </c>
      <c r="F321" s="157" t="s">
        <v>1194</v>
      </c>
      <c r="G321" s="33" t="s">
        <v>1195</v>
      </c>
      <c r="H321" s="90" t="s">
        <v>761</v>
      </c>
      <c r="I321" s="33" t="s">
        <v>1380</v>
      </c>
      <c r="W321" s="151" t="s">
        <v>108</v>
      </c>
      <c r="X321" s="150" t="s">
        <v>1204</v>
      </c>
      <c r="Y321" s="150" t="s">
        <v>537</v>
      </c>
      <c r="Z321" s="150">
        <v>164.0</v>
      </c>
    </row>
    <row r="322">
      <c r="A322" s="152" t="str">
        <f>IFERROR(__xludf.DUMMYFUNCTION("query(Y:Z,""select Z Where Y ='""&amp;H322&amp;""'"",0)"),"#REF!")</f>
        <v>#REF!</v>
      </c>
      <c r="B322" s="29" t="s">
        <v>1030</v>
      </c>
      <c r="C322" s="8" t="s">
        <v>1031</v>
      </c>
      <c r="D322" s="156" t="s">
        <v>43</v>
      </c>
      <c r="E322" s="33" t="s">
        <v>1025</v>
      </c>
      <c r="F322" s="157" t="s">
        <v>1194</v>
      </c>
      <c r="G322" s="33" t="s">
        <v>1195</v>
      </c>
      <c r="H322" s="90" t="s">
        <v>952</v>
      </c>
      <c r="I322" s="33" t="s">
        <v>1386</v>
      </c>
      <c r="W322" s="149" t="s">
        <v>504</v>
      </c>
      <c r="X322" s="150" t="s">
        <v>1026</v>
      </c>
      <c r="Y322" s="150" t="s">
        <v>851</v>
      </c>
      <c r="Z322" s="150">
        <v>2.0</v>
      </c>
    </row>
    <row r="323">
      <c r="A323" s="152" t="str">
        <f>IFERROR(__xludf.DUMMYFUNCTION("query(Y:Z,""select Z Where Y ='""&amp;H323&amp;""'"",0)"),"#N/A")</f>
        <v>#N/A</v>
      </c>
      <c r="B323" s="29" t="s">
        <v>1030</v>
      </c>
      <c r="C323" s="8" t="s">
        <v>1031</v>
      </c>
      <c r="D323" s="156" t="s">
        <v>43</v>
      </c>
      <c r="E323" s="33" t="s">
        <v>1025</v>
      </c>
      <c r="F323" s="157" t="s">
        <v>1032</v>
      </c>
      <c r="G323" s="33" t="s">
        <v>1033</v>
      </c>
      <c r="H323" s="90" t="s">
        <v>1389</v>
      </c>
      <c r="I323" s="33" t="s">
        <v>1390</v>
      </c>
      <c r="W323" s="151" t="s">
        <v>182</v>
      </c>
      <c r="X323" s="150" t="s">
        <v>1026</v>
      </c>
      <c r="Y323" s="150" t="s">
        <v>523</v>
      </c>
      <c r="Z323" s="150">
        <v>1.0</v>
      </c>
    </row>
    <row r="324">
      <c r="A324" s="152" t="str">
        <f>IFERROR(__xludf.DUMMYFUNCTION("query(Y:Z,""select Z Where Y ='""&amp;H324&amp;""'"",0)"),"#N/A")</f>
        <v>#N/A</v>
      </c>
      <c r="B324" s="29" t="s">
        <v>1030</v>
      </c>
      <c r="C324" s="8" t="s">
        <v>1031</v>
      </c>
      <c r="D324" s="156" t="s">
        <v>43</v>
      </c>
      <c r="E324" s="33" t="s">
        <v>1025</v>
      </c>
      <c r="F324" s="157" t="s">
        <v>1032</v>
      </c>
      <c r="G324" s="33" t="s">
        <v>1033</v>
      </c>
      <c r="H324" s="90" t="s">
        <v>1391</v>
      </c>
      <c r="I324" s="33" t="s">
        <v>1392</v>
      </c>
      <c r="W324" s="151" t="s">
        <v>177</v>
      </c>
      <c r="X324" s="150" t="s">
        <v>1026</v>
      </c>
      <c r="Y324" s="150" t="s">
        <v>523</v>
      </c>
      <c r="Z324" s="150">
        <v>1.0</v>
      </c>
    </row>
    <row r="325">
      <c r="A325" s="152" t="str">
        <f>IFERROR(__xludf.DUMMYFUNCTION("query(Y:Z,""select Z Where Y ='""&amp;H325&amp;""'"",0)"),"#N/A")</f>
        <v>#N/A</v>
      </c>
      <c r="B325" s="29" t="s">
        <v>1030</v>
      </c>
      <c r="C325" s="8" t="s">
        <v>1031</v>
      </c>
      <c r="D325" s="156" t="s">
        <v>43</v>
      </c>
      <c r="E325" s="33" t="s">
        <v>1025</v>
      </c>
      <c r="F325" s="157" t="s">
        <v>1081</v>
      </c>
      <c r="G325" s="33" t="s">
        <v>1393</v>
      </c>
      <c r="H325" s="90" t="s">
        <v>1398</v>
      </c>
      <c r="I325" s="33" t="s">
        <v>1399</v>
      </c>
      <c r="W325" s="151" t="s">
        <v>37</v>
      </c>
      <c r="X325" s="150" t="s">
        <v>1026</v>
      </c>
      <c r="Y325" s="150" t="s">
        <v>523</v>
      </c>
      <c r="Z325" s="150">
        <v>32.0</v>
      </c>
    </row>
    <row r="326">
      <c r="A326" s="152" t="str">
        <f>IFERROR(__xludf.DUMMYFUNCTION("query(Y:Z,""select Z Where Y ='""&amp;H326&amp;""'"",0)"),"#N/A")</f>
        <v>#N/A</v>
      </c>
      <c r="B326" s="29" t="s">
        <v>1030</v>
      </c>
      <c r="C326" s="8" t="s">
        <v>1031</v>
      </c>
      <c r="D326" s="156" t="s">
        <v>43</v>
      </c>
      <c r="E326" s="33" t="s">
        <v>1025</v>
      </c>
      <c r="F326" s="157" t="s">
        <v>1081</v>
      </c>
      <c r="G326" s="33" t="s">
        <v>1393</v>
      </c>
      <c r="H326" s="90" t="s">
        <v>1400</v>
      </c>
      <c r="I326" s="33" t="s">
        <v>1401</v>
      </c>
      <c r="W326" s="151" t="s">
        <v>37</v>
      </c>
      <c r="X326" s="150" t="s">
        <v>1026</v>
      </c>
      <c r="Y326" s="150" t="s">
        <v>601</v>
      </c>
      <c r="Z326" s="150">
        <v>9.0</v>
      </c>
    </row>
    <row r="327">
      <c r="A327" s="152" t="str">
        <f>IFERROR(__xludf.DUMMYFUNCTION("query(Y:Z,""select Z Where Y ='""&amp;H327&amp;""'"",0)"),"#REF!")</f>
        <v>#REF!</v>
      </c>
      <c r="B327" s="29" t="s">
        <v>1030</v>
      </c>
      <c r="C327" s="8" t="s">
        <v>1031</v>
      </c>
      <c r="D327" s="156" t="s">
        <v>43</v>
      </c>
      <c r="E327" s="33" t="s">
        <v>1025</v>
      </c>
      <c r="F327" s="157" t="s">
        <v>1081</v>
      </c>
      <c r="G327" s="33" t="s">
        <v>1393</v>
      </c>
      <c r="H327" s="90" t="s">
        <v>549</v>
      </c>
      <c r="I327" s="33" t="s">
        <v>1403</v>
      </c>
      <c r="W327" s="149" t="s">
        <v>504</v>
      </c>
      <c r="X327" s="150" t="s">
        <v>1026</v>
      </c>
      <c r="Y327" s="150" t="s">
        <v>601</v>
      </c>
      <c r="Z327" s="150">
        <v>8.0</v>
      </c>
    </row>
    <row r="328">
      <c r="A328" s="152" t="str">
        <f>IFERROR(__xludf.DUMMYFUNCTION("query(Y:Z,""select Z Where Y ='""&amp;H328&amp;""'"",0)"),"#REF!")</f>
        <v>#REF!</v>
      </c>
      <c r="B328" s="29" t="s">
        <v>1030</v>
      </c>
      <c r="C328" s="8" t="s">
        <v>1031</v>
      </c>
      <c r="D328" s="156" t="s">
        <v>43</v>
      </c>
      <c r="E328" s="33" t="s">
        <v>1025</v>
      </c>
      <c r="F328" s="157" t="s">
        <v>1036</v>
      </c>
      <c r="G328" s="33" t="s">
        <v>1037</v>
      </c>
      <c r="H328" s="90" t="s">
        <v>626</v>
      </c>
      <c r="I328" s="33" t="s">
        <v>1404</v>
      </c>
      <c r="W328" s="149" t="s">
        <v>504</v>
      </c>
      <c r="X328" s="150" t="s">
        <v>1026</v>
      </c>
      <c r="Y328" s="150" t="s">
        <v>778</v>
      </c>
      <c r="Z328" s="150">
        <v>4.0</v>
      </c>
    </row>
    <row r="329">
      <c r="A329" s="152" t="str">
        <f>IFERROR(__xludf.DUMMYFUNCTION("query(Y:Z,""select Z Where Y ='""&amp;H329&amp;""'"",0)"),"#N/A")</f>
        <v>#N/A</v>
      </c>
      <c r="B329" s="29" t="s">
        <v>1030</v>
      </c>
      <c r="C329" s="8" t="s">
        <v>1031</v>
      </c>
      <c r="D329" s="156" t="s">
        <v>43</v>
      </c>
      <c r="E329" s="33" t="s">
        <v>1025</v>
      </c>
      <c r="F329" s="157" t="s">
        <v>1036</v>
      </c>
      <c r="G329" s="33" t="s">
        <v>1037</v>
      </c>
      <c r="H329" s="90" t="s">
        <v>1407</v>
      </c>
      <c r="I329" s="33" t="s">
        <v>1408</v>
      </c>
      <c r="W329" s="151" t="s">
        <v>108</v>
      </c>
      <c r="X329" s="150" t="s">
        <v>1041</v>
      </c>
      <c r="Y329" s="150" t="s">
        <v>625</v>
      </c>
      <c r="Z329" s="150">
        <v>30.0</v>
      </c>
    </row>
    <row r="330">
      <c r="A330" s="152" t="str">
        <f>IFERROR(__xludf.DUMMYFUNCTION("query(Y:Z,""select Z Where Y ='""&amp;H330&amp;""'"",0)"),"#N/A")</f>
        <v>#N/A</v>
      </c>
      <c r="B330" s="29" t="s">
        <v>1030</v>
      </c>
      <c r="C330" s="8" t="s">
        <v>1031</v>
      </c>
      <c r="D330" s="156" t="s">
        <v>108</v>
      </c>
      <c r="E330" s="33" t="s">
        <v>1025</v>
      </c>
      <c r="F330" s="157" t="s">
        <v>1447</v>
      </c>
      <c r="G330" s="33" t="s">
        <v>1448</v>
      </c>
      <c r="H330" s="90" t="s">
        <v>1452</v>
      </c>
      <c r="I330" s="33" t="s">
        <v>1453</v>
      </c>
      <c r="W330" s="149" t="s">
        <v>504</v>
      </c>
      <c r="X330" s="150" t="s">
        <v>1041</v>
      </c>
      <c r="Y330" s="150" t="s">
        <v>625</v>
      </c>
      <c r="Z330" s="150">
        <v>3.0</v>
      </c>
    </row>
    <row r="331">
      <c r="A331" s="152" t="str">
        <f>IFERROR(__xludf.DUMMYFUNCTION("query(Y:Z,""select Z Where Y ='""&amp;H331&amp;""'"",0)"),"#N/A")</f>
        <v>#N/A</v>
      </c>
      <c r="B331" s="29" t="s">
        <v>1030</v>
      </c>
      <c r="C331" s="8" t="s">
        <v>1031</v>
      </c>
      <c r="D331" s="156" t="s">
        <v>108</v>
      </c>
      <c r="E331" s="33" t="s">
        <v>1025</v>
      </c>
      <c r="F331" s="157" t="s">
        <v>1447</v>
      </c>
      <c r="G331" s="33" t="s">
        <v>1448</v>
      </c>
      <c r="H331" s="90" t="s">
        <v>1457</v>
      </c>
      <c r="I331" s="33" t="s">
        <v>1458</v>
      </c>
      <c r="W331" s="149" t="s">
        <v>504</v>
      </c>
      <c r="X331" s="150" t="s">
        <v>1041</v>
      </c>
      <c r="Y331" s="150" t="s">
        <v>946</v>
      </c>
      <c r="Z331" s="150">
        <v>2.0</v>
      </c>
    </row>
    <row r="332">
      <c r="A332" s="152" t="str">
        <f>IFERROR(__xludf.DUMMYFUNCTION("query(Y:Z,""select Z Where Y ='""&amp;H332&amp;""'"",0)"),"#REF!")</f>
        <v>#REF!</v>
      </c>
      <c r="B332" s="29" t="s">
        <v>1030</v>
      </c>
      <c r="C332" s="8" t="s">
        <v>1031</v>
      </c>
      <c r="D332" s="156" t="s">
        <v>108</v>
      </c>
      <c r="E332" s="33" t="s">
        <v>1025</v>
      </c>
      <c r="F332" s="157" t="s">
        <v>1200</v>
      </c>
      <c r="G332" s="33" t="s">
        <v>1201</v>
      </c>
      <c r="H332" s="90" t="s">
        <v>714</v>
      </c>
      <c r="I332" s="33" t="s">
        <v>1462</v>
      </c>
      <c r="W332" s="151" t="s">
        <v>125</v>
      </c>
      <c r="X332" s="150" t="s">
        <v>3185</v>
      </c>
      <c r="Y332" s="150" t="s">
        <v>3187</v>
      </c>
      <c r="Z332" s="150">
        <v>1.0</v>
      </c>
    </row>
    <row r="333">
      <c r="A333" s="152" t="str">
        <f>IFERROR(__xludf.DUMMYFUNCTION("query(Y:Z,""select Z Where Y ='""&amp;H333&amp;""'"",0)"),"#N/A")</f>
        <v>#N/A</v>
      </c>
      <c r="B333" s="29" t="s">
        <v>1030</v>
      </c>
      <c r="C333" s="8" t="s">
        <v>1031</v>
      </c>
      <c r="D333" s="156" t="s">
        <v>108</v>
      </c>
      <c r="E333" s="33" t="s">
        <v>1025</v>
      </c>
      <c r="F333" s="157" t="s">
        <v>1200</v>
      </c>
      <c r="G333" s="33" t="s">
        <v>1201</v>
      </c>
      <c r="H333" s="90" t="s">
        <v>833</v>
      </c>
      <c r="I333" s="33" t="s">
        <v>1463</v>
      </c>
      <c r="W333" s="151" t="s">
        <v>108</v>
      </c>
      <c r="X333" s="150" t="s">
        <v>589</v>
      </c>
      <c r="Y333" s="150" t="s">
        <v>1210</v>
      </c>
      <c r="Z333" s="150">
        <v>5.0</v>
      </c>
    </row>
    <row r="334">
      <c r="A334" s="152" t="str">
        <f>IFERROR(__xludf.DUMMYFUNCTION("query(Y:Z,""select Z Where Y ='""&amp;H334&amp;""'"",0)"),"#REF!")</f>
        <v>#REF!</v>
      </c>
      <c r="B334" s="29" t="s">
        <v>1030</v>
      </c>
      <c r="C334" s="8" t="s">
        <v>1031</v>
      </c>
      <c r="D334" s="156" t="s">
        <v>108</v>
      </c>
      <c r="E334" s="33" t="s">
        <v>1025</v>
      </c>
      <c r="F334" s="157" t="s">
        <v>1200</v>
      </c>
      <c r="G334" s="33" t="s">
        <v>1201</v>
      </c>
      <c r="H334" s="90" t="s">
        <v>649</v>
      </c>
      <c r="I334" s="33" t="s">
        <v>1466</v>
      </c>
      <c r="W334" s="149" t="s">
        <v>504</v>
      </c>
      <c r="X334" s="150" t="s">
        <v>1210</v>
      </c>
      <c r="Y334" s="150" t="s">
        <v>518</v>
      </c>
      <c r="Z334" s="150">
        <v>14.0</v>
      </c>
    </row>
    <row r="335">
      <c r="A335" s="152" t="str">
        <f>IFERROR(__xludf.DUMMYFUNCTION("query(Y:Z,""select Z Where Y ='""&amp;H335&amp;""'"",0)"),"#REF!")</f>
        <v>#REF!</v>
      </c>
      <c r="B335" s="29" t="s">
        <v>1030</v>
      </c>
      <c r="C335" s="8" t="s">
        <v>1031</v>
      </c>
      <c r="D335" s="156" t="s">
        <v>108</v>
      </c>
      <c r="E335" s="33" t="s">
        <v>1025</v>
      </c>
      <c r="F335" s="157" t="s">
        <v>1200</v>
      </c>
      <c r="G335" s="33" t="s">
        <v>1201</v>
      </c>
      <c r="H335" s="90" t="s">
        <v>630</v>
      </c>
      <c r="I335" s="33" t="s">
        <v>1468</v>
      </c>
      <c r="W335" s="151" t="s">
        <v>108</v>
      </c>
      <c r="X335" s="150" t="s">
        <v>1210</v>
      </c>
      <c r="Y335" s="150" t="s">
        <v>590</v>
      </c>
      <c r="Z335" s="150">
        <v>11.0</v>
      </c>
    </row>
    <row r="336">
      <c r="A336" s="152" t="str">
        <f>IFERROR(__xludf.DUMMYFUNCTION("query(Y:Z,""select Z Where Y ='""&amp;H336&amp;""'"",0)"),"#REF!")</f>
        <v>#REF!</v>
      </c>
      <c r="B336" s="29" t="s">
        <v>1030</v>
      </c>
      <c r="C336" s="8" t="s">
        <v>1031</v>
      </c>
      <c r="D336" s="156" t="s">
        <v>108</v>
      </c>
      <c r="E336" s="33" t="s">
        <v>1025</v>
      </c>
      <c r="F336" s="157" t="s">
        <v>1415</v>
      </c>
      <c r="G336" s="33" t="s">
        <v>1472</v>
      </c>
      <c r="H336" s="90" t="s">
        <v>515</v>
      </c>
      <c r="I336" s="33" t="s">
        <v>1473</v>
      </c>
      <c r="W336" s="151" t="s">
        <v>108</v>
      </c>
      <c r="X336" s="150" t="s">
        <v>1210</v>
      </c>
      <c r="Y336" s="150" t="s">
        <v>1212</v>
      </c>
      <c r="Z336" s="150">
        <v>2.0</v>
      </c>
    </row>
    <row r="337">
      <c r="A337" s="152" t="str">
        <f>IFERROR(__xludf.DUMMYFUNCTION("query(Y:Z,""select Z Where Y ='""&amp;H337&amp;""'"",0)"),"#REF!")</f>
        <v>#REF!</v>
      </c>
      <c r="B337" s="29" t="s">
        <v>1030</v>
      </c>
      <c r="C337" s="8" t="s">
        <v>1031</v>
      </c>
      <c r="D337" s="156" t="s">
        <v>108</v>
      </c>
      <c r="E337" s="33" t="s">
        <v>1025</v>
      </c>
      <c r="F337" s="157" t="s">
        <v>1415</v>
      </c>
      <c r="G337" s="33" t="s">
        <v>1472</v>
      </c>
      <c r="H337" s="90" t="s">
        <v>568</v>
      </c>
      <c r="I337" s="33" t="s">
        <v>1477</v>
      </c>
      <c r="W337" s="149" t="s">
        <v>504</v>
      </c>
      <c r="X337" s="150" t="s">
        <v>1210</v>
      </c>
      <c r="Y337" s="150" t="s">
        <v>707</v>
      </c>
      <c r="Z337" s="150">
        <v>2.0</v>
      </c>
    </row>
    <row r="338">
      <c r="A338" s="152" t="str">
        <f>IFERROR(__xludf.DUMMYFUNCTION("query(Y:Z,""select Z Where Y ='""&amp;H338&amp;""'"",0)"),"#REF!")</f>
        <v>#REF!</v>
      </c>
      <c r="B338" s="29" t="s">
        <v>1030</v>
      </c>
      <c r="C338" s="8" t="s">
        <v>1031</v>
      </c>
      <c r="D338" s="156" t="s">
        <v>108</v>
      </c>
      <c r="E338" s="33" t="s">
        <v>1025</v>
      </c>
      <c r="F338" s="157" t="s">
        <v>1204</v>
      </c>
      <c r="G338" s="33" t="s">
        <v>1205</v>
      </c>
      <c r="H338" s="90" t="s">
        <v>115</v>
      </c>
      <c r="I338" s="33" t="s">
        <v>1480</v>
      </c>
      <c r="W338" s="149" t="s">
        <v>504</v>
      </c>
      <c r="X338" s="150" t="s">
        <v>3252</v>
      </c>
      <c r="Y338" s="150" t="s">
        <v>3253</v>
      </c>
      <c r="Z338" s="150">
        <v>1.0</v>
      </c>
    </row>
    <row r="339">
      <c r="A339" s="152" t="str">
        <f>IFERROR(__xludf.DUMMYFUNCTION("query(Y:Z,""select Z Where Y ='""&amp;H339&amp;""'"",0)"),"#REF!")</f>
        <v>#REF!</v>
      </c>
      <c r="B339" s="29" t="s">
        <v>1030</v>
      </c>
      <c r="C339" s="8" t="s">
        <v>1031</v>
      </c>
      <c r="D339" s="156" t="s">
        <v>108</v>
      </c>
      <c r="E339" s="33" t="s">
        <v>1025</v>
      </c>
      <c r="F339" s="157" t="s">
        <v>1204</v>
      </c>
      <c r="G339" s="33" t="s">
        <v>1205</v>
      </c>
      <c r="H339" s="90" t="s">
        <v>537</v>
      </c>
      <c r="I339" s="33" t="s">
        <v>1481</v>
      </c>
      <c r="W339" s="151" t="s">
        <v>108</v>
      </c>
      <c r="X339" s="150" t="s">
        <v>1208</v>
      </c>
      <c r="Y339" s="150" t="s">
        <v>685</v>
      </c>
      <c r="Z339" s="150">
        <v>7.0</v>
      </c>
    </row>
    <row r="340">
      <c r="A340" s="152" t="str">
        <f>IFERROR(__xludf.DUMMYFUNCTION("query(Y:Z,""select Z Where Y ='""&amp;H340&amp;""'"",0)"),"#REF!")</f>
        <v>#REF!</v>
      </c>
      <c r="B340" s="29" t="s">
        <v>1030</v>
      </c>
      <c r="C340" s="8" t="s">
        <v>1031</v>
      </c>
      <c r="D340" s="156" t="s">
        <v>108</v>
      </c>
      <c r="E340" s="33" t="s">
        <v>1025</v>
      </c>
      <c r="F340" s="157" t="s">
        <v>1192</v>
      </c>
      <c r="G340" s="33" t="s">
        <v>1485</v>
      </c>
      <c r="H340" s="90" t="s">
        <v>566</v>
      </c>
      <c r="I340" s="33" t="s">
        <v>1486</v>
      </c>
      <c r="W340" s="151" t="s">
        <v>108</v>
      </c>
      <c r="X340" s="150" t="s">
        <v>1208</v>
      </c>
      <c r="Y340" s="150" t="s">
        <v>962</v>
      </c>
      <c r="Z340" s="150">
        <v>13.0</v>
      </c>
    </row>
    <row r="341">
      <c r="A341" s="152" t="str">
        <f>IFERROR(__xludf.DUMMYFUNCTION("query(Y:Z,""select Z Where Y ='""&amp;H341&amp;""'"",0)"),"#REF!")</f>
        <v>#REF!</v>
      </c>
      <c r="B341" s="29" t="s">
        <v>1030</v>
      </c>
      <c r="C341" s="8" t="s">
        <v>1031</v>
      </c>
      <c r="D341" s="156" t="s">
        <v>108</v>
      </c>
      <c r="E341" s="33" t="s">
        <v>1025</v>
      </c>
      <c r="F341" s="157" t="s">
        <v>1192</v>
      </c>
      <c r="G341" s="33" t="s">
        <v>1485</v>
      </c>
      <c r="H341" s="90" t="s">
        <v>573</v>
      </c>
      <c r="I341" s="33" t="s">
        <v>1487</v>
      </c>
      <c r="W341" s="151" t="s">
        <v>108</v>
      </c>
      <c r="X341" s="150" t="s">
        <v>1208</v>
      </c>
      <c r="Y341" s="150" t="s">
        <v>688</v>
      </c>
      <c r="Z341" s="150">
        <v>1.0</v>
      </c>
    </row>
    <row r="342">
      <c r="A342" s="152" t="str">
        <f>IFERROR(__xludf.DUMMYFUNCTION("query(Y:Z,""select Z Where Y ='""&amp;H342&amp;""'"",0)"),"#REF!")</f>
        <v>#REF!</v>
      </c>
      <c r="B342" s="29" t="s">
        <v>1030</v>
      </c>
      <c r="C342" s="8" t="s">
        <v>1031</v>
      </c>
      <c r="D342" s="156" t="s">
        <v>108</v>
      </c>
      <c r="E342" s="33" t="s">
        <v>1025</v>
      </c>
      <c r="F342" s="157" t="s">
        <v>1210</v>
      </c>
      <c r="G342" s="33" t="s">
        <v>1211</v>
      </c>
      <c r="H342" s="90" t="s">
        <v>589</v>
      </c>
      <c r="I342" s="33" t="s">
        <v>1489</v>
      </c>
      <c r="W342" s="149" t="s">
        <v>504</v>
      </c>
      <c r="X342" s="150" t="s">
        <v>1208</v>
      </c>
      <c r="Y342" s="150" t="s">
        <v>749</v>
      </c>
      <c r="Z342" s="150">
        <v>1.0</v>
      </c>
    </row>
    <row r="343">
      <c r="A343" s="152" t="str">
        <f>IFERROR(__xludf.DUMMYFUNCTION("query(Y:Z,""select Z Where Y ='""&amp;H343&amp;""'"",0)"),"#REF!")</f>
        <v>#REF!</v>
      </c>
      <c r="B343" s="29" t="s">
        <v>1030</v>
      </c>
      <c r="C343" s="8" t="s">
        <v>1031</v>
      </c>
      <c r="D343" s="156" t="s">
        <v>108</v>
      </c>
      <c r="E343" s="33" t="s">
        <v>1025</v>
      </c>
      <c r="F343" s="157" t="s">
        <v>1210</v>
      </c>
      <c r="G343" s="33" t="s">
        <v>1211</v>
      </c>
      <c r="H343" s="90" t="s">
        <v>518</v>
      </c>
      <c r="I343" s="33" t="s">
        <v>1491</v>
      </c>
      <c r="W343" s="151" t="s">
        <v>108</v>
      </c>
      <c r="X343" s="150" t="s">
        <v>1208</v>
      </c>
      <c r="Y343" s="150" t="s">
        <v>749</v>
      </c>
      <c r="Z343" s="150">
        <v>6.0</v>
      </c>
    </row>
    <row r="344">
      <c r="A344" s="152" t="str">
        <f>IFERROR(__xludf.DUMMYFUNCTION("query(Y:Z,""select Z Where Y ='""&amp;H344&amp;""'"",0)"),"#REF!")</f>
        <v>#REF!</v>
      </c>
      <c r="B344" s="29" t="s">
        <v>1030</v>
      </c>
      <c r="C344" s="8" t="s">
        <v>1031</v>
      </c>
      <c r="D344" s="156" t="s">
        <v>108</v>
      </c>
      <c r="E344" s="33" t="s">
        <v>1025</v>
      </c>
      <c r="F344" s="157" t="s">
        <v>1210</v>
      </c>
      <c r="G344" s="33" t="s">
        <v>1211</v>
      </c>
      <c r="H344" s="90" t="s">
        <v>1492</v>
      </c>
      <c r="I344" s="33" t="s">
        <v>1493</v>
      </c>
      <c r="W344" s="151" t="s">
        <v>108</v>
      </c>
      <c r="X344" s="150" t="s">
        <v>1208</v>
      </c>
      <c r="Y344" s="150" t="s">
        <v>845</v>
      </c>
      <c r="Z344" s="150">
        <v>3.0</v>
      </c>
    </row>
    <row r="345">
      <c r="A345" s="152" t="str">
        <f>IFERROR(__xludf.DUMMYFUNCTION("query(Y:Z,""select Z Where Y ='""&amp;H345&amp;""'"",0)"),"#REF!")</f>
        <v>#REF!</v>
      </c>
      <c r="B345" s="29" t="s">
        <v>1030</v>
      </c>
      <c r="C345" s="8" t="s">
        <v>1031</v>
      </c>
      <c r="D345" s="156" t="s">
        <v>108</v>
      </c>
      <c r="E345" s="33" t="s">
        <v>1025</v>
      </c>
      <c r="F345" s="157" t="s">
        <v>1210</v>
      </c>
      <c r="G345" s="33" t="s">
        <v>1211</v>
      </c>
      <c r="H345" s="90" t="s">
        <v>707</v>
      </c>
      <c r="I345" s="33" t="s">
        <v>1494</v>
      </c>
      <c r="W345" s="149" t="s">
        <v>504</v>
      </c>
      <c r="X345" s="150" t="s">
        <v>1208</v>
      </c>
      <c r="Y345" s="150" t="s">
        <v>962</v>
      </c>
      <c r="Z345" s="150">
        <v>2.0</v>
      </c>
    </row>
    <row r="346">
      <c r="A346" s="152" t="str">
        <f>IFERROR(__xludf.DUMMYFUNCTION("query(Y:Z,""select Z Where Y ='""&amp;H346&amp;""'"",0)"),"#REF!")</f>
        <v>#REF!</v>
      </c>
      <c r="B346" s="29" t="s">
        <v>1030</v>
      </c>
      <c r="C346" s="8" t="s">
        <v>1031</v>
      </c>
      <c r="D346" s="156" t="s">
        <v>108</v>
      </c>
      <c r="E346" s="33" t="s">
        <v>1025</v>
      </c>
      <c r="F346" s="157" t="s">
        <v>1210</v>
      </c>
      <c r="G346" s="33" t="s">
        <v>1211</v>
      </c>
      <c r="H346" s="90" t="s">
        <v>951</v>
      </c>
      <c r="I346" s="33" t="s">
        <v>1497</v>
      </c>
      <c r="W346" s="149" t="s">
        <v>504</v>
      </c>
      <c r="X346" s="150" t="s">
        <v>1208</v>
      </c>
      <c r="Y346" s="150" t="s">
        <v>763</v>
      </c>
      <c r="Z346" s="150">
        <v>1.0</v>
      </c>
    </row>
    <row r="347">
      <c r="A347" s="152" t="str">
        <f>IFERROR(__xludf.DUMMYFUNCTION("query(Y:Z,""select Z Where Y ='""&amp;H347&amp;""'"",0)"),"#REF!")</f>
        <v>#REF!</v>
      </c>
      <c r="B347" s="29" t="s">
        <v>1030</v>
      </c>
      <c r="C347" s="8" t="s">
        <v>1031</v>
      </c>
      <c r="D347" s="156" t="s">
        <v>108</v>
      </c>
      <c r="E347" s="33" t="s">
        <v>1025</v>
      </c>
      <c r="F347" s="157" t="s">
        <v>1208</v>
      </c>
      <c r="G347" s="33" t="s">
        <v>1295</v>
      </c>
      <c r="H347" s="90" t="s">
        <v>962</v>
      </c>
      <c r="I347" s="33" t="s">
        <v>1499</v>
      </c>
      <c r="W347" s="151" t="s">
        <v>50</v>
      </c>
      <c r="X347" s="150" t="s">
        <v>1055</v>
      </c>
      <c r="Y347" s="150" t="s">
        <v>997</v>
      </c>
      <c r="Z347" s="150">
        <v>4.0</v>
      </c>
    </row>
    <row r="348">
      <c r="A348" s="152" t="str">
        <f>IFERROR(__xludf.DUMMYFUNCTION("query(Y:Z,""select Z Where Y ='""&amp;H348&amp;""'"",0)"),"#REF!")</f>
        <v>#REF!</v>
      </c>
      <c r="B348" s="29" t="s">
        <v>1030</v>
      </c>
      <c r="C348" s="8" t="s">
        <v>1031</v>
      </c>
      <c r="D348" s="156" t="s">
        <v>108</v>
      </c>
      <c r="E348" s="33" t="s">
        <v>1025</v>
      </c>
      <c r="F348" s="157" t="s">
        <v>1208</v>
      </c>
      <c r="G348" s="33" t="s">
        <v>1295</v>
      </c>
      <c r="H348" s="90" t="s">
        <v>763</v>
      </c>
      <c r="I348" s="33" t="s">
        <v>1500</v>
      </c>
      <c r="W348" s="151" t="s">
        <v>50</v>
      </c>
      <c r="X348" s="150" t="s">
        <v>1055</v>
      </c>
      <c r="Y348" s="150" t="s">
        <v>850</v>
      </c>
      <c r="Z348" s="150">
        <v>6.0</v>
      </c>
    </row>
    <row r="349">
      <c r="A349" s="152" t="str">
        <f>IFERROR(__xludf.DUMMYFUNCTION("query(Y:Z,""select Z Where Y ='""&amp;H349&amp;""'"",0)"),"#REF!")</f>
        <v>#REF!</v>
      </c>
      <c r="B349" s="29" t="s">
        <v>1030</v>
      </c>
      <c r="C349" s="8" t="s">
        <v>1031</v>
      </c>
      <c r="D349" s="156" t="s">
        <v>108</v>
      </c>
      <c r="E349" s="33" t="s">
        <v>1025</v>
      </c>
      <c r="F349" s="157" t="s">
        <v>1208</v>
      </c>
      <c r="G349" s="33" t="s">
        <v>1295</v>
      </c>
      <c r="H349" s="90" t="s">
        <v>749</v>
      </c>
      <c r="I349" s="33" t="s">
        <v>1501</v>
      </c>
      <c r="W349" s="151" t="s">
        <v>50</v>
      </c>
      <c r="X349" s="150" t="s">
        <v>1055</v>
      </c>
      <c r="Y349" s="150" t="s">
        <v>735</v>
      </c>
      <c r="Z349" s="150">
        <v>29.0</v>
      </c>
    </row>
    <row r="350">
      <c r="A350" s="152" t="str">
        <f>IFERROR(__xludf.DUMMYFUNCTION("query(Y:Z,""select Z Where Y ='""&amp;H350&amp;""'"",0)"),"#REF!")</f>
        <v>#REF!</v>
      </c>
      <c r="B350" s="29" t="s">
        <v>1030</v>
      </c>
      <c r="C350" s="8" t="s">
        <v>1031</v>
      </c>
      <c r="D350" s="156" t="s">
        <v>108</v>
      </c>
      <c r="E350" s="33" t="s">
        <v>1025</v>
      </c>
      <c r="F350" s="157" t="s">
        <v>1208</v>
      </c>
      <c r="G350" s="33" t="s">
        <v>1295</v>
      </c>
      <c r="H350" s="90" t="s">
        <v>688</v>
      </c>
      <c r="I350" s="33" t="s">
        <v>1502</v>
      </c>
      <c r="W350" s="151" t="s">
        <v>50</v>
      </c>
      <c r="X350" s="150" t="s">
        <v>1055</v>
      </c>
      <c r="Y350" s="150" t="s">
        <v>940</v>
      </c>
      <c r="Z350" s="150">
        <v>4.0</v>
      </c>
    </row>
    <row r="351">
      <c r="A351" s="152" t="str">
        <f>IFERROR(__xludf.DUMMYFUNCTION("query(Y:Z,""select Z Where Y ='""&amp;H351&amp;""'"",0)"),"#REF!")</f>
        <v>#REF!</v>
      </c>
      <c r="B351" s="29" t="s">
        <v>1030</v>
      </c>
      <c r="C351" s="8" t="s">
        <v>1031</v>
      </c>
      <c r="D351" s="156" t="s">
        <v>108</v>
      </c>
      <c r="E351" s="33" t="s">
        <v>1025</v>
      </c>
      <c r="F351" s="157" t="s">
        <v>1208</v>
      </c>
      <c r="G351" s="33" t="s">
        <v>1295</v>
      </c>
      <c r="H351" s="90" t="s">
        <v>685</v>
      </c>
      <c r="I351" s="33" t="s">
        <v>1508</v>
      </c>
      <c r="W351" s="151" t="s">
        <v>50</v>
      </c>
      <c r="X351" s="150" t="s">
        <v>1055</v>
      </c>
      <c r="Y351" s="150" t="s">
        <v>841</v>
      </c>
      <c r="Z351" s="150">
        <v>1.0</v>
      </c>
    </row>
    <row r="352">
      <c r="A352" s="152" t="str">
        <f>IFERROR(__xludf.DUMMYFUNCTION("query(Y:Z,""select Z Where Y ='""&amp;H352&amp;""'"",0)"),"#REF!")</f>
        <v>#REF!</v>
      </c>
      <c r="B352" s="29" t="s">
        <v>1464</v>
      </c>
      <c r="C352" s="8" t="s">
        <v>1031</v>
      </c>
      <c r="D352" s="156" t="s">
        <v>147</v>
      </c>
      <c r="E352" s="33" t="s">
        <v>1025</v>
      </c>
      <c r="F352" s="157" t="s">
        <v>1525</v>
      </c>
      <c r="G352" s="33" t="s">
        <v>1526</v>
      </c>
      <c r="H352" s="90" t="s">
        <v>821</v>
      </c>
      <c r="I352" s="33" t="s">
        <v>1527</v>
      </c>
      <c r="W352" s="151" t="s">
        <v>50</v>
      </c>
      <c r="X352" s="150" t="s">
        <v>1055</v>
      </c>
      <c r="Y352" s="150" t="s">
        <v>990</v>
      </c>
      <c r="Z352" s="150">
        <v>1.0</v>
      </c>
    </row>
    <row r="353">
      <c r="A353" s="152" t="str">
        <f>IFERROR(__xludf.DUMMYFUNCTION("query(Y:Z,""select Z Where Y ='""&amp;H353&amp;""'"",0)"),"#REF!")</f>
        <v>#REF!</v>
      </c>
      <c r="B353" s="29" t="s">
        <v>1464</v>
      </c>
      <c r="C353" s="8" t="s">
        <v>1031</v>
      </c>
      <c r="D353" s="156" t="s">
        <v>147</v>
      </c>
      <c r="E353" s="33" t="s">
        <v>1025</v>
      </c>
      <c r="F353" s="157" t="s">
        <v>1525</v>
      </c>
      <c r="G353" s="33" t="s">
        <v>1526</v>
      </c>
      <c r="H353" s="90" t="s">
        <v>581</v>
      </c>
      <c r="I353" s="33" t="s">
        <v>1530</v>
      </c>
      <c r="W353" s="151" t="s">
        <v>57</v>
      </c>
      <c r="X353" s="150" t="s">
        <v>1246</v>
      </c>
      <c r="Y353" s="150" t="s">
        <v>954</v>
      </c>
      <c r="Z353" s="150">
        <v>2.0</v>
      </c>
    </row>
    <row r="354">
      <c r="A354" s="152" t="str">
        <f>IFERROR(__xludf.DUMMYFUNCTION("query(Y:Z,""select Z Where Y ='""&amp;H354&amp;""'"",0)"),"#REF!")</f>
        <v>#REF!</v>
      </c>
      <c r="B354" s="29" t="s">
        <v>1464</v>
      </c>
      <c r="C354" s="8" t="s">
        <v>1031</v>
      </c>
      <c r="D354" s="156" t="s">
        <v>147</v>
      </c>
      <c r="E354" s="33" t="s">
        <v>1025</v>
      </c>
      <c r="F354" s="157" t="s">
        <v>1525</v>
      </c>
      <c r="G354" s="33" t="s">
        <v>1526</v>
      </c>
      <c r="H354" s="90" t="s">
        <v>511</v>
      </c>
      <c r="I354" s="33" t="s">
        <v>1531</v>
      </c>
      <c r="W354" s="151" t="s">
        <v>57</v>
      </c>
      <c r="X354" s="150" t="s">
        <v>1246</v>
      </c>
      <c r="Y354" s="150" t="s">
        <v>908</v>
      </c>
      <c r="Z354" s="150">
        <v>20.0</v>
      </c>
    </row>
    <row r="355">
      <c r="A355" s="152" t="str">
        <f>IFERROR(__xludf.DUMMYFUNCTION("query(Y:Z,""select Z Where Y ='""&amp;H355&amp;""'"",0)"),"#REF!")</f>
        <v>#REF!</v>
      </c>
      <c r="B355" s="29" t="s">
        <v>1464</v>
      </c>
      <c r="C355" s="8" t="s">
        <v>1031</v>
      </c>
      <c r="D355" s="156" t="s">
        <v>147</v>
      </c>
      <c r="E355" s="33" t="s">
        <v>1025</v>
      </c>
      <c r="F355" s="157" t="s">
        <v>1525</v>
      </c>
      <c r="G355" s="33" t="s">
        <v>1526</v>
      </c>
      <c r="H355" s="90" t="s">
        <v>874</v>
      </c>
      <c r="I355" s="33" t="s">
        <v>1532</v>
      </c>
      <c r="W355" s="149" t="s">
        <v>504</v>
      </c>
      <c r="X355" s="150" t="s">
        <v>1246</v>
      </c>
      <c r="Y355" s="150" t="s">
        <v>908</v>
      </c>
      <c r="Z355" s="150">
        <v>1.0</v>
      </c>
    </row>
    <row r="356">
      <c r="A356" s="152" t="str">
        <f>IFERROR(__xludf.DUMMYFUNCTION("query(Y:Z,""select Z Where Y ='""&amp;H356&amp;""'"",0)"),"#REF!")</f>
        <v>#REF!</v>
      </c>
      <c r="B356" s="29" t="s">
        <v>1464</v>
      </c>
      <c r="C356" s="8" t="s">
        <v>1031</v>
      </c>
      <c r="D356" s="156" t="s">
        <v>147</v>
      </c>
      <c r="E356" s="33" t="s">
        <v>1025</v>
      </c>
      <c r="F356" s="157" t="s">
        <v>1525</v>
      </c>
      <c r="G356" s="33" t="s">
        <v>1526</v>
      </c>
      <c r="H356" s="90" t="s">
        <v>760</v>
      </c>
      <c r="I356" s="33" t="s">
        <v>1533</v>
      </c>
      <c r="W356" s="149" t="s">
        <v>504</v>
      </c>
      <c r="X356" s="150" t="s">
        <v>1246</v>
      </c>
      <c r="Y356" s="150" t="s">
        <v>643</v>
      </c>
      <c r="Z356" s="150">
        <v>2.0</v>
      </c>
    </row>
    <row r="357">
      <c r="A357" s="152" t="str">
        <f>IFERROR(__xludf.DUMMYFUNCTION("query(Y:Z,""select Z Where Y ='""&amp;H357&amp;""'"",0)"),"#REF!")</f>
        <v>#REF!</v>
      </c>
      <c r="B357" s="29" t="s">
        <v>1464</v>
      </c>
      <c r="C357" s="8" t="s">
        <v>1031</v>
      </c>
      <c r="D357" s="156" t="s">
        <v>147</v>
      </c>
      <c r="E357" s="33" t="s">
        <v>1025</v>
      </c>
      <c r="F357" s="157" t="s">
        <v>1174</v>
      </c>
      <c r="G357" s="33" t="s">
        <v>1545</v>
      </c>
      <c r="H357" s="90" t="s">
        <v>600</v>
      </c>
      <c r="I357" s="33" t="s">
        <v>1547</v>
      </c>
      <c r="W357" s="149" t="s">
        <v>504</v>
      </c>
      <c r="X357" s="150" t="s">
        <v>1433</v>
      </c>
      <c r="Y357" s="150" t="s">
        <v>584</v>
      </c>
      <c r="Z357" s="150">
        <v>29.0</v>
      </c>
    </row>
    <row r="358">
      <c r="A358" s="152" t="str">
        <f>IFERROR(__xludf.DUMMYFUNCTION("query(Y:Z,""select Z Where Y ='""&amp;H358&amp;""'"",0)"),"#REF!")</f>
        <v>#REF!</v>
      </c>
      <c r="B358" s="29" t="s">
        <v>1030</v>
      </c>
      <c r="C358" s="8" t="s">
        <v>1031</v>
      </c>
      <c r="D358" s="156" t="s">
        <v>147</v>
      </c>
      <c r="E358" s="33" t="s">
        <v>1025</v>
      </c>
      <c r="F358" s="157" t="s">
        <v>1174</v>
      </c>
      <c r="G358" s="33" t="s">
        <v>1545</v>
      </c>
      <c r="H358" s="90" t="s">
        <v>733</v>
      </c>
      <c r="I358" s="33" t="s">
        <v>1551</v>
      </c>
      <c r="W358" s="149" t="s">
        <v>504</v>
      </c>
      <c r="X358" s="150" t="s">
        <v>1370</v>
      </c>
      <c r="Y358" s="150" t="s">
        <v>858</v>
      </c>
      <c r="Z358" s="150">
        <v>1.0</v>
      </c>
    </row>
    <row r="359">
      <c r="A359" s="152" t="str">
        <f>IFERROR(__xludf.DUMMYFUNCTION("query(Y:Z,""select Z Where Y ='""&amp;H359&amp;""'"",0)"),"#REF!")</f>
        <v>#REF!</v>
      </c>
      <c r="B359" s="29" t="s">
        <v>1464</v>
      </c>
      <c r="C359" s="8" t="s">
        <v>1031</v>
      </c>
      <c r="D359" s="156" t="s">
        <v>147</v>
      </c>
      <c r="E359" s="33" t="s">
        <v>1025</v>
      </c>
      <c r="F359" s="157" t="s">
        <v>1174</v>
      </c>
      <c r="G359" s="33" t="s">
        <v>1545</v>
      </c>
      <c r="H359" s="90" t="s">
        <v>659</v>
      </c>
      <c r="I359" s="33" t="s">
        <v>1554</v>
      </c>
      <c r="W359" s="151" t="s">
        <v>96</v>
      </c>
      <c r="X359" s="150" t="s">
        <v>1370</v>
      </c>
      <c r="Y359" s="150" t="s">
        <v>858</v>
      </c>
      <c r="Z359" s="150">
        <v>18.0</v>
      </c>
    </row>
    <row r="360">
      <c r="A360" s="152" t="str">
        <f>IFERROR(__xludf.DUMMYFUNCTION("query(Y:Z,""select Z Where Y ='""&amp;H360&amp;""'"",0)"),"#REF!")</f>
        <v>#REF!</v>
      </c>
      <c r="B360" s="29" t="s">
        <v>1464</v>
      </c>
      <c r="C360" s="8" t="s">
        <v>1031</v>
      </c>
      <c r="D360" s="156" t="s">
        <v>147</v>
      </c>
      <c r="E360" s="33" t="s">
        <v>1025</v>
      </c>
      <c r="F360" s="157" t="s">
        <v>1174</v>
      </c>
      <c r="G360" s="33" t="s">
        <v>1545</v>
      </c>
      <c r="H360" s="90" t="s">
        <v>901</v>
      </c>
      <c r="I360" s="33" t="s">
        <v>1555</v>
      </c>
      <c r="W360" s="151" t="s">
        <v>96</v>
      </c>
      <c r="X360" s="150" t="s">
        <v>1370</v>
      </c>
      <c r="Y360" s="150" t="s">
        <v>574</v>
      </c>
      <c r="Z360" s="150">
        <v>15.0</v>
      </c>
    </row>
    <row r="361">
      <c r="A361" s="152" t="str">
        <f>IFERROR(__xludf.DUMMYFUNCTION("query(Y:Z,""select Z Where Y ='""&amp;H361&amp;""'"",0)"),"#REF!")</f>
        <v>#REF!</v>
      </c>
      <c r="B361" s="29" t="s">
        <v>1464</v>
      </c>
      <c r="C361" s="8" t="s">
        <v>1031</v>
      </c>
      <c r="D361" s="156" t="s">
        <v>147</v>
      </c>
      <c r="E361" s="33" t="s">
        <v>1025</v>
      </c>
      <c r="F361" s="157" t="s">
        <v>1174</v>
      </c>
      <c r="G361" s="33" t="s">
        <v>1545</v>
      </c>
      <c r="H361" s="90" t="s">
        <v>781</v>
      </c>
      <c r="I361" s="33" t="s">
        <v>1561</v>
      </c>
      <c r="W361" s="151" t="s">
        <v>96</v>
      </c>
      <c r="X361" s="150" t="s">
        <v>1370</v>
      </c>
      <c r="Y361" s="150" t="s">
        <v>614</v>
      </c>
      <c r="Z361" s="150">
        <v>70.0</v>
      </c>
    </row>
    <row r="362">
      <c r="A362" s="152" t="str">
        <f>IFERROR(__xludf.DUMMYFUNCTION("query(Y:Z,""select Z Where Y ='""&amp;H362&amp;""'"",0)"),"#REF!")</f>
        <v>#REF!</v>
      </c>
      <c r="B362" s="29" t="s">
        <v>1030</v>
      </c>
      <c r="C362" s="8" t="s">
        <v>1031</v>
      </c>
      <c r="D362" s="156" t="s">
        <v>147</v>
      </c>
      <c r="E362" s="33" t="s">
        <v>1025</v>
      </c>
      <c r="F362" s="157" t="s">
        <v>1174</v>
      </c>
      <c r="G362" s="33" t="s">
        <v>1545</v>
      </c>
      <c r="H362" s="90" t="s">
        <v>878</v>
      </c>
      <c r="I362" s="33" t="s">
        <v>1564</v>
      </c>
      <c r="W362" s="151" t="s">
        <v>147</v>
      </c>
      <c r="X362" s="150" t="s">
        <v>1370</v>
      </c>
      <c r="Y362" s="150" t="s">
        <v>849</v>
      </c>
      <c r="Z362" s="150">
        <v>1.0</v>
      </c>
    </row>
    <row r="363">
      <c r="A363" s="152" t="str">
        <f>IFERROR(__xludf.DUMMYFUNCTION("query(Y:Z,""select Z Where Y ='""&amp;H363&amp;""'"",0)"),"#REF!")</f>
        <v>#REF!</v>
      </c>
      <c r="B363" s="29" t="s">
        <v>1464</v>
      </c>
      <c r="C363" s="8" t="s">
        <v>1031</v>
      </c>
      <c r="D363" s="156" t="s">
        <v>147</v>
      </c>
      <c r="E363" s="33" t="s">
        <v>1025</v>
      </c>
      <c r="F363" s="157" t="s">
        <v>1174</v>
      </c>
      <c r="G363" s="33" t="s">
        <v>1545</v>
      </c>
      <c r="H363" s="90" t="s">
        <v>580</v>
      </c>
      <c r="I363" s="33" t="s">
        <v>1565</v>
      </c>
      <c r="W363" s="151" t="s">
        <v>96</v>
      </c>
      <c r="X363" s="150" t="s">
        <v>1370</v>
      </c>
      <c r="Y363" s="150" t="s">
        <v>849</v>
      </c>
      <c r="Z363" s="150">
        <v>115.0</v>
      </c>
    </row>
    <row r="364">
      <c r="A364" s="152" t="str">
        <f>IFERROR(__xludf.DUMMYFUNCTION("query(Y:Z,""select Z Where Y ='""&amp;H364&amp;""'"",0)"),"#REF!")</f>
        <v>#REF!</v>
      </c>
      <c r="B364" s="29" t="s">
        <v>1030</v>
      </c>
      <c r="C364" s="8" t="s">
        <v>1031</v>
      </c>
      <c r="D364" s="156" t="s">
        <v>147</v>
      </c>
      <c r="E364" s="33" t="s">
        <v>1025</v>
      </c>
      <c r="F364" s="157" t="s">
        <v>1121</v>
      </c>
      <c r="G364" s="33" t="s">
        <v>1570</v>
      </c>
      <c r="H364" s="90" t="s">
        <v>675</v>
      </c>
      <c r="I364" s="33" t="s">
        <v>1572</v>
      </c>
      <c r="W364" s="151" t="s">
        <v>96</v>
      </c>
      <c r="X364" s="150" t="s">
        <v>3459</v>
      </c>
      <c r="Y364" s="150" t="s">
        <v>3460</v>
      </c>
      <c r="Z364" s="150">
        <v>3.0</v>
      </c>
    </row>
    <row r="365">
      <c r="A365" s="152" t="str">
        <f>IFERROR(__xludf.DUMMYFUNCTION("query(Y:Z,""select Z Where Y ='""&amp;H365&amp;""'"",0)"),"#REF!")</f>
        <v>#REF!</v>
      </c>
      <c r="B365" s="29" t="s">
        <v>1030</v>
      </c>
      <c r="C365" s="8" t="s">
        <v>1031</v>
      </c>
      <c r="D365" s="156" t="s">
        <v>147</v>
      </c>
      <c r="E365" s="33" t="s">
        <v>1025</v>
      </c>
      <c r="F365" s="157" t="s">
        <v>1121</v>
      </c>
      <c r="G365" s="33" t="s">
        <v>1570</v>
      </c>
      <c r="H365" s="90" t="s">
        <v>615</v>
      </c>
      <c r="I365" s="33" t="s">
        <v>1574</v>
      </c>
      <c r="W365" s="151" t="s">
        <v>169</v>
      </c>
      <c r="X365" s="150" t="s">
        <v>1482</v>
      </c>
      <c r="Y365" s="150" t="s">
        <v>872</v>
      </c>
      <c r="Z365" s="150">
        <v>6.0</v>
      </c>
    </row>
    <row r="366">
      <c r="A366" s="152" t="str">
        <f>IFERROR(__xludf.DUMMYFUNCTION("query(Y:Z,""select Z Where Y ='""&amp;H366&amp;""'"",0)"),"#REF!")</f>
        <v>#REF!</v>
      </c>
      <c r="B366" s="29" t="s">
        <v>1030</v>
      </c>
      <c r="C366" s="8" t="s">
        <v>1031</v>
      </c>
      <c r="D366" s="156" t="s">
        <v>147</v>
      </c>
      <c r="E366" s="33" t="s">
        <v>1025</v>
      </c>
      <c r="F366" s="157" t="s">
        <v>1575</v>
      </c>
      <c r="G366" s="33" t="s">
        <v>1576</v>
      </c>
      <c r="H366" s="90" t="s">
        <v>524</v>
      </c>
      <c r="I366" s="33" t="s">
        <v>1577</v>
      </c>
      <c r="W366" s="151" t="s">
        <v>169</v>
      </c>
      <c r="X366" s="150" t="s">
        <v>1482</v>
      </c>
      <c r="Y366" s="150" t="s">
        <v>737</v>
      </c>
      <c r="Z366" s="150">
        <v>87.0</v>
      </c>
    </row>
    <row r="367">
      <c r="A367" s="152" t="str">
        <f>IFERROR(__xludf.DUMMYFUNCTION("query(Y:Z,""select Z Where Y ='""&amp;H367&amp;""'"",0)"),"#REF!")</f>
        <v>#REF!</v>
      </c>
      <c r="B367" s="29" t="s">
        <v>1030</v>
      </c>
      <c r="C367" s="8" t="s">
        <v>1031</v>
      </c>
      <c r="D367" s="156" t="s">
        <v>147</v>
      </c>
      <c r="E367" s="33" t="s">
        <v>1025</v>
      </c>
      <c r="F367" s="157" t="s">
        <v>1575</v>
      </c>
      <c r="G367" s="33" t="s">
        <v>1576</v>
      </c>
      <c r="H367" s="90" t="s">
        <v>550</v>
      </c>
      <c r="I367" s="33" t="s">
        <v>1579</v>
      </c>
      <c r="W367" s="151" t="s">
        <v>169</v>
      </c>
      <c r="X367" s="150" t="s">
        <v>1482</v>
      </c>
      <c r="Y367" s="150" t="s">
        <v>882</v>
      </c>
      <c r="Z367" s="150">
        <v>23.0</v>
      </c>
    </row>
    <row r="368">
      <c r="A368" s="152" t="str">
        <f>IFERROR(__xludf.DUMMYFUNCTION("query(Y:Z,""select Z Where Y ='""&amp;H368&amp;""'"",0)"),"#REF!")</f>
        <v>#REF!</v>
      </c>
      <c r="B368" s="29" t="s">
        <v>1464</v>
      </c>
      <c r="C368" s="8" t="s">
        <v>1031</v>
      </c>
      <c r="D368" s="156" t="s">
        <v>147</v>
      </c>
      <c r="E368" s="33" t="s">
        <v>1025</v>
      </c>
      <c r="F368" s="157" t="s">
        <v>1575</v>
      </c>
      <c r="G368" s="33" t="s">
        <v>1576</v>
      </c>
      <c r="H368" s="90" t="s">
        <v>797</v>
      </c>
      <c r="I368" s="33" t="s">
        <v>1580</v>
      </c>
      <c r="W368" s="151" t="s">
        <v>169</v>
      </c>
      <c r="X368" s="150" t="s">
        <v>1482</v>
      </c>
      <c r="Y368" s="150" t="s">
        <v>646</v>
      </c>
      <c r="Z368" s="150">
        <v>24.0</v>
      </c>
    </row>
    <row r="369">
      <c r="A369" s="152" t="str">
        <f>IFERROR(__xludf.DUMMYFUNCTION("query(Y:Z,""select Z Where Y ='""&amp;H369&amp;""'"",0)"),"#REF!")</f>
        <v>#REF!</v>
      </c>
      <c r="B369" s="29" t="s">
        <v>1464</v>
      </c>
      <c r="C369" s="8" t="s">
        <v>1031</v>
      </c>
      <c r="D369" s="156" t="s">
        <v>169</v>
      </c>
      <c r="E369" s="33" t="s">
        <v>1025</v>
      </c>
      <c r="F369" s="157" t="s">
        <v>1164</v>
      </c>
      <c r="G369" s="33" t="s">
        <v>1729</v>
      </c>
      <c r="H369" s="90" t="s">
        <v>567</v>
      </c>
      <c r="I369" s="33" t="s">
        <v>1731</v>
      </c>
      <c r="W369" s="151" t="s">
        <v>57</v>
      </c>
      <c r="X369" s="150" t="s">
        <v>1482</v>
      </c>
      <c r="Y369" s="150" t="s">
        <v>522</v>
      </c>
      <c r="Z369" s="150">
        <v>2.0</v>
      </c>
    </row>
    <row r="370">
      <c r="A370" s="152" t="str">
        <f>IFERROR(__xludf.DUMMYFUNCTION("query(Y:Z,""select Z Where Y ='""&amp;H370&amp;""'"",0)"),"#REF!")</f>
        <v>#REF!</v>
      </c>
      <c r="B370" s="29" t="s">
        <v>1464</v>
      </c>
      <c r="C370" s="8" t="s">
        <v>1031</v>
      </c>
      <c r="D370" s="156" t="s">
        <v>169</v>
      </c>
      <c r="E370" s="33" t="s">
        <v>1025</v>
      </c>
      <c r="F370" s="157" t="s">
        <v>1164</v>
      </c>
      <c r="G370" s="33" t="s">
        <v>1729</v>
      </c>
      <c r="H370" s="90" t="s">
        <v>631</v>
      </c>
      <c r="I370" s="33" t="s">
        <v>1735</v>
      </c>
      <c r="W370" s="151" t="s">
        <v>169</v>
      </c>
      <c r="X370" s="150" t="s">
        <v>1482</v>
      </c>
      <c r="Y370" s="150" t="s">
        <v>713</v>
      </c>
      <c r="Z370" s="150">
        <v>56.0</v>
      </c>
    </row>
    <row r="371">
      <c r="A371" s="152" t="str">
        <f>IFERROR(__xludf.DUMMYFUNCTION("query(Y:Z,""select Z Where Y ='""&amp;H371&amp;""'"",0)"),"#REF!")</f>
        <v>#REF!</v>
      </c>
      <c r="B371" s="29" t="s">
        <v>1030</v>
      </c>
      <c r="C371" s="8" t="s">
        <v>1031</v>
      </c>
      <c r="D371" s="156" t="s">
        <v>169</v>
      </c>
      <c r="E371" s="33" t="s">
        <v>1025</v>
      </c>
      <c r="F371" s="157" t="s">
        <v>1164</v>
      </c>
      <c r="G371" s="33" t="s">
        <v>1729</v>
      </c>
      <c r="H371" s="90" t="s">
        <v>692</v>
      </c>
      <c r="I371" s="33" t="s">
        <v>1739</v>
      </c>
      <c r="W371" s="151" t="s">
        <v>147</v>
      </c>
      <c r="X371" s="150" t="s">
        <v>1482</v>
      </c>
      <c r="Y371" s="150" t="s">
        <v>737</v>
      </c>
      <c r="Z371" s="150">
        <v>1.0</v>
      </c>
    </row>
    <row r="372">
      <c r="A372" s="152" t="str">
        <f>IFERROR(__xludf.DUMMYFUNCTION("query(Y:Z,""select Z Where Y ='""&amp;H372&amp;""'"",0)"),"#REF!")</f>
        <v>#REF!</v>
      </c>
      <c r="B372" s="29" t="s">
        <v>305</v>
      </c>
      <c r="C372" s="8" t="s">
        <v>1031</v>
      </c>
      <c r="D372" s="156" t="s">
        <v>169</v>
      </c>
      <c r="E372" s="33" t="s">
        <v>1025</v>
      </c>
      <c r="F372" s="157" t="s">
        <v>1164</v>
      </c>
      <c r="G372" s="33" t="s">
        <v>1729</v>
      </c>
      <c r="H372" s="90" t="s">
        <v>697</v>
      </c>
      <c r="I372" s="33" t="s">
        <v>1743</v>
      </c>
      <c r="W372" s="149" t="s">
        <v>504</v>
      </c>
      <c r="X372" s="150" t="s">
        <v>1482</v>
      </c>
      <c r="Y372" s="150" t="s">
        <v>646</v>
      </c>
      <c r="Z372" s="150">
        <v>1.0</v>
      </c>
    </row>
    <row r="373">
      <c r="A373" s="152" t="str">
        <f>IFERROR(__xludf.DUMMYFUNCTION("query(Y:Z,""select Z Where Y ='""&amp;H373&amp;""'"",0)"),"#REF!")</f>
        <v>#REF!</v>
      </c>
      <c r="B373" s="29" t="s">
        <v>1030</v>
      </c>
      <c r="C373" s="8" t="s">
        <v>1031</v>
      </c>
      <c r="D373" s="156" t="s">
        <v>169</v>
      </c>
      <c r="E373" s="33" t="s">
        <v>1025</v>
      </c>
      <c r="F373" s="157" t="s">
        <v>1753</v>
      </c>
      <c r="G373" s="33" t="s">
        <v>1754</v>
      </c>
      <c r="H373" s="90" t="s">
        <v>591</v>
      </c>
      <c r="I373" s="33" t="s">
        <v>1757</v>
      </c>
      <c r="W373" s="151" t="s">
        <v>169</v>
      </c>
      <c r="X373" s="150" t="s">
        <v>1482</v>
      </c>
      <c r="Y373" s="150" t="s">
        <v>1007</v>
      </c>
      <c r="Z373" s="150">
        <v>29.0</v>
      </c>
    </row>
    <row r="374">
      <c r="A374" s="152" t="str">
        <f>IFERROR(__xludf.DUMMYFUNCTION("query(Y:Z,""select Z Where Y ='""&amp;H374&amp;""'"",0)"),"#REF!")</f>
        <v>#REF!</v>
      </c>
      <c r="B374" s="29" t="s">
        <v>1464</v>
      </c>
      <c r="C374" s="8" t="s">
        <v>1031</v>
      </c>
      <c r="D374" s="156" t="s">
        <v>169</v>
      </c>
      <c r="E374" s="33" t="s">
        <v>1025</v>
      </c>
      <c r="F374" s="157" t="s">
        <v>1753</v>
      </c>
      <c r="G374" s="33" t="s">
        <v>1754</v>
      </c>
      <c r="H374" s="90" t="s">
        <v>553</v>
      </c>
      <c r="I374" s="33" t="s">
        <v>1761</v>
      </c>
      <c r="W374" s="151" t="s">
        <v>125</v>
      </c>
      <c r="X374" s="150" t="s">
        <v>1482</v>
      </c>
      <c r="Y374" s="150" t="s">
        <v>522</v>
      </c>
      <c r="Z374" s="150">
        <v>1.0</v>
      </c>
    </row>
    <row r="375">
      <c r="A375" s="152" t="str">
        <f>IFERROR(__xludf.DUMMYFUNCTION("query(Y:Z,""select Z Where Y ='""&amp;H375&amp;""'"",0)"),"#REF!")</f>
        <v>#REF!</v>
      </c>
      <c r="B375" s="29" t="s">
        <v>1030</v>
      </c>
      <c r="C375" s="8" t="s">
        <v>1031</v>
      </c>
      <c r="D375" s="156" t="s">
        <v>169</v>
      </c>
      <c r="E375" s="33" t="s">
        <v>1025</v>
      </c>
      <c r="F375" s="157" t="s">
        <v>1482</v>
      </c>
      <c r="G375" s="33" t="s">
        <v>1483</v>
      </c>
      <c r="H375" s="90" t="s">
        <v>646</v>
      </c>
      <c r="I375" s="33" t="s">
        <v>1765</v>
      </c>
      <c r="W375" s="151" t="s">
        <v>169</v>
      </c>
      <c r="X375" s="150" t="s">
        <v>1482</v>
      </c>
      <c r="Y375" s="150" t="s">
        <v>686</v>
      </c>
      <c r="Z375" s="150">
        <v>47.0</v>
      </c>
    </row>
    <row r="376">
      <c r="A376" s="152" t="str">
        <f>IFERROR(__xludf.DUMMYFUNCTION("query(Y:Z,""select Z Where Y ='""&amp;H376&amp;""'"",0)"),"#REF!")</f>
        <v>#REF!</v>
      </c>
      <c r="B376" s="29" t="s">
        <v>1464</v>
      </c>
      <c r="C376" s="8" t="s">
        <v>1031</v>
      </c>
      <c r="D376" s="156" t="s">
        <v>169</v>
      </c>
      <c r="E376" s="33" t="s">
        <v>1025</v>
      </c>
      <c r="F376" s="157" t="s">
        <v>1482</v>
      </c>
      <c r="G376" s="33" t="s">
        <v>1483</v>
      </c>
      <c r="H376" s="90" t="s">
        <v>522</v>
      </c>
      <c r="I376" s="33" t="s">
        <v>1771</v>
      </c>
      <c r="W376" s="149" t="s">
        <v>504</v>
      </c>
      <c r="X376" s="150" t="s">
        <v>1482</v>
      </c>
      <c r="Y376" s="150" t="s">
        <v>1007</v>
      </c>
      <c r="Z376" s="150">
        <v>2.0</v>
      </c>
    </row>
    <row r="377">
      <c r="A377" s="152" t="str">
        <f>IFERROR(__xludf.DUMMYFUNCTION("query(Y:Z,""select Z Where Y ='""&amp;H377&amp;""'"",0)"),"#REF!")</f>
        <v>#REF!</v>
      </c>
      <c r="B377" s="29" t="s">
        <v>1464</v>
      </c>
      <c r="C377" s="8" t="s">
        <v>1031</v>
      </c>
      <c r="D377" s="156" t="s">
        <v>169</v>
      </c>
      <c r="E377" s="33" t="s">
        <v>1025</v>
      </c>
      <c r="F377" s="157" t="s">
        <v>1482</v>
      </c>
      <c r="G377" s="33" t="s">
        <v>1483</v>
      </c>
      <c r="H377" s="90" t="s">
        <v>686</v>
      </c>
      <c r="I377" s="33" t="s">
        <v>1778</v>
      </c>
      <c r="W377" s="149" t="s">
        <v>504</v>
      </c>
      <c r="X377" s="150" t="s">
        <v>1482</v>
      </c>
      <c r="Y377" s="150" t="s">
        <v>686</v>
      </c>
      <c r="Z377" s="150">
        <v>1.0</v>
      </c>
    </row>
    <row r="378">
      <c r="A378" s="152" t="str">
        <f>IFERROR(__xludf.DUMMYFUNCTION("query(Y:Z,""select Z Where Y ='""&amp;H378&amp;""'"",0)"),"#REF!")</f>
        <v>#REF!</v>
      </c>
      <c r="B378" s="29" t="s">
        <v>1464</v>
      </c>
      <c r="C378" s="8" t="s">
        <v>1031</v>
      </c>
      <c r="D378" s="156" t="s">
        <v>169</v>
      </c>
      <c r="E378" s="33" t="s">
        <v>1025</v>
      </c>
      <c r="F378" s="157" t="s">
        <v>1482</v>
      </c>
      <c r="G378" s="33" t="s">
        <v>1483</v>
      </c>
      <c r="H378" s="90" t="s">
        <v>737</v>
      </c>
      <c r="I378" s="33" t="s">
        <v>1783</v>
      </c>
      <c r="W378" s="151" t="s">
        <v>169</v>
      </c>
      <c r="X378" s="150" t="s">
        <v>1482</v>
      </c>
      <c r="Y378" s="150" t="s">
        <v>913</v>
      </c>
      <c r="Z378" s="150">
        <v>9.0</v>
      </c>
    </row>
    <row r="379">
      <c r="A379" s="152" t="str">
        <f>IFERROR(__xludf.DUMMYFUNCTION("query(Y:Z,""select Z Where Y ='""&amp;H379&amp;""'"",0)"),"#REF!")</f>
        <v>#REF!</v>
      </c>
      <c r="B379" s="29" t="s">
        <v>1464</v>
      </c>
      <c r="C379" s="8" t="s">
        <v>1031</v>
      </c>
      <c r="D379" s="156" t="s">
        <v>169</v>
      </c>
      <c r="E379" s="33" t="s">
        <v>1025</v>
      </c>
      <c r="F379" s="157" t="s">
        <v>1482</v>
      </c>
      <c r="G379" s="33" t="s">
        <v>1483</v>
      </c>
      <c r="H379" s="90" t="s">
        <v>926</v>
      </c>
      <c r="I379" s="33" t="s">
        <v>1787</v>
      </c>
      <c r="W379" s="151" t="s">
        <v>169</v>
      </c>
      <c r="X379" s="150" t="s">
        <v>1482</v>
      </c>
      <c r="Y379" s="150" t="s">
        <v>799</v>
      </c>
      <c r="Z379" s="150">
        <v>23.0</v>
      </c>
    </row>
    <row r="380">
      <c r="A380" s="152" t="str">
        <f>IFERROR(__xludf.DUMMYFUNCTION("query(Y:Z,""select Z Where Y ='""&amp;H380&amp;""'"",0)"),"#REF!")</f>
        <v>#REF!</v>
      </c>
      <c r="B380" s="29" t="s">
        <v>1030</v>
      </c>
      <c r="C380" s="8" t="s">
        <v>1031</v>
      </c>
      <c r="D380" s="156" t="s">
        <v>169</v>
      </c>
      <c r="E380" s="33" t="s">
        <v>1025</v>
      </c>
      <c r="F380" s="157" t="s">
        <v>1459</v>
      </c>
      <c r="G380" s="33" t="s">
        <v>1724</v>
      </c>
      <c r="H380" s="90" t="s">
        <v>886</v>
      </c>
      <c r="I380" s="33" t="s">
        <v>1796</v>
      </c>
      <c r="W380" s="151" t="s">
        <v>169</v>
      </c>
      <c r="X380" s="150" t="s">
        <v>1482</v>
      </c>
      <c r="Y380" s="150" t="s">
        <v>713</v>
      </c>
      <c r="Z380" s="150">
        <v>1.0</v>
      </c>
    </row>
    <row r="381">
      <c r="A381" s="152" t="str">
        <f>IFERROR(__xludf.DUMMYFUNCTION("query(Y:Z,""select Z Where Y ='""&amp;H381&amp;""'"",0)"),"#REF!")</f>
        <v>#REF!</v>
      </c>
      <c r="B381" s="29" t="s">
        <v>1464</v>
      </c>
      <c r="C381" s="8" t="s">
        <v>1031</v>
      </c>
      <c r="D381" s="156" t="s">
        <v>169</v>
      </c>
      <c r="E381" s="33" t="s">
        <v>1025</v>
      </c>
      <c r="F381" s="157" t="s">
        <v>1459</v>
      </c>
      <c r="G381" s="33" t="s">
        <v>1724</v>
      </c>
      <c r="H381" s="90" t="s">
        <v>583</v>
      </c>
      <c r="I381" s="33" t="s">
        <v>1801</v>
      </c>
      <c r="W381" s="151" t="s">
        <v>169</v>
      </c>
      <c r="X381" s="150" t="s">
        <v>3582</v>
      </c>
      <c r="Y381" s="150" t="s">
        <v>3584</v>
      </c>
      <c r="Z381" s="150">
        <v>1.0</v>
      </c>
    </row>
    <row r="382">
      <c r="A382" s="152" t="str">
        <f>IFERROR(__xludf.DUMMYFUNCTION("query(Y:Z,""select Z Where Y ='""&amp;H382&amp;""'"",0)"),"#REF!")</f>
        <v>#REF!</v>
      </c>
      <c r="B382" s="29" t="s">
        <v>1464</v>
      </c>
      <c r="C382" s="8" t="s">
        <v>1031</v>
      </c>
      <c r="D382" s="156" t="s">
        <v>169</v>
      </c>
      <c r="E382" s="33" t="s">
        <v>1025</v>
      </c>
      <c r="F382" s="157" t="s">
        <v>1459</v>
      </c>
      <c r="G382" s="33" t="s">
        <v>1724</v>
      </c>
      <c r="H382" s="90" t="s">
        <v>509</v>
      </c>
      <c r="I382" s="33" t="s">
        <v>1807</v>
      </c>
      <c r="W382" s="151" t="s">
        <v>169</v>
      </c>
      <c r="X382" s="150" t="s">
        <v>3595</v>
      </c>
      <c r="Y382" s="150" t="s">
        <v>3596</v>
      </c>
      <c r="Z382" s="150">
        <v>1.0</v>
      </c>
    </row>
    <row r="383">
      <c r="A383" s="152" t="str">
        <f>IFERROR(__xludf.DUMMYFUNCTION("query(Y:Z,""select Z Where Y ='""&amp;H383&amp;""'"",0)"),"#REF!")</f>
        <v>#REF!</v>
      </c>
      <c r="B383" s="29" t="s">
        <v>1030</v>
      </c>
      <c r="C383" s="8" t="s">
        <v>1031</v>
      </c>
      <c r="D383" s="156" t="s">
        <v>169</v>
      </c>
      <c r="E383" s="33" t="s">
        <v>1025</v>
      </c>
      <c r="F383" s="157" t="s">
        <v>1459</v>
      </c>
      <c r="G383" s="33" t="s">
        <v>1724</v>
      </c>
      <c r="H383" s="90" t="s">
        <v>684</v>
      </c>
      <c r="I383" s="33" t="s">
        <v>1810</v>
      </c>
      <c r="W383" s="151" t="s">
        <v>169</v>
      </c>
      <c r="X383" s="150" t="s">
        <v>3606</v>
      </c>
      <c r="Y383" s="150" t="s">
        <v>3607</v>
      </c>
      <c r="Z383" s="150">
        <v>3.0</v>
      </c>
    </row>
    <row r="384">
      <c r="A384" s="152" t="str">
        <f>IFERROR(__xludf.DUMMYFUNCTION("query(Y:Z,""select Z Where Y ='""&amp;H384&amp;""'"",0)"),"#REF!")</f>
        <v>#REF!</v>
      </c>
      <c r="B384" s="29" t="s">
        <v>1030</v>
      </c>
      <c r="C384" s="8" t="s">
        <v>1031</v>
      </c>
      <c r="D384" s="156" t="s">
        <v>96</v>
      </c>
      <c r="E384" s="33" t="s">
        <v>1025</v>
      </c>
      <c r="F384" s="157" t="s">
        <v>1134</v>
      </c>
      <c r="G384" s="33" t="s">
        <v>2576</v>
      </c>
      <c r="H384" s="90" t="s">
        <v>655</v>
      </c>
      <c r="I384" s="33" t="s">
        <v>2579</v>
      </c>
      <c r="W384" s="151" t="s">
        <v>177</v>
      </c>
      <c r="X384" s="150" t="s">
        <v>1918</v>
      </c>
      <c r="Y384" s="150" t="s">
        <v>514</v>
      </c>
      <c r="Z384" s="150">
        <v>647.0</v>
      </c>
    </row>
    <row r="385">
      <c r="A385" s="152" t="str">
        <f>IFERROR(__xludf.DUMMYFUNCTION("query(Y:Z,""select Z Where Y ='""&amp;H385&amp;""'"",0)"),"#REF!")</f>
        <v>#REF!</v>
      </c>
      <c r="B385" s="29" t="s">
        <v>1464</v>
      </c>
      <c r="C385" s="8" t="s">
        <v>1031</v>
      </c>
      <c r="D385" s="156" t="s">
        <v>96</v>
      </c>
      <c r="E385" s="33" t="s">
        <v>1025</v>
      </c>
      <c r="F385" s="157" t="s">
        <v>1134</v>
      </c>
      <c r="G385" s="33" t="s">
        <v>2576</v>
      </c>
      <c r="H385" s="90" t="s">
        <v>569</v>
      </c>
      <c r="I385" s="33" t="s">
        <v>2585</v>
      </c>
      <c r="W385" s="149" t="s">
        <v>504</v>
      </c>
      <c r="X385" s="150" t="s">
        <v>1918</v>
      </c>
      <c r="Y385" s="150" t="s">
        <v>641</v>
      </c>
      <c r="Z385" s="150">
        <v>1.0</v>
      </c>
    </row>
    <row r="386">
      <c r="A386" s="152" t="str">
        <f>IFERROR(__xludf.DUMMYFUNCTION("query(Y:Z,""select Z Where Y ='""&amp;H386&amp;""'"",0)"),"#REF!")</f>
        <v>#REF!</v>
      </c>
      <c r="B386" s="29" t="s">
        <v>1464</v>
      </c>
      <c r="C386" s="8" t="s">
        <v>1031</v>
      </c>
      <c r="D386" s="156" t="s">
        <v>96</v>
      </c>
      <c r="E386" s="33" t="s">
        <v>1025</v>
      </c>
      <c r="F386" s="157" t="s">
        <v>1134</v>
      </c>
      <c r="G386" s="33" t="s">
        <v>2576</v>
      </c>
      <c r="H386" s="90" t="s">
        <v>950</v>
      </c>
      <c r="I386" s="33" t="s">
        <v>2605</v>
      </c>
      <c r="W386" s="151" t="s">
        <v>177</v>
      </c>
      <c r="X386" s="150" t="s">
        <v>1918</v>
      </c>
      <c r="Y386" s="150" t="s">
        <v>770</v>
      </c>
      <c r="Z386" s="150">
        <v>22.0</v>
      </c>
    </row>
    <row r="387">
      <c r="A387" s="152" t="str">
        <f>IFERROR(__xludf.DUMMYFUNCTION("query(Y:Z,""select Z Where Y ='""&amp;H387&amp;""'"",0)"),"#REF!")</f>
        <v>#REF!</v>
      </c>
      <c r="B387" s="29" t="s">
        <v>1030</v>
      </c>
      <c r="C387" s="8" t="s">
        <v>1031</v>
      </c>
      <c r="D387" s="156" t="s">
        <v>96</v>
      </c>
      <c r="E387" s="33" t="s">
        <v>1025</v>
      </c>
      <c r="F387" s="157" t="s">
        <v>1134</v>
      </c>
      <c r="G387" s="33" t="s">
        <v>2576</v>
      </c>
      <c r="H387" s="90" t="s">
        <v>521</v>
      </c>
      <c r="I387" s="33" t="s">
        <v>2613</v>
      </c>
      <c r="W387" s="151" t="s">
        <v>169</v>
      </c>
      <c r="X387" s="150" t="s">
        <v>3631</v>
      </c>
      <c r="Y387" s="150" t="s">
        <v>3633</v>
      </c>
      <c r="Z387" s="150">
        <v>1.0</v>
      </c>
    </row>
    <row r="388">
      <c r="A388" s="152" t="str">
        <f>IFERROR(__xludf.DUMMYFUNCTION("query(Y:Z,""select Z Where Y ='""&amp;H388&amp;""'"",0)"),"#REF!")</f>
        <v>#REF!</v>
      </c>
      <c r="B388" s="29" t="s">
        <v>1030</v>
      </c>
      <c r="C388" s="8" t="s">
        <v>1031</v>
      </c>
      <c r="D388" s="156" t="s">
        <v>96</v>
      </c>
      <c r="E388" s="33" t="s">
        <v>1025</v>
      </c>
      <c r="F388" s="157" t="s">
        <v>1134</v>
      </c>
      <c r="G388" s="33" t="s">
        <v>2576</v>
      </c>
      <c r="H388" s="90" t="s">
        <v>774</v>
      </c>
      <c r="I388" s="33" t="s">
        <v>2621</v>
      </c>
      <c r="W388" s="151" t="s">
        <v>177</v>
      </c>
      <c r="X388" s="150" t="s">
        <v>1528</v>
      </c>
      <c r="Y388" s="150" t="s">
        <v>3643</v>
      </c>
      <c r="Z388" s="150">
        <v>1.0</v>
      </c>
    </row>
    <row r="389">
      <c r="A389" s="152" t="str">
        <f>IFERROR(__xludf.DUMMYFUNCTION("query(Y:Z,""select Z Where Y ='""&amp;H389&amp;""'"",0)"),"#N/A")</f>
        <v>#N/A</v>
      </c>
      <c r="B389" s="29" t="s">
        <v>1030</v>
      </c>
      <c r="C389" s="164" t="s">
        <v>1044</v>
      </c>
      <c r="D389" s="156" t="s">
        <v>46</v>
      </c>
      <c r="E389" s="33" t="s">
        <v>1025</v>
      </c>
      <c r="F389" s="157" t="s">
        <v>1039</v>
      </c>
      <c r="G389" s="33" t="s">
        <v>1042</v>
      </c>
      <c r="H389" s="90" t="s">
        <v>1049</v>
      </c>
      <c r="I389" s="33" t="s">
        <v>1051</v>
      </c>
      <c r="W389" s="151" t="s">
        <v>177</v>
      </c>
      <c r="X389" s="150" t="s">
        <v>1046</v>
      </c>
      <c r="Y389" s="150" t="s">
        <v>604</v>
      </c>
      <c r="Z389" s="150">
        <v>30.0</v>
      </c>
    </row>
    <row r="390">
      <c r="A390" s="152" t="str">
        <f>IFERROR(__xludf.DUMMYFUNCTION("query(Y:Z,""select Z Where Y ='""&amp;H390&amp;""'"",0)"),"#N/A")</f>
        <v>#N/A</v>
      </c>
      <c r="B390" s="29" t="s">
        <v>1030</v>
      </c>
      <c r="C390" s="164" t="s">
        <v>1044</v>
      </c>
      <c r="D390" s="156" t="s">
        <v>46</v>
      </c>
      <c r="E390" s="33" t="s">
        <v>1025</v>
      </c>
      <c r="F390" s="157" t="s">
        <v>1039</v>
      </c>
      <c r="G390" s="33" t="s">
        <v>1042</v>
      </c>
      <c r="H390" s="90" t="s">
        <v>1054</v>
      </c>
      <c r="I390" s="33" t="s">
        <v>1057</v>
      </c>
      <c r="W390" s="149" t="s">
        <v>504</v>
      </c>
      <c r="X390" s="150" t="s">
        <v>1046</v>
      </c>
      <c r="Y390" s="150" t="s">
        <v>534</v>
      </c>
      <c r="Z390" s="150">
        <v>1.0</v>
      </c>
    </row>
    <row r="391">
      <c r="A391" s="152" t="str">
        <f>IFERROR(__xludf.DUMMYFUNCTION("query(Y:Z,""select Z Where Y ='""&amp;H391&amp;""'"",0)"),"#REF!")</f>
        <v>#REF!</v>
      </c>
      <c r="B391" s="29" t="s">
        <v>1030</v>
      </c>
      <c r="C391" s="164" t="s">
        <v>1044</v>
      </c>
      <c r="D391" s="156" t="s">
        <v>46</v>
      </c>
      <c r="E391" s="33" t="s">
        <v>1025</v>
      </c>
      <c r="F391" s="157" t="s">
        <v>1039</v>
      </c>
      <c r="G391" s="33" t="s">
        <v>1042</v>
      </c>
      <c r="H391" s="90" t="s">
        <v>532</v>
      </c>
      <c r="I391" s="33" t="s">
        <v>1063</v>
      </c>
      <c r="W391" s="151" t="s">
        <v>177</v>
      </c>
      <c r="X391" s="150" t="s">
        <v>1046</v>
      </c>
      <c r="Y391" s="150" t="s">
        <v>957</v>
      </c>
      <c r="Z391" s="150">
        <v>15.0</v>
      </c>
    </row>
    <row r="392">
      <c r="A392" s="152" t="str">
        <f>IFERROR(__xludf.DUMMYFUNCTION("query(Y:Z,""select Z Where Y ='""&amp;H392&amp;""'"",0)"),"#REF!")</f>
        <v>#REF!</v>
      </c>
      <c r="B392" s="29" t="s">
        <v>1030</v>
      </c>
      <c r="C392" s="164" t="s">
        <v>1044</v>
      </c>
      <c r="D392" s="156" t="s">
        <v>50</v>
      </c>
      <c r="E392" s="33" t="s">
        <v>1025</v>
      </c>
      <c r="F392" s="157" t="s">
        <v>1061</v>
      </c>
      <c r="G392" s="33" t="s">
        <v>1062</v>
      </c>
      <c r="H392" s="90" t="s">
        <v>597</v>
      </c>
      <c r="I392" s="33" t="s">
        <v>1107</v>
      </c>
      <c r="W392" s="151" t="s">
        <v>96</v>
      </c>
      <c r="X392" s="150" t="s">
        <v>1065</v>
      </c>
      <c r="Y392" s="150" t="s">
        <v>3672</v>
      </c>
      <c r="Z392" s="150">
        <v>1.0</v>
      </c>
    </row>
    <row r="393">
      <c r="A393" s="152" t="str">
        <f>IFERROR(__xludf.DUMMYFUNCTION("query(Y:Z,""select Z Where Y ='""&amp;H393&amp;""'"",0)"),"#REF!")</f>
        <v>#REF!</v>
      </c>
      <c r="B393" s="29" t="s">
        <v>1030</v>
      </c>
      <c r="C393" s="164" t="s">
        <v>1044</v>
      </c>
      <c r="D393" s="156" t="s">
        <v>50</v>
      </c>
      <c r="E393" s="33" t="s">
        <v>1025</v>
      </c>
      <c r="F393" s="157" t="s">
        <v>1061</v>
      </c>
      <c r="G393" s="33" t="s">
        <v>1062</v>
      </c>
      <c r="H393" s="90" t="s">
        <v>777</v>
      </c>
      <c r="I393" s="33" t="s">
        <v>1114</v>
      </c>
      <c r="W393" s="149" t="s">
        <v>504</v>
      </c>
      <c r="X393" s="150" t="s">
        <v>1065</v>
      </c>
      <c r="Y393" s="150" t="s">
        <v>979</v>
      </c>
      <c r="Z393" s="150">
        <v>1.0</v>
      </c>
    </row>
    <row r="394">
      <c r="A394" s="152" t="str">
        <f>IFERROR(__xludf.DUMMYFUNCTION("query(Y:Z,""select Z Where Y ='""&amp;H394&amp;""'"",0)"),"#REF!")</f>
        <v>#REF!</v>
      </c>
      <c r="B394" s="29" t="s">
        <v>305</v>
      </c>
      <c r="C394" s="164" t="s">
        <v>1044</v>
      </c>
      <c r="D394" s="156" t="s">
        <v>125</v>
      </c>
      <c r="E394" s="33" t="s">
        <v>1025</v>
      </c>
      <c r="F394" s="157" t="s">
        <v>1140</v>
      </c>
      <c r="G394" s="33" t="s">
        <v>1141</v>
      </c>
      <c r="H394" s="90" t="s">
        <v>555</v>
      </c>
      <c r="I394" s="33" t="s">
        <v>1149</v>
      </c>
      <c r="W394" s="151" t="s">
        <v>96</v>
      </c>
      <c r="X394" s="150" t="s">
        <v>1065</v>
      </c>
      <c r="Y394" s="150" t="s">
        <v>979</v>
      </c>
      <c r="Z394" s="150">
        <v>23.0</v>
      </c>
    </row>
    <row r="395">
      <c r="A395" s="152" t="str">
        <f>IFERROR(__xludf.DUMMYFUNCTION("query(Y:Z,""select Z Where Y ='""&amp;H395&amp;""'"",0)"),"#REF!")</f>
        <v>#REF!</v>
      </c>
      <c r="B395" s="29" t="s">
        <v>1030</v>
      </c>
      <c r="C395" s="164" t="s">
        <v>1044</v>
      </c>
      <c r="D395" s="156" t="s">
        <v>125</v>
      </c>
      <c r="E395" s="33" t="s">
        <v>1025</v>
      </c>
      <c r="F395" s="157" t="s">
        <v>1140</v>
      </c>
      <c r="G395" s="33" t="s">
        <v>1141</v>
      </c>
      <c r="H395" s="90" t="s">
        <v>505</v>
      </c>
      <c r="I395" s="33" t="s">
        <v>1150</v>
      </c>
      <c r="W395" s="151" t="s">
        <v>96</v>
      </c>
      <c r="X395" s="150" t="s">
        <v>1065</v>
      </c>
      <c r="Y395" s="150" t="s">
        <v>538</v>
      </c>
      <c r="Z395" s="150">
        <v>187.0</v>
      </c>
    </row>
    <row r="396">
      <c r="A396" s="152" t="str">
        <f>IFERROR(__xludf.DUMMYFUNCTION("query(Y:Z,""select Z Where Y ='""&amp;H396&amp;""'"",0)"),"#REF!")</f>
        <v>#REF!</v>
      </c>
      <c r="B396" s="29" t="s">
        <v>1030</v>
      </c>
      <c r="C396" s="164" t="s">
        <v>1044</v>
      </c>
      <c r="D396" s="156" t="s">
        <v>125</v>
      </c>
      <c r="E396" s="33" t="s">
        <v>1025</v>
      </c>
      <c r="F396" s="157" t="s">
        <v>1140</v>
      </c>
      <c r="G396" s="33" t="s">
        <v>1141</v>
      </c>
      <c r="H396" s="90" t="s">
        <v>678</v>
      </c>
      <c r="I396" s="33" t="s">
        <v>1152</v>
      </c>
      <c r="W396" s="151" t="s">
        <v>96</v>
      </c>
      <c r="X396" s="150" t="s">
        <v>1065</v>
      </c>
      <c r="Y396" s="150" t="s">
        <v>586</v>
      </c>
      <c r="Z396" s="150">
        <v>135.0</v>
      </c>
    </row>
    <row r="397">
      <c r="A397" s="152" t="str">
        <f>IFERROR(__xludf.DUMMYFUNCTION("query(Y:Z,""select Z Where Y ='""&amp;H397&amp;""'"",0)"),"#REF!")</f>
        <v>#REF!</v>
      </c>
      <c r="B397" s="29" t="s">
        <v>1030</v>
      </c>
      <c r="C397" s="164" t="s">
        <v>1044</v>
      </c>
      <c r="D397" s="156" t="s">
        <v>125</v>
      </c>
      <c r="E397" s="33" t="s">
        <v>1025</v>
      </c>
      <c r="F397" s="157" t="s">
        <v>1140</v>
      </c>
      <c r="G397" s="33" t="s">
        <v>1141</v>
      </c>
      <c r="H397" s="90" t="s">
        <v>546</v>
      </c>
      <c r="I397" s="33" t="s">
        <v>1156</v>
      </c>
      <c r="W397" s="151" t="s">
        <v>96</v>
      </c>
      <c r="X397" s="150" t="s">
        <v>3742</v>
      </c>
      <c r="Y397" s="150" t="s">
        <v>3743</v>
      </c>
      <c r="Z397" s="150">
        <v>1.0</v>
      </c>
    </row>
    <row r="398">
      <c r="A398" s="152" t="str">
        <f>IFERROR(__xludf.DUMMYFUNCTION("query(Y:Z,""select Z Where Y ='""&amp;H398&amp;""'"",0)"),"#REF!")</f>
        <v>#REF!</v>
      </c>
      <c r="B398" s="29" t="s">
        <v>1464</v>
      </c>
      <c r="C398" s="164" t="s">
        <v>1044</v>
      </c>
      <c r="D398" s="156" t="s">
        <v>125</v>
      </c>
      <c r="E398" s="33" t="s">
        <v>1025</v>
      </c>
      <c r="F398" s="157" t="s">
        <v>1140</v>
      </c>
      <c r="G398" s="33" t="s">
        <v>1141</v>
      </c>
      <c r="H398" s="90" t="s">
        <v>598</v>
      </c>
      <c r="I398" s="33" t="s">
        <v>1157</v>
      </c>
      <c r="W398" s="151" t="s">
        <v>78</v>
      </c>
      <c r="X398" s="150" t="s">
        <v>1074</v>
      </c>
      <c r="Y398" s="150" t="s">
        <v>768</v>
      </c>
      <c r="Z398" s="150">
        <v>5.0</v>
      </c>
    </row>
    <row r="399">
      <c r="A399" s="152" t="str">
        <f>IFERROR(__xludf.DUMMYFUNCTION("query(Y:Z,""select Z Where Y ='""&amp;H399&amp;""'"",0)"),"#REF!")</f>
        <v>#REF!</v>
      </c>
      <c r="B399" s="29" t="s">
        <v>1464</v>
      </c>
      <c r="C399" s="164" t="s">
        <v>1044</v>
      </c>
      <c r="D399" s="156" t="s">
        <v>125</v>
      </c>
      <c r="E399" s="33" t="s">
        <v>1025</v>
      </c>
      <c r="F399" s="157" t="s">
        <v>1140</v>
      </c>
      <c r="G399" s="33" t="s">
        <v>1141</v>
      </c>
      <c r="H399" s="90" t="s">
        <v>516</v>
      </c>
      <c r="I399" s="33" t="s">
        <v>1161</v>
      </c>
      <c r="W399" s="151" t="s">
        <v>78</v>
      </c>
      <c r="X399" s="150" t="s">
        <v>1074</v>
      </c>
      <c r="Y399" s="150" t="s">
        <v>995</v>
      </c>
      <c r="Z399" s="150">
        <v>5.0</v>
      </c>
    </row>
    <row r="400">
      <c r="A400" s="152" t="str">
        <f>IFERROR(__xludf.DUMMYFUNCTION("query(Y:Z,""select Z Where Y ='""&amp;H400&amp;""'"",0)"),"#REF!")</f>
        <v>#REF!</v>
      </c>
      <c r="B400" s="29" t="s">
        <v>1030</v>
      </c>
      <c r="C400" s="164" t="s">
        <v>1044</v>
      </c>
      <c r="D400" s="156" t="s">
        <v>125</v>
      </c>
      <c r="E400" s="33" t="s">
        <v>1025</v>
      </c>
      <c r="F400" s="157" t="s">
        <v>1163</v>
      </c>
      <c r="G400" s="33" t="s">
        <v>1165</v>
      </c>
      <c r="H400" s="90" t="s">
        <v>645</v>
      </c>
      <c r="I400" s="33" t="s">
        <v>1166</v>
      </c>
      <c r="W400" s="151" t="s">
        <v>78</v>
      </c>
      <c r="X400" s="150" t="s">
        <v>1074</v>
      </c>
      <c r="Y400" s="150" t="s">
        <v>835</v>
      </c>
      <c r="Z400" s="150">
        <v>6.0</v>
      </c>
    </row>
    <row r="401">
      <c r="A401" s="152" t="str">
        <f>IFERROR(__xludf.DUMMYFUNCTION("query(Y:Z,""select Z Where Y ='""&amp;H401&amp;""'"",0)"),"#REF!")</f>
        <v>#REF!</v>
      </c>
      <c r="B401" s="29" t="s">
        <v>1030</v>
      </c>
      <c r="C401" s="164" t="s">
        <v>1044</v>
      </c>
      <c r="D401" s="156" t="s">
        <v>125</v>
      </c>
      <c r="E401" s="33" t="s">
        <v>1025</v>
      </c>
      <c r="F401" s="157" t="s">
        <v>1163</v>
      </c>
      <c r="G401" s="33" t="s">
        <v>1165</v>
      </c>
      <c r="H401" s="90" t="s">
        <v>517</v>
      </c>
      <c r="I401" s="33" t="s">
        <v>1171</v>
      </c>
      <c r="W401" s="149" t="s">
        <v>504</v>
      </c>
      <c r="X401" s="150" t="s">
        <v>1074</v>
      </c>
      <c r="Y401" s="150" t="s">
        <v>796</v>
      </c>
      <c r="Z401" s="150">
        <v>1.0</v>
      </c>
    </row>
    <row r="402">
      <c r="A402" s="152" t="str">
        <f>IFERROR(__xludf.DUMMYFUNCTION("query(Y:Z,""select Z Where Y ='""&amp;H402&amp;""'"",0)"),"#REF!")</f>
        <v>#REF!</v>
      </c>
      <c r="B402" s="29" t="s">
        <v>1030</v>
      </c>
      <c r="C402" s="164" t="s">
        <v>1044</v>
      </c>
      <c r="D402" s="156" t="s">
        <v>125</v>
      </c>
      <c r="E402" s="33" t="s">
        <v>1025</v>
      </c>
      <c r="F402" s="157" t="s">
        <v>1163</v>
      </c>
      <c r="G402" s="33" t="s">
        <v>1165</v>
      </c>
      <c r="H402" s="90" t="s">
        <v>677</v>
      </c>
      <c r="I402" s="33" t="s">
        <v>1172</v>
      </c>
      <c r="W402" s="151" t="s">
        <v>78</v>
      </c>
      <c r="X402" s="150" t="s">
        <v>1074</v>
      </c>
      <c r="Y402" s="150" t="s">
        <v>854</v>
      </c>
      <c r="Z402" s="150">
        <v>5.0</v>
      </c>
    </row>
    <row r="403">
      <c r="A403" s="152" t="str">
        <f>IFERROR(__xludf.DUMMYFUNCTION("query(Y:Z,""select Z Where Y ='""&amp;H403&amp;""'"",0)"),"#REF!")</f>
        <v>#REF!</v>
      </c>
      <c r="B403" s="29" t="s">
        <v>1030</v>
      </c>
      <c r="C403" s="164" t="s">
        <v>1044</v>
      </c>
      <c r="D403" s="156" t="s">
        <v>125</v>
      </c>
      <c r="E403" s="33" t="s">
        <v>1025</v>
      </c>
      <c r="F403" s="157" t="s">
        <v>1163</v>
      </c>
      <c r="G403" s="33" t="s">
        <v>1165</v>
      </c>
      <c r="H403" s="90" t="s">
        <v>843</v>
      </c>
      <c r="I403" s="33" t="s">
        <v>1175</v>
      </c>
      <c r="W403" s="151" t="s">
        <v>78</v>
      </c>
      <c r="X403" s="150" t="s">
        <v>1074</v>
      </c>
      <c r="Y403" s="150" t="s">
        <v>610</v>
      </c>
      <c r="Z403" s="150">
        <v>20.0</v>
      </c>
    </row>
    <row r="404">
      <c r="A404" s="152" t="str">
        <f>IFERROR(__xludf.DUMMYFUNCTION("query(Y:Z,""select Z Where Y ='""&amp;H404&amp;""'"",0)"),"#N/A")</f>
        <v>#N/A</v>
      </c>
      <c r="B404" s="29" t="s">
        <v>1030</v>
      </c>
      <c r="C404" s="164" t="s">
        <v>1044</v>
      </c>
      <c r="D404" s="156" t="s">
        <v>53</v>
      </c>
      <c r="E404" s="33" t="s">
        <v>1025</v>
      </c>
      <c r="F404" s="157" t="s">
        <v>1070</v>
      </c>
      <c r="G404" s="33" t="s">
        <v>1071</v>
      </c>
      <c r="H404" s="90" t="s">
        <v>1229</v>
      </c>
      <c r="I404" s="33" t="s">
        <v>1230</v>
      </c>
      <c r="W404" s="151" t="s">
        <v>43</v>
      </c>
      <c r="X404" s="150" t="s">
        <v>1081</v>
      </c>
      <c r="Y404" s="150" t="s">
        <v>549</v>
      </c>
      <c r="Z404" s="150">
        <v>7.0</v>
      </c>
    </row>
    <row r="405">
      <c r="A405" s="152" t="str">
        <f>IFERROR(__xludf.DUMMYFUNCTION("query(Y:Z,""select Z Where Y ='""&amp;H405&amp;""'"",0)"),"#N/A")</f>
        <v>#N/A</v>
      </c>
      <c r="B405" s="29" t="s">
        <v>1030</v>
      </c>
      <c r="C405" s="164" t="s">
        <v>1044</v>
      </c>
      <c r="D405" s="156" t="s">
        <v>53</v>
      </c>
      <c r="E405" s="33" t="s">
        <v>1025</v>
      </c>
      <c r="F405" s="157" t="s">
        <v>1070</v>
      </c>
      <c r="G405" s="33" t="s">
        <v>1071</v>
      </c>
      <c r="H405" s="90" t="s">
        <v>1236</v>
      </c>
      <c r="I405" s="33" t="s">
        <v>1237</v>
      </c>
      <c r="W405" s="149" t="s">
        <v>504</v>
      </c>
      <c r="X405" s="150" t="s">
        <v>1081</v>
      </c>
      <c r="Y405" s="150" t="s">
        <v>671</v>
      </c>
      <c r="Z405" s="150">
        <v>18.0</v>
      </c>
    </row>
    <row r="406">
      <c r="A406" s="152" t="str">
        <f>IFERROR(__xludf.DUMMYFUNCTION("query(Y:Z,""select Z Where Y ='""&amp;H406&amp;""'"",0)"),"#N/A")</f>
        <v>#N/A</v>
      </c>
      <c r="B406" s="29" t="s">
        <v>1030</v>
      </c>
      <c r="C406" s="164" t="s">
        <v>1044</v>
      </c>
      <c r="D406" s="156" t="s">
        <v>53</v>
      </c>
      <c r="E406" s="33" t="s">
        <v>1025</v>
      </c>
      <c r="F406" s="157" t="s">
        <v>1083</v>
      </c>
      <c r="G406" s="33" t="s">
        <v>1084</v>
      </c>
      <c r="H406" s="90" t="s">
        <v>1252</v>
      </c>
      <c r="I406" s="33" t="s">
        <v>1253</v>
      </c>
      <c r="W406" s="151" t="s">
        <v>96</v>
      </c>
      <c r="X406" s="150" t="s">
        <v>1220</v>
      </c>
      <c r="Y406" s="150" t="s">
        <v>726</v>
      </c>
      <c r="Z406" s="150">
        <v>3.0</v>
      </c>
    </row>
    <row r="407">
      <c r="A407" s="152" t="str">
        <f>IFERROR(__xludf.DUMMYFUNCTION("query(Y:Z,""select Z Where Y ='""&amp;H407&amp;""'"",0)"),"#N/A")</f>
        <v>#N/A</v>
      </c>
      <c r="B407" s="29" t="s">
        <v>1030</v>
      </c>
      <c r="C407" s="164" t="s">
        <v>1044</v>
      </c>
      <c r="D407" s="156" t="s">
        <v>53</v>
      </c>
      <c r="E407" s="33" t="s">
        <v>1025</v>
      </c>
      <c r="F407" s="157" t="s">
        <v>1083</v>
      </c>
      <c r="G407" s="33" t="s">
        <v>1084</v>
      </c>
      <c r="H407" s="90" t="s">
        <v>1257</v>
      </c>
      <c r="I407" s="33" t="s">
        <v>1258</v>
      </c>
      <c r="W407" s="151" t="s">
        <v>114</v>
      </c>
      <c r="X407" s="150" t="s">
        <v>1220</v>
      </c>
      <c r="Y407" s="150" t="s">
        <v>718</v>
      </c>
      <c r="Z407" s="150">
        <v>1.0</v>
      </c>
    </row>
    <row r="408">
      <c r="A408" s="152" t="str">
        <f>IFERROR(__xludf.DUMMYFUNCTION("query(Y:Z,""select Z Where Y ='""&amp;H408&amp;""'"",0)"),"#REF!")</f>
        <v>#REF!</v>
      </c>
      <c r="B408" s="29" t="s">
        <v>1030</v>
      </c>
      <c r="C408" s="164" t="s">
        <v>1044</v>
      </c>
      <c r="D408" s="156" t="s">
        <v>53</v>
      </c>
      <c r="E408" s="33" t="s">
        <v>1025</v>
      </c>
      <c r="F408" s="157" t="s">
        <v>1083</v>
      </c>
      <c r="G408" s="33" t="s">
        <v>1084</v>
      </c>
      <c r="H408" s="90" t="s">
        <v>662</v>
      </c>
      <c r="I408" s="33" t="s">
        <v>1264</v>
      </c>
      <c r="W408" s="149" t="s">
        <v>504</v>
      </c>
      <c r="X408" s="150" t="s">
        <v>1089</v>
      </c>
      <c r="Y408" s="150" t="s">
        <v>670</v>
      </c>
      <c r="Z408" s="150">
        <v>1.0</v>
      </c>
    </row>
    <row r="409">
      <c r="A409" s="152" t="str">
        <f>IFERROR(__xludf.DUMMYFUNCTION("query(Y:Z,""select Z Where Y ='""&amp;H409&amp;""'"",0)"),"#REF!")</f>
        <v>#REF!</v>
      </c>
      <c r="B409" s="29" t="s">
        <v>1030</v>
      </c>
      <c r="C409" s="164" t="s">
        <v>1044</v>
      </c>
      <c r="D409" s="156" t="s">
        <v>53</v>
      </c>
      <c r="E409" s="33" t="s">
        <v>1025</v>
      </c>
      <c r="F409" s="157" t="s">
        <v>1083</v>
      </c>
      <c r="G409" s="33" t="s">
        <v>1084</v>
      </c>
      <c r="H409" s="90" t="s">
        <v>949</v>
      </c>
      <c r="I409" s="33" t="s">
        <v>1268</v>
      </c>
      <c r="W409" s="151" t="s">
        <v>78</v>
      </c>
      <c r="X409" s="150" t="s">
        <v>1089</v>
      </c>
      <c r="Y409" s="150" t="s">
        <v>642</v>
      </c>
      <c r="Z409" s="150">
        <v>18.0</v>
      </c>
    </row>
    <row r="410">
      <c r="A410" s="152" t="str">
        <f>IFERROR(__xludf.DUMMYFUNCTION("query(Y:Z,""select Z Where Y ='""&amp;H410&amp;""'"",0)"),"#REF!")</f>
        <v>#REF!</v>
      </c>
      <c r="B410" s="29" t="s">
        <v>1030</v>
      </c>
      <c r="C410" s="164" t="s">
        <v>1044</v>
      </c>
      <c r="D410" s="156" t="s">
        <v>53</v>
      </c>
      <c r="E410" s="33" t="s">
        <v>1025</v>
      </c>
      <c r="F410" s="157" t="s">
        <v>1083</v>
      </c>
      <c r="G410" s="33" t="s">
        <v>1084</v>
      </c>
      <c r="H410" s="90" t="s">
        <v>827</v>
      </c>
      <c r="I410" s="33" t="s">
        <v>1274</v>
      </c>
      <c r="W410" s="151" t="s">
        <v>78</v>
      </c>
      <c r="X410" s="150" t="s">
        <v>1089</v>
      </c>
      <c r="Y410" s="150" t="s">
        <v>937</v>
      </c>
      <c r="Z410" s="150">
        <v>4.0</v>
      </c>
    </row>
    <row r="411">
      <c r="A411" s="152" t="str">
        <f>IFERROR(__xludf.DUMMYFUNCTION("query(Y:Z,""select Z Where Y ='""&amp;H411&amp;""'"",0)"),"#REF!")</f>
        <v>#REF!</v>
      </c>
      <c r="B411" s="29" t="s">
        <v>1030</v>
      </c>
      <c r="C411" s="164" t="s">
        <v>1044</v>
      </c>
      <c r="D411" s="156" t="s">
        <v>53</v>
      </c>
      <c r="E411" s="33" t="s">
        <v>1025</v>
      </c>
      <c r="F411" s="157" t="s">
        <v>1083</v>
      </c>
      <c r="G411" s="33" t="s">
        <v>1084</v>
      </c>
      <c r="H411" s="90" t="s">
        <v>728</v>
      </c>
      <c r="I411" s="33" t="s">
        <v>1275</v>
      </c>
      <c r="W411" s="151" t="s">
        <v>78</v>
      </c>
      <c r="X411" s="150" t="s">
        <v>1089</v>
      </c>
      <c r="Y411" s="150" t="s">
        <v>890</v>
      </c>
      <c r="Z411" s="150">
        <v>3.0</v>
      </c>
    </row>
    <row r="412">
      <c r="A412" s="152" t="str">
        <f>IFERROR(__xludf.DUMMYFUNCTION("query(Y:Z,""select Z Where Y ='""&amp;H412&amp;""'"",0)"),"#N/A")</f>
        <v>#N/A</v>
      </c>
      <c r="B412" s="29" t="s">
        <v>1030</v>
      </c>
      <c r="C412" s="164" t="s">
        <v>1044</v>
      </c>
      <c r="D412" s="156" t="s">
        <v>53</v>
      </c>
      <c r="E412" s="33" t="s">
        <v>1025</v>
      </c>
      <c r="F412" s="157" t="s">
        <v>1224</v>
      </c>
      <c r="G412" s="33" t="s">
        <v>1225</v>
      </c>
      <c r="H412" s="90" t="s">
        <v>1283</v>
      </c>
      <c r="I412" s="33" t="s">
        <v>1285</v>
      </c>
      <c r="W412" s="151" t="s">
        <v>78</v>
      </c>
      <c r="X412" s="150" t="s">
        <v>1089</v>
      </c>
      <c r="Y412" s="150" t="s">
        <v>776</v>
      </c>
      <c r="Z412" s="150">
        <v>3.0</v>
      </c>
    </row>
    <row r="413">
      <c r="A413" s="152" t="str">
        <f>IFERROR(__xludf.DUMMYFUNCTION("query(Y:Z,""select Z Where Y ='""&amp;H413&amp;""'"",0)"),"#N/A")</f>
        <v>#N/A</v>
      </c>
      <c r="B413" s="29" t="s">
        <v>1030</v>
      </c>
      <c r="C413" s="164" t="s">
        <v>1044</v>
      </c>
      <c r="D413" s="156" t="s">
        <v>53</v>
      </c>
      <c r="E413" s="33" t="s">
        <v>1025</v>
      </c>
      <c r="F413" s="157" t="s">
        <v>1224</v>
      </c>
      <c r="G413" s="33" t="s">
        <v>1225</v>
      </c>
      <c r="H413" s="90" t="s">
        <v>1288</v>
      </c>
      <c r="I413" s="33" t="s">
        <v>1289</v>
      </c>
      <c r="W413" s="151" t="s">
        <v>78</v>
      </c>
      <c r="X413" s="150" t="s">
        <v>1089</v>
      </c>
      <c r="Y413" s="150" t="s">
        <v>719</v>
      </c>
      <c r="Z413" s="150">
        <v>17.0</v>
      </c>
    </row>
    <row r="414">
      <c r="A414" s="152" t="str">
        <f>IFERROR(__xludf.DUMMYFUNCTION("query(Y:Z,""select Z Where Y ='""&amp;H414&amp;""'"",0)"),"#REF!")</f>
        <v>#REF!</v>
      </c>
      <c r="B414" s="29" t="s">
        <v>1030</v>
      </c>
      <c r="C414" s="164" t="s">
        <v>1044</v>
      </c>
      <c r="D414" s="156" t="s">
        <v>53</v>
      </c>
      <c r="E414" s="33" t="s">
        <v>1025</v>
      </c>
      <c r="F414" s="157" t="s">
        <v>1224</v>
      </c>
      <c r="G414" s="33" t="s">
        <v>1225</v>
      </c>
      <c r="H414" s="90" t="s">
        <v>992</v>
      </c>
      <c r="I414" s="33" t="s">
        <v>1293</v>
      </c>
      <c r="W414" s="149" t="s">
        <v>504</v>
      </c>
      <c r="X414" s="150" t="s">
        <v>1089</v>
      </c>
      <c r="Y414" s="150" t="s">
        <v>910</v>
      </c>
      <c r="Z414" s="150">
        <v>1.0</v>
      </c>
    </row>
    <row r="415">
      <c r="A415" s="152" t="str">
        <f>IFERROR(__xludf.DUMMYFUNCTION("query(Y:Z,""select Z Where Y ='""&amp;H415&amp;""'"",0)"),"#REF!")</f>
        <v>#REF!</v>
      </c>
      <c r="B415" s="29" t="s">
        <v>1030</v>
      </c>
      <c r="C415" s="164" t="s">
        <v>1044</v>
      </c>
      <c r="D415" s="156" t="s">
        <v>53</v>
      </c>
      <c r="E415" s="33" t="s">
        <v>1025</v>
      </c>
      <c r="F415" s="157" t="s">
        <v>1095</v>
      </c>
      <c r="G415" s="33" t="s">
        <v>1096</v>
      </c>
      <c r="H415" s="90" t="s">
        <v>743</v>
      </c>
      <c r="I415" s="33" t="s">
        <v>1297</v>
      </c>
      <c r="W415" s="151" t="s">
        <v>78</v>
      </c>
      <c r="X415" s="150" t="s">
        <v>1089</v>
      </c>
      <c r="Y415" s="150" t="s">
        <v>848</v>
      </c>
      <c r="Z415" s="150">
        <v>3.0</v>
      </c>
    </row>
    <row r="416">
      <c r="A416" s="152" t="str">
        <f>IFERROR(__xludf.DUMMYFUNCTION("query(Y:Z,""select Z Where Y ='""&amp;H416&amp;""'"",0)"),"#REF!")</f>
        <v>#REF!</v>
      </c>
      <c r="B416" s="29" t="s">
        <v>1030</v>
      </c>
      <c r="C416" s="164" t="s">
        <v>1044</v>
      </c>
      <c r="D416" s="156" t="s">
        <v>53</v>
      </c>
      <c r="E416" s="33" t="s">
        <v>1025</v>
      </c>
      <c r="F416" s="157" t="s">
        <v>1095</v>
      </c>
      <c r="G416" s="33" t="s">
        <v>1096</v>
      </c>
      <c r="H416" s="90" t="s">
        <v>801</v>
      </c>
      <c r="I416" s="33" t="s">
        <v>1298</v>
      </c>
      <c r="W416" s="151" t="s">
        <v>78</v>
      </c>
      <c r="X416" s="150" t="s">
        <v>1089</v>
      </c>
      <c r="Y416" s="150" t="s">
        <v>904</v>
      </c>
      <c r="Z416" s="150">
        <v>1.0</v>
      </c>
    </row>
    <row r="417">
      <c r="A417" s="152" t="str">
        <f>IFERROR(__xludf.DUMMYFUNCTION("query(Y:Z,""select Z Where Y ='""&amp;H417&amp;""'"",0)"),"#REF!")</f>
        <v>#REF!</v>
      </c>
      <c r="B417" s="29" t="s">
        <v>1030</v>
      </c>
      <c r="C417" s="164" t="s">
        <v>1044</v>
      </c>
      <c r="D417" s="156" t="s">
        <v>53</v>
      </c>
      <c r="E417" s="33" t="s">
        <v>1025</v>
      </c>
      <c r="F417" s="157" t="s">
        <v>1095</v>
      </c>
      <c r="G417" s="33" t="s">
        <v>1096</v>
      </c>
      <c r="H417" s="90" t="s">
        <v>889</v>
      </c>
      <c r="I417" s="33" t="s">
        <v>1302</v>
      </c>
      <c r="W417" s="151" t="s">
        <v>50</v>
      </c>
      <c r="X417" s="150" t="s">
        <v>1067</v>
      </c>
      <c r="Y417" s="150" t="s">
        <v>699</v>
      </c>
      <c r="Z417" s="150">
        <v>13.0</v>
      </c>
    </row>
    <row r="418">
      <c r="A418" s="152" t="str">
        <f>IFERROR(__xludf.DUMMYFUNCTION("query(Y:Z,""select Z Where Y ='""&amp;H418&amp;""'"",0)"),"#REF!")</f>
        <v>#REF!</v>
      </c>
      <c r="B418" s="29" t="s">
        <v>1030</v>
      </c>
      <c r="C418" s="164" t="s">
        <v>1044</v>
      </c>
      <c r="D418" s="156" t="s">
        <v>53</v>
      </c>
      <c r="E418" s="33" t="s">
        <v>1025</v>
      </c>
      <c r="F418" s="157" t="s">
        <v>1095</v>
      </c>
      <c r="G418" s="33" t="s">
        <v>1096</v>
      </c>
      <c r="H418" s="90" t="s">
        <v>772</v>
      </c>
      <c r="I418" s="33" t="s">
        <v>1304</v>
      </c>
      <c r="W418" s="151" t="s">
        <v>50</v>
      </c>
      <c r="X418" s="150" t="s">
        <v>1067</v>
      </c>
      <c r="Y418" s="150" t="s">
        <v>508</v>
      </c>
      <c r="Z418" s="150">
        <v>542.0</v>
      </c>
    </row>
    <row r="419">
      <c r="A419" s="152" t="str">
        <f>IFERROR(__xludf.DUMMYFUNCTION("query(Y:Z,""select Z Where Y ='""&amp;H419&amp;""'"",0)"),"#REF!")</f>
        <v>#REF!</v>
      </c>
      <c r="B419" s="29" t="s">
        <v>1030</v>
      </c>
      <c r="C419" s="164" t="s">
        <v>1044</v>
      </c>
      <c r="D419" s="156" t="s">
        <v>53</v>
      </c>
      <c r="E419" s="33" t="s">
        <v>1025</v>
      </c>
      <c r="F419" s="157" t="s">
        <v>1095</v>
      </c>
      <c r="G419" s="33" t="s">
        <v>1096</v>
      </c>
      <c r="H419" s="90" t="s">
        <v>683</v>
      </c>
      <c r="I419" s="33" t="s">
        <v>1306</v>
      </c>
      <c r="W419" s="151" t="s">
        <v>50</v>
      </c>
      <c r="X419" s="150" t="s">
        <v>1067</v>
      </c>
      <c r="Y419" s="150" t="s">
        <v>861</v>
      </c>
      <c r="Z419" s="150">
        <v>20.0</v>
      </c>
    </row>
    <row r="420">
      <c r="A420" s="152" t="str">
        <f>IFERROR(__xludf.DUMMYFUNCTION("query(Y:Z,""select Z Where Y ='""&amp;H420&amp;""'"",0)"),"#REF!")</f>
        <v>#REF!</v>
      </c>
      <c r="B420" s="29" t="s">
        <v>1030</v>
      </c>
      <c r="C420" s="164" t="s">
        <v>1044</v>
      </c>
      <c r="D420" s="156" t="s">
        <v>53</v>
      </c>
      <c r="E420" s="33" t="s">
        <v>1025</v>
      </c>
      <c r="F420" s="157" t="s">
        <v>1095</v>
      </c>
      <c r="G420" s="33" t="s">
        <v>1096</v>
      </c>
      <c r="H420" s="90" t="s">
        <v>888</v>
      </c>
      <c r="I420" s="33" t="s">
        <v>1307</v>
      </c>
      <c r="W420" s="151" t="s">
        <v>50</v>
      </c>
      <c r="X420" s="150" t="s">
        <v>1067</v>
      </c>
      <c r="Y420" s="150" t="s">
        <v>508</v>
      </c>
      <c r="Z420" s="150">
        <v>1.0</v>
      </c>
    </row>
    <row r="421">
      <c r="A421" s="152" t="str">
        <f>IFERROR(__xludf.DUMMYFUNCTION("query(Y:Z,""select Z Where Y ='""&amp;H421&amp;""'"",0)"),"#REF!")</f>
        <v>#REF!</v>
      </c>
      <c r="B421" s="29" t="s">
        <v>1030</v>
      </c>
      <c r="C421" s="164" t="s">
        <v>1044</v>
      </c>
      <c r="D421" s="156" t="s">
        <v>53</v>
      </c>
      <c r="E421" s="33" t="s">
        <v>1025</v>
      </c>
      <c r="F421" s="157" t="s">
        <v>1095</v>
      </c>
      <c r="G421" s="33" t="s">
        <v>1096</v>
      </c>
      <c r="H421" s="90" t="s">
        <v>693</v>
      </c>
      <c r="I421" s="33" t="s">
        <v>1309</v>
      </c>
      <c r="W421" s="149" t="s">
        <v>504</v>
      </c>
      <c r="X421" s="150" t="s">
        <v>1067</v>
      </c>
      <c r="Y421" s="150" t="s">
        <v>508</v>
      </c>
      <c r="Z421" s="150">
        <v>5.0</v>
      </c>
    </row>
    <row r="422">
      <c r="A422" s="152" t="str">
        <f>IFERROR(__xludf.DUMMYFUNCTION("query(Y:Z,""select Z Where Y ='""&amp;H422&amp;""'"",0)"),"#REF!")</f>
        <v>#REF!</v>
      </c>
      <c r="B422" s="29" t="s">
        <v>1030</v>
      </c>
      <c r="C422" s="164" t="s">
        <v>1044</v>
      </c>
      <c r="D422" s="156" t="s">
        <v>53</v>
      </c>
      <c r="E422" s="33" t="s">
        <v>1025</v>
      </c>
      <c r="F422" s="157" t="s">
        <v>1095</v>
      </c>
      <c r="G422" s="33" t="s">
        <v>1096</v>
      </c>
      <c r="H422" s="90" t="s">
        <v>931</v>
      </c>
      <c r="I422" s="33" t="s">
        <v>1311</v>
      </c>
      <c r="W422" s="149" t="s">
        <v>504</v>
      </c>
      <c r="X422" s="150" t="s">
        <v>1067</v>
      </c>
      <c r="Y422" s="150" t="s">
        <v>564</v>
      </c>
      <c r="Z422" s="150">
        <v>1.0</v>
      </c>
    </row>
    <row r="423">
      <c r="A423" s="152" t="str">
        <f>IFERROR(__xludf.DUMMYFUNCTION("query(Y:Z,""select Z Where Y ='""&amp;H423&amp;""'"",0)"),"#REF!")</f>
        <v>#REF!</v>
      </c>
      <c r="B423" s="29" t="s">
        <v>1030</v>
      </c>
      <c r="C423" s="164" t="s">
        <v>1044</v>
      </c>
      <c r="D423" s="156" t="s">
        <v>53</v>
      </c>
      <c r="E423" s="33" t="s">
        <v>1025</v>
      </c>
      <c r="F423" s="157" t="s">
        <v>1095</v>
      </c>
      <c r="G423" s="33" t="s">
        <v>1096</v>
      </c>
      <c r="H423" s="90" t="s">
        <v>727</v>
      </c>
      <c r="I423" s="33" t="s">
        <v>1314</v>
      </c>
      <c r="W423" s="151" t="s">
        <v>50</v>
      </c>
      <c r="X423" s="150" t="s">
        <v>1067</v>
      </c>
      <c r="Y423" s="150" t="s">
        <v>729</v>
      </c>
      <c r="Z423" s="150">
        <v>7.0</v>
      </c>
    </row>
    <row r="424">
      <c r="A424" s="152" t="str">
        <f>IFERROR(__xludf.DUMMYFUNCTION("query(Y:Z,""select Z Where Y ='""&amp;H424&amp;""'"",0)"),"#REF!")</f>
        <v>#REF!</v>
      </c>
      <c r="B424" s="29" t="s">
        <v>1030</v>
      </c>
      <c r="C424" s="164" t="s">
        <v>1044</v>
      </c>
      <c r="D424" s="156" t="s">
        <v>53</v>
      </c>
      <c r="E424" s="33" t="s">
        <v>1025</v>
      </c>
      <c r="F424" s="157" t="s">
        <v>1095</v>
      </c>
      <c r="G424" s="33" t="s">
        <v>1096</v>
      </c>
      <c r="H424" s="90" t="s">
        <v>824</v>
      </c>
      <c r="I424" s="33" t="s">
        <v>1320</v>
      </c>
      <c r="W424" s="151" t="s">
        <v>50</v>
      </c>
      <c r="X424" s="150" t="s">
        <v>1061</v>
      </c>
      <c r="Y424" s="150" t="s">
        <v>766</v>
      </c>
      <c r="Z424" s="150">
        <v>1.0</v>
      </c>
    </row>
    <row r="425">
      <c r="A425" s="152" t="str">
        <f>IFERROR(__xludf.DUMMYFUNCTION("query(Y:Z,""select Z Where Y ='""&amp;H425&amp;""'"",0)"),"#REF!")</f>
        <v>#REF!</v>
      </c>
      <c r="B425" s="29" t="s">
        <v>1030</v>
      </c>
      <c r="C425" s="164" t="s">
        <v>1044</v>
      </c>
      <c r="D425" s="156" t="s">
        <v>53</v>
      </c>
      <c r="E425" s="33" t="s">
        <v>1025</v>
      </c>
      <c r="F425" s="157" t="s">
        <v>1095</v>
      </c>
      <c r="G425" s="33" t="s">
        <v>1096</v>
      </c>
      <c r="H425" s="90" t="s">
        <v>596</v>
      </c>
      <c r="I425" s="33" t="s">
        <v>1323</v>
      </c>
      <c r="W425" s="151" t="s">
        <v>50</v>
      </c>
      <c r="X425" s="150" t="s">
        <v>1061</v>
      </c>
      <c r="Y425" s="150" t="s">
        <v>924</v>
      </c>
      <c r="Z425" s="150">
        <v>1.0</v>
      </c>
    </row>
    <row r="426">
      <c r="A426" s="152" t="str">
        <f>IFERROR(__xludf.DUMMYFUNCTION("query(Y:Z,""select Z Where Y ='""&amp;H426&amp;""'"",0)"),"#REF!")</f>
        <v>#REF!</v>
      </c>
      <c r="B426" s="29" t="s">
        <v>1030</v>
      </c>
      <c r="C426" s="164" t="s">
        <v>1044</v>
      </c>
      <c r="D426" s="156" t="s">
        <v>53</v>
      </c>
      <c r="E426" s="33" t="s">
        <v>1025</v>
      </c>
      <c r="F426" s="157" t="s">
        <v>1095</v>
      </c>
      <c r="G426" s="33" t="s">
        <v>1096</v>
      </c>
      <c r="H426" s="90" t="s">
        <v>717</v>
      </c>
      <c r="I426" s="33" t="s">
        <v>1325</v>
      </c>
      <c r="W426" s="149" t="s">
        <v>504</v>
      </c>
      <c r="X426" s="150" t="s">
        <v>1061</v>
      </c>
      <c r="Y426" s="150" t="s">
        <v>597</v>
      </c>
      <c r="Z426" s="150">
        <v>1.0</v>
      </c>
    </row>
    <row r="427">
      <c r="A427" s="152" t="str">
        <f>IFERROR(__xludf.DUMMYFUNCTION("query(Y:Z,""select Z Where Y ='""&amp;H427&amp;""'"",0)"),"#REF!")</f>
        <v>#REF!</v>
      </c>
      <c r="B427" s="29" t="s">
        <v>1030</v>
      </c>
      <c r="C427" s="164" t="s">
        <v>1044</v>
      </c>
      <c r="D427" s="156" t="s">
        <v>53</v>
      </c>
      <c r="E427" s="33" t="s">
        <v>1025</v>
      </c>
      <c r="F427" s="157" t="s">
        <v>1103</v>
      </c>
      <c r="G427" s="33" t="s">
        <v>1105</v>
      </c>
      <c r="H427" s="90" t="s">
        <v>947</v>
      </c>
      <c r="I427" s="33" t="s">
        <v>1330</v>
      </c>
      <c r="W427" s="151" t="s">
        <v>84</v>
      </c>
      <c r="X427" s="150" t="s">
        <v>2022</v>
      </c>
      <c r="Y427" s="150" t="s">
        <v>661</v>
      </c>
      <c r="Z427" s="150">
        <v>29.0</v>
      </c>
    </row>
    <row r="428">
      <c r="A428" s="152" t="str">
        <f>IFERROR(__xludf.DUMMYFUNCTION("query(Y:Z,""select Z Where Y ='""&amp;H428&amp;""'"",0)"),"#REF!")</f>
        <v>#REF!</v>
      </c>
      <c r="B428" s="29" t="s">
        <v>1030</v>
      </c>
      <c r="C428" s="164" t="s">
        <v>1044</v>
      </c>
      <c r="D428" s="156" t="s">
        <v>53</v>
      </c>
      <c r="E428" s="33" t="s">
        <v>1025</v>
      </c>
      <c r="F428" s="157" t="s">
        <v>1103</v>
      </c>
      <c r="G428" s="33" t="s">
        <v>1105</v>
      </c>
      <c r="H428" s="90" t="s">
        <v>744</v>
      </c>
      <c r="I428" s="33" t="s">
        <v>1335</v>
      </c>
      <c r="W428" s="151" t="s">
        <v>147</v>
      </c>
      <c r="X428" s="150" t="s">
        <v>1233</v>
      </c>
      <c r="Y428" s="150" t="s">
        <v>592</v>
      </c>
      <c r="Z428" s="150">
        <v>101.0</v>
      </c>
    </row>
    <row r="429">
      <c r="A429" s="152" t="str">
        <f>IFERROR(__xludf.DUMMYFUNCTION("query(Y:Z,""select Z Where Y ='""&amp;H429&amp;""'"",0)"),"#REF!")</f>
        <v>#REF!</v>
      </c>
      <c r="B429" s="29" t="s">
        <v>1030</v>
      </c>
      <c r="C429" s="164" t="s">
        <v>1044</v>
      </c>
      <c r="D429" s="156" t="s">
        <v>53</v>
      </c>
      <c r="E429" s="33" t="s">
        <v>1025</v>
      </c>
      <c r="F429" s="157" t="s">
        <v>1103</v>
      </c>
      <c r="G429" s="33" t="s">
        <v>1105</v>
      </c>
      <c r="H429" s="90" t="s">
        <v>985</v>
      </c>
      <c r="I429" s="33" t="s">
        <v>1337</v>
      </c>
      <c r="W429" s="151" t="s">
        <v>125</v>
      </c>
      <c r="X429" s="150" t="s">
        <v>1070</v>
      </c>
      <c r="Y429" s="150" t="s">
        <v>894</v>
      </c>
      <c r="Z429" s="150">
        <v>1.0</v>
      </c>
    </row>
    <row r="430">
      <c r="A430" s="152" t="str">
        <f>IFERROR(__xludf.DUMMYFUNCTION("query(Y:Z,""select Z Where Y ='""&amp;H430&amp;""'"",0)"),"#REF!")</f>
        <v>#REF!</v>
      </c>
      <c r="B430" s="29" t="s">
        <v>1030</v>
      </c>
      <c r="C430" s="164" t="s">
        <v>1044</v>
      </c>
      <c r="D430" s="156" t="s">
        <v>53</v>
      </c>
      <c r="E430" s="33" t="s">
        <v>1025</v>
      </c>
      <c r="F430" s="157" t="s">
        <v>1103</v>
      </c>
      <c r="G430" s="33" t="s">
        <v>1105</v>
      </c>
      <c r="H430" s="90" t="s">
        <v>1012</v>
      </c>
      <c r="I430" s="33" t="s">
        <v>1338</v>
      </c>
      <c r="W430" s="151" t="s">
        <v>125</v>
      </c>
      <c r="X430" s="150" t="s">
        <v>1070</v>
      </c>
      <c r="Y430" s="150" t="s">
        <v>998</v>
      </c>
      <c r="Z430" s="150">
        <v>2.0</v>
      </c>
    </row>
    <row r="431">
      <c r="A431" s="152" t="str">
        <f>IFERROR(__xludf.DUMMYFUNCTION("query(Y:Z,""select Z Where Y ='""&amp;H431&amp;""'"",0)"),"#REF!")</f>
        <v>#REF!</v>
      </c>
      <c r="B431" s="29" t="s">
        <v>1030</v>
      </c>
      <c r="C431" s="164" t="s">
        <v>1044</v>
      </c>
      <c r="D431" s="156" t="s">
        <v>53</v>
      </c>
      <c r="E431" s="33" t="s">
        <v>1025</v>
      </c>
      <c r="F431" s="157" t="s">
        <v>1103</v>
      </c>
      <c r="G431" s="33" t="s">
        <v>1105</v>
      </c>
      <c r="H431" s="90" t="s">
        <v>898</v>
      </c>
      <c r="I431" s="33" t="s">
        <v>1339</v>
      </c>
      <c r="W431" s="151" t="s">
        <v>125</v>
      </c>
      <c r="X431" s="150" t="s">
        <v>1070</v>
      </c>
      <c r="Y431" s="150" t="s">
        <v>741</v>
      </c>
      <c r="Z431" s="150">
        <v>8.0</v>
      </c>
    </row>
    <row r="432">
      <c r="A432" s="152" t="str">
        <f>IFERROR(__xludf.DUMMYFUNCTION("query(Y:Z,""select Z Where Y ='""&amp;H432&amp;""'"",0)"),"#REF!")</f>
        <v>#REF!</v>
      </c>
      <c r="B432" s="29" t="s">
        <v>1030</v>
      </c>
      <c r="C432" s="164" t="s">
        <v>1044</v>
      </c>
      <c r="D432" s="156" t="s">
        <v>53</v>
      </c>
      <c r="E432" s="33" t="s">
        <v>1025</v>
      </c>
      <c r="F432" s="157" t="s">
        <v>1109</v>
      </c>
      <c r="G432" s="33" t="s">
        <v>1110</v>
      </c>
      <c r="H432" s="90" t="s">
        <v>879</v>
      </c>
      <c r="I432" s="33" t="s">
        <v>1340</v>
      </c>
      <c r="W432" s="151" t="s">
        <v>125</v>
      </c>
      <c r="X432" s="150" t="s">
        <v>1070</v>
      </c>
      <c r="Y432" s="150" t="s">
        <v>891</v>
      </c>
      <c r="Z432" s="150">
        <v>1.0</v>
      </c>
    </row>
    <row r="433">
      <c r="A433" s="152" t="str">
        <f>IFERROR(__xludf.DUMMYFUNCTION("query(Y:Z,""select Z Where Y ='""&amp;H433&amp;""'"",0)"),"#N/A")</f>
        <v>#N/A</v>
      </c>
      <c r="B433" s="29" t="s">
        <v>1030</v>
      </c>
      <c r="C433" s="164" t="s">
        <v>1044</v>
      </c>
      <c r="D433" s="156" t="s">
        <v>53</v>
      </c>
      <c r="E433" s="33" t="s">
        <v>1025</v>
      </c>
      <c r="F433" s="157" t="s">
        <v>1109</v>
      </c>
      <c r="G433" s="33" t="s">
        <v>1110</v>
      </c>
      <c r="H433" s="90" t="s">
        <v>1341</v>
      </c>
      <c r="I433" s="33" t="s">
        <v>1342</v>
      </c>
      <c r="W433" s="151" t="s">
        <v>53</v>
      </c>
      <c r="X433" s="150" t="s">
        <v>1070</v>
      </c>
      <c r="Y433" s="150" t="s">
        <v>1077</v>
      </c>
      <c r="Z433" s="150">
        <v>1.0</v>
      </c>
    </row>
    <row r="434">
      <c r="A434" s="152" t="str">
        <f>IFERROR(__xludf.DUMMYFUNCTION("query(Y:Z,""select Z Where Y ='""&amp;H434&amp;""'"",0)"),"#REF!")</f>
        <v>#REF!</v>
      </c>
      <c r="B434" s="29" t="s">
        <v>1030</v>
      </c>
      <c r="C434" s="164" t="s">
        <v>1044</v>
      </c>
      <c r="D434" s="156" t="s">
        <v>53</v>
      </c>
      <c r="E434" s="33" t="s">
        <v>1025</v>
      </c>
      <c r="F434" s="157" t="s">
        <v>1109</v>
      </c>
      <c r="G434" s="33" t="s">
        <v>1110</v>
      </c>
      <c r="H434" s="90" t="s">
        <v>754</v>
      </c>
      <c r="I434" s="33" t="s">
        <v>1343</v>
      </c>
      <c r="W434" s="151" t="s">
        <v>125</v>
      </c>
      <c r="X434" s="150" t="s">
        <v>1070</v>
      </c>
      <c r="Y434" s="150" t="s">
        <v>710</v>
      </c>
      <c r="Z434" s="150">
        <v>10.0</v>
      </c>
    </row>
    <row r="435">
      <c r="A435" s="152" t="str">
        <f>IFERROR(__xludf.DUMMYFUNCTION("query(Y:Z,""select Z Where Y ='""&amp;H435&amp;""'"",0)"),"#N/A")</f>
        <v>#N/A</v>
      </c>
      <c r="B435" s="29" t="s">
        <v>1030</v>
      </c>
      <c r="C435" s="164" t="s">
        <v>1044</v>
      </c>
      <c r="D435" s="156" t="s">
        <v>53</v>
      </c>
      <c r="E435" s="33" t="s">
        <v>1025</v>
      </c>
      <c r="F435" s="157" t="s">
        <v>1109</v>
      </c>
      <c r="G435" s="33" t="s">
        <v>1110</v>
      </c>
      <c r="H435" s="90" t="s">
        <v>1344</v>
      </c>
      <c r="I435" s="33" t="s">
        <v>1345</v>
      </c>
      <c r="W435" s="151" t="s">
        <v>96</v>
      </c>
      <c r="X435" s="150" t="s">
        <v>1113</v>
      </c>
      <c r="Y435" s="150" t="s">
        <v>723</v>
      </c>
      <c r="Z435" s="150">
        <v>13.0</v>
      </c>
    </row>
    <row r="436">
      <c r="A436" s="152" t="str">
        <f>IFERROR(__xludf.DUMMYFUNCTION("query(Y:Z,""select Z Where Y ='""&amp;H436&amp;""'"",0)"),"#REF!")</f>
        <v>#REF!</v>
      </c>
      <c r="B436" s="29" t="s">
        <v>1030</v>
      </c>
      <c r="C436" s="164" t="s">
        <v>1044</v>
      </c>
      <c r="D436" s="156" t="s">
        <v>53</v>
      </c>
      <c r="E436" s="33" t="s">
        <v>1025</v>
      </c>
      <c r="F436" s="157" t="s">
        <v>1109</v>
      </c>
      <c r="G436" s="33" t="s">
        <v>1110</v>
      </c>
      <c r="H436" s="90" t="s">
        <v>813</v>
      </c>
      <c r="I436" s="33" t="s">
        <v>1348</v>
      </c>
      <c r="W436" s="151" t="s">
        <v>96</v>
      </c>
      <c r="X436" s="150" t="s">
        <v>1113</v>
      </c>
      <c r="Y436" s="150" t="s">
        <v>795</v>
      </c>
      <c r="Z436" s="150">
        <v>1.0</v>
      </c>
    </row>
    <row r="437">
      <c r="A437" s="152" t="str">
        <f>IFERROR(__xludf.DUMMYFUNCTION("query(Y:Z,""select Z Where Y ='""&amp;H437&amp;""'"",0)"),"#N/A")</f>
        <v>#N/A</v>
      </c>
      <c r="B437" s="29" t="s">
        <v>1030</v>
      </c>
      <c r="C437" s="164" t="s">
        <v>1044</v>
      </c>
      <c r="D437" s="156" t="s">
        <v>53</v>
      </c>
      <c r="E437" s="33" t="s">
        <v>1025</v>
      </c>
      <c r="F437" s="157" t="s">
        <v>1109</v>
      </c>
      <c r="G437" s="33" t="s">
        <v>1110</v>
      </c>
      <c r="H437" s="90" t="s">
        <v>1358</v>
      </c>
      <c r="I437" s="33" t="s">
        <v>1359</v>
      </c>
      <c r="W437" s="151" t="s">
        <v>57</v>
      </c>
      <c r="X437" s="150" t="s">
        <v>1291</v>
      </c>
      <c r="Y437" s="150" t="s">
        <v>866</v>
      </c>
      <c r="Z437" s="150">
        <v>5.0</v>
      </c>
    </row>
    <row r="438">
      <c r="A438" s="152" t="str">
        <f>IFERROR(__xludf.DUMMYFUNCTION("query(Y:Z,""select Z Where Y ='""&amp;H438&amp;""'"",0)"),"#REF!")</f>
        <v>#REF!</v>
      </c>
      <c r="B438" s="29" t="s">
        <v>1030</v>
      </c>
      <c r="C438" s="164" t="s">
        <v>1044</v>
      </c>
      <c r="D438" s="156" t="s">
        <v>53</v>
      </c>
      <c r="E438" s="33" t="s">
        <v>1025</v>
      </c>
      <c r="F438" s="157" t="s">
        <v>1109</v>
      </c>
      <c r="G438" s="33" t="s">
        <v>1110</v>
      </c>
      <c r="H438" s="90" t="s">
        <v>938</v>
      </c>
      <c r="I438" s="33" t="s">
        <v>1361</v>
      </c>
      <c r="W438" s="151" t="s">
        <v>57</v>
      </c>
      <c r="X438" s="150" t="s">
        <v>1291</v>
      </c>
      <c r="Y438" s="150" t="s">
        <v>989</v>
      </c>
      <c r="Z438" s="150">
        <v>10.0</v>
      </c>
    </row>
    <row r="439">
      <c r="A439" s="152" t="str">
        <f>IFERROR(__xludf.DUMMYFUNCTION("query(Y:Z,""select Z Where Y ='""&amp;H439&amp;""'"",0)"),"#REF!")</f>
        <v>#REF!</v>
      </c>
      <c r="B439" s="29" t="s">
        <v>1030</v>
      </c>
      <c r="C439" s="164" t="s">
        <v>1044</v>
      </c>
      <c r="D439" s="156" t="s">
        <v>53</v>
      </c>
      <c r="E439" s="33" t="s">
        <v>1025</v>
      </c>
      <c r="F439" s="157" t="s">
        <v>1109</v>
      </c>
      <c r="G439" s="33" t="s">
        <v>1110</v>
      </c>
      <c r="H439" s="90" t="s">
        <v>981</v>
      </c>
      <c r="I439" s="33" t="s">
        <v>1362</v>
      </c>
      <c r="W439" s="151" t="s">
        <v>57</v>
      </c>
      <c r="X439" s="150" t="s">
        <v>1291</v>
      </c>
      <c r="Y439" s="150" t="s">
        <v>956</v>
      </c>
      <c r="Z439" s="150">
        <v>31.0</v>
      </c>
    </row>
    <row r="440">
      <c r="A440" s="152" t="str">
        <f>IFERROR(__xludf.DUMMYFUNCTION("query(Y:Z,""select Z Where Y ='""&amp;H440&amp;""'"",0)"),"#N/A")</f>
        <v>#N/A</v>
      </c>
      <c r="B440" s="29" t="s">
        <v>1030</v>
      </c>
      <c r="C440" s="164" t="s">
        <v>1044</v>
      </c>
      <c r="D440" s="156" t="s">
        <v>53</v>
      </c>
      <c r="E440" s="33" t="s">
        <v>1025</v>
      </c>
      <c r="F440" s="157" t="s">
        <v>1118</v>
      </c>
      <c r="G440" s="33" t="s">
        <v>1119</v>
      </c>
      <c r="H440" s="90" t="s">
        <v>1366</v>
      </c>
      <c r="I440" s="33" t="s">
        <v>1367</v>
      </c>
      <c r="W440" s="149" t="s">
        <v>504</v>
      </c>
      <c r="X440" s="150" t="s">
        <v>1291</v>
      </c>
      <c r="Y440" s="150" t="s">
        <v>668</v>
      </c>
      <c r="Z440" s="150">
        <v>1.0</v>
      </c>
    </row>
    <row r="441">
      <c r="A441" s="152" t="str">
        <f>IFERROR(__xludf.DUMMYFUNCTION("query(Y:Z,""select Z Where Y ='""&amp;H441&amp;""'"",0)"),"#REF!")</f>
        <v>#REF!</v>
      </c>
      <c r="B441" s="29" t="s">
        <v>1030</v>
      </c>
      <c r="C441" s="164" t="s">
        <v>1044</v>
      </c>
      <c r="D441" s="156" t="s">
        <v>53</v>
      </c>
      <c r="E441" s="33" t="s">
        <v>1025</v>
      </c>
      <c r="F441" s="157" t="s">
        <v>1118</v>
      </c>
      <c r="G441" s="33" t="s">
        <v>1119</v>
      </c>
      <c r="H441" s="90" t="s">
        <v>832</v>
      </c>
      <c r="I441" s="33" t="s">
        <v>1368</v>
      </c>
      <c r="W441" s="151" t="s">
        <v>57</v>
      </c>
      <c r="X441" s="150" t="s">
        <v>1291</v>
      </c>
      <c r="Y441" s="150" t="s">
        <v>804</v>
      </c>
      <c r="Z441" s="150">
        <v>30.0</v>
      </c>
    </row>
    <row r="442">
      <c r="A442" s="152" t="str">
        <f>IFERROR(__xludf.DUMMYFUNCTION("query(Y:Z,""select Z Where Y ='""&amp;H442&amp;""'"",0)"),"#REF!")</f>
        <v>#REF!</v>
      </c>
      <c r="B442" s="29" t="s">
        <v>1030</v>
      </c>
      <c r="C442" s="164" t="s">
        <v>1044</v>
      </c>
      <c r="D442" s="156" t="s">
        <v>53</v>
      </c>
      <c r="E442" s="33" t="s">
        <v>1025</v>
      </c>
      <c r="F442" s="157" t="s">
        <v>1118</v>
      </c>
      <c r="G442" s="33" t="s">
        <v>1119</v>
      </c>
      <c r="H442" s="90" t="s">
        <v>691</v>
      </c>
      <c r="I442" s="33" t="s">
        <v>1372</v>
      </c>
      <c r="W442" s="151" t="s">
        <v>147</v>
      </c>
      <c r="X442" s="150" t="s">
        <v>1121</v>
      </c>
      <c r="Y442" s="150" t="s">
        <v>615</v>
      </c>
      <c r="Z442" s="150">
        <v>49.0</v>
      </c>
    </row>
    <row r="443">
      <c r="A443" s="152" t="str">
        <f>IFERROR(__xludf.DUMMYFUNCTION("query(Y:Z,""select Z Where Y ='""&amp;H443&amp;""'"",0)"),"#REF!")</f>
        <v>#REF!</v>
      </c>
      <c r="B443" s="29" t="s">
        <v>1030</v>
      </c>
      <c r="C443" s="164" t="s">
        <v>1044</v>
      </c>
      <c r="D443" s="156" t="s">
        <v>53</v>
      </c>
      <c r="E443" s="33" t="s">
        <v>1025</v>
      </c>
      <c r="F443" s="157" t="s">
        <v>1118</v>
      </c>
      <c r="G443" s="33" t="s">
        <v>1119</v>
      </c>
      <c r="H443" s="90" t="s">
        <v>731</v>
      </c>
      <c r="I443" s="33" t="s">
        <v>1374</v>
      </c>
      <c r="W443" s="151" t="s">
        <v>147</v>
      </c>
      <c r="X443" s="150" t="s">
        <v>1121</v>
      </c>
      <c r="Y443" s="150" t="s">
        <v>675</v>
      </c>
      <c r="Z443" s="150">
        <v>54.0</v>
      </c>
    </row>
    <row r="444">
      <c r="A444" s="152" t="str">
        <f>IFERROR(__xludf.DUMMYFUNCTION("query(Y:Z,""select Z Where Y ='""&amp;H444&amp;""'"",0)"),"#REF!")</f>
        <v>#REF!</v>
      </c>
      <c r="B444" s="29" t="s">
        <v>1030</v>
      </c>
      <c r="C444" s="164" t="s">
        <v>1044</v>
      </c>
      <c r="D444" s="156" t="s">
        <v>53</v>
      </c>
      <c r="E444" s="33" t="s">
        <v>1025</v>
      </c>
      <c r="F444" s="157" t="s">
        <v>1266</v>
      </c>
      <c r="G444" s="33" t="s">
        <v>1351</v>
      </c>
      <c r="H444" s="90" t="s">
        <v>551</v>
      </c>
      <c r="I444" s="33" t="s">
        <v>1375</v>
      </c>
      <c r="W444" s="151" t="s">
        <v>147</v>
      </c>
      <c r="X444" s="150" t="s">
        <v>1121</v>
      </c>
      <c r="Y444" s="150" t="s">
        <v>675</v>
      </c>
      <c r="Z444" s="150">
        <v>1.0</v>
      </c>
    </row>
    <row r="445">
      <c r="A445" s="152" t="str">
        <f>IFERROR(__xludf.DUMMYFUNCTION("query(Y:Z,""select Z Where Y ='""&amp;H445&amp;""'"",0)"),"#REF!")</f>
        <v>#REF!</v>
      </c>
      <c r="B445" s="29" t="s">
        <v>1030</v>
      </c>
      <c r="C445" s="164" t="s">
        <v>1044</v>
      </c>
      <c r="D445" s="156" t="s">
        <v>114</v>
      </c>
      <c r="E445" s="33" t="s">
        <v>1025</v>
      </c>
      <c r="F445" s="157" t="s">
        <v>1220</v>
      </c>
      <c r="G445" s="33" t="s">
        <v>1243</v>
      </c>
      <c r="H445" s="90" t="s">
        <v>718</v>
      </c>
      <c r="I445" s="33" t="s">
        <v>1442</v>
      </c>
      <c r="W445" s="151" t="s">
        <v>78</v>
      </c>
      <c r="X445" s="150" t="s">
        <v>1245</v>
      </c>
      <c r="Y445" s="150" t="s">
        <v>745</v>
      </c>
      <c r="Z445" s="150">
        <v>43.0</v>
      </c>
    </row>
    <row r="446">
      <c r="A446" s="152" t="str">
        <f>IFERROR(__xludf.DUMMYFUNCTION("query(Y:Z,""select Z Where Y ='""&amp;H446&amp;""'"",0)"),"#REF!")</f>
        <v>#REF!</v>
      </c>
      <c r="B446" s="29" t="s">
        <v>1030</v>
      </c>
      <c r="C446" s="164" t="s">
        <v>1044</v>
      </c>
      <c r="D446" s="156" t="s">
        <v>114</v>
      </c>
      <c r="E446" s="33" t="s">
        <v>1025</v>
      </c>
      <c r="F446" s="157" t="s">
        <v>1220</v>
      </c>
      <c r="G446" s="33" t="s">
        <v>1243</v>
      </c>
      <c r="H446" s="90" t="s">
        <v>1008</v>
      </c>
      <c r="I446" s="33" t="s">
        <v>1446</v>
      </c>
      <c r="W446" s="149" t="s">
        <v>504</v>
      </c>
      <c r="X446" s="150" t="s">
        <v>1245</v>
      </c>
      <c r="Y446" s="150" t="s">
        <v>682</v>
      </c>
      <c r="Z446" s="150">
        <v>1.0</v>
      </c>
    </row>
    <row r="447">
      <c r="A447" s="152" t="str">
        <f>IFERROR(__xludf.DUMMYFUNCTION("query(Y:Z,""select Z Where Y ='""&amp;H447&amp;""'"",0)"),"#REF!")</f>
        <v>#REF!</v>
      </c>
      <c r="B447" s="29" t="s">
        <v>1030</v>
      </c>
      <c r="C447" s="164" t="s">
        <v>1044</v>
      </c>
      <c r="D447" s="156" t="s">
        <v>108</v>
      </c>
      <c r="E447" s="33" t="s">
        <v>1025</v>
      </c>
      <c r="F447" s="157" t="s">
        <v>1415</v>
      </c>
      <c r="G447" s="33" t="s">
        <v>1472</v>
      </c>
      <c r="H447" s="90" t="s">
        <v>640</v>
      </c>
      <c r="I447" s="33" t="s">
        <v>1510</v>
      </c>
      <c r="W447" s="151" t="s">
        <v>78</v>
      </c>
      <c r="X447" s="150" t="s">
        <v>1245</v>
      </c>
      <c r="Y447" s="150" t="s">
        <v>682</v>
      </c>
      <c r="Z447" s="150">
        <v>39.0</v>
      </c>
    </row>
    <row r="448">
      <c r="A448" s="152" t="str">
        <f>IFERROR(__xludf.DUMMYFUNCTION("query(Y:Z,""select Z Where Y ='""&amp;H448&amp;""'"",0)"),"#REF!")</f>
        <v>#REF!</v>
      </c>
      <c r="B448" s="29" t="s">
        <v>1030</v>
      </c>
      <c r="C448" s="164" t="s">
        <v>1044</v>
      </c>
      <c r="D448" s="156" t="s">
        <v>108</v>
      </c>
      <c r="E448" s="33" t="s">
        <v>1025</v>
      </c>
      <c r="F448" s="157" t="s">
        <v>1415</v>
      </c>
      <c r="G448" s="33" t="s">
        <v>1472</v>
      </c>
      <c r="H448" s="90" t="s">
        <v>980</v>
      </c>
      <c r="I448" s="33" t="s">
        <v>1511</v>
      </c>
      <c r="W448" s="151" t="s">
        <v>78</v>
      </c>
      <c r="X448" s="150" t="s">
        <v>1245</v>
      </c>
      <c r="Y448" s="150" t="s">
        <v>650</v>
      </c>
      <c r="Z448" s="150">
        <v>26.0</v>
      </c>
    </row>
    <row r="449">
      <c r="A449" s="152" t="str">
        <f>IFERROR(__xludf.DUMMYFUNCTION("query(Y:Z,""select Z Where Y ='""&amp;H449&amp;""'"",0)"),"#REF!")</f>
        <v>#REF!</v>
      </c>
      <c r="B449" s="29" t="s">
        <v>1030</v>
      </c>
      <c r="C449" s="164" t="s">
        <v>1044</v>
      </c>
      <c r="D449" s="156" t="s">
        <v>108</v>
      </c>
      <c r="E449" s="33" t="s">
        <v>1025</v>
      </c>
      <c r="F449" s="157" t="s">
        <v>1041</v>
      </c>
      <c r="G449" s="33" t="s">
        <v>1512</v>
      </c>
      <c r="H449" s="90" t="s">
        <v>694</v>
      </c>
      <c r="I449" s="33" t="s">
        <v>1515</v>
      </c>
      <c r="W449" s="151" t="s">
        <v>108</v>
      </c>
      <c r="X449" s="150" t="s">
        <v>1415</v>
      </c>
      <c r="Y449" s="150" t="s">
        <v>515</v>
      </c>
      <c r="Z449" s="150">
        <v>242.0</v>
      </c>
    </row>
    <row r="450">
      <c r="A450" s="152" t="str">
        <f>IFERROR(__xludf.DUMMYFUNCTION("query(Y:Z,""select Z Where Y ='""&amp;H450&amp;""'"",0)"),"#REF!")</f>
        <v>#REF!</v>
      </c>
      <c r="B450" s="29" t="s">
        <v>1030</v>
      </c>
      <c r="C450" s="164" t="s">
        <v>1044</v>
      </c>
      <c r="D450" s="156" t="s">
        <v>108</v>
      </c>
      <c r="E450" s="33" t="s">
        <v>1025</v>
      </c>
      <c r="F450" s="157" t="s">
        <v>1041</v>
      </c>
      <c r="G450" s="33" t="s">
        <v>1512</v>
      </c>
      <c r="H450" s="90" t="s">
        <v>946</v>
      </c>
      <c r="I450" s="33" t="s">
        <v>1519</v>
      </c>
      <c r="W450" s="149" t="s">
        <v>504</v>
      </c>
      <c r="X450" s="150" t="s">
        <v>1415</v>
      </c>
      <c r="Y450" s="150" t="s">
        <v>640</v>
      </c>
      <c r="Z450" s="150">
        <v>1.0</v>
      </c>
    </row>
    <row r="451">
      <c r="A451" s="152" t="str">
        <f>IFERROR(__xludf.DUMMYFUNCTION("query(Y:Z,""select Z Where Y ='""&amp;H451&amp;""'"",0)"),"#REF!")</f>
        <v>#REF!</v>
      </c>
      <c r="B451" s="29" t="s">
        <v>1030</v>
      </c>
      <c r="C451" s="164" t="s">
        <v>1044</v>
      </c>
      <c r="D451" s="156" t="s">
        <v>108</v>
      </c>
      <c r="E451" s="33" t="s">
        <v>1025</v>
      </c>
      <c r="F451" s="157" t="s">
        <v>1041</v>
      </c>
      <c r="G451" s="33" t="s">
        <v>1512</v>
      </c>
      <c r="H451" s="90" t="s">
        <v>625</v>
      </c>
      <c r="I451" s="33" t="s">
        <v>1521</v>
      </c>
      <c r="W451" s="149" t="s">
        <v>504</v>
      </c>
      <c r="X451" s="150" t="s">
        <v>1415</v>
      </c>
      <c r="Y451" s="150" t="s">
        <v>980</v>
      </c>
      <c r="Z451" s="150">
        <v>1.0</v>
      </c>
    </row>
    <row r="452">
      <c r="A452" s="152" t="str">
        <f>IFERROR(__xludf.DUMMYFUNCTION("query(Y:Z,""select Z Where Y ='""&amp;H452&amp;""'"",0)"),"#REF!")</f>
        <v>#REF!</v>
      </c>
      <c r="B452" s="29" t="s">
        <v>1030</v>
      </c>
      <c r="C452" s="164" t="s">
        <v>1044</v>
      </c>
      <c r="D452" s="156" t="s">
        <v>147</v>
      </c>
      <c r="E452" s="33" t="s">
        <v>1025</v>
      </c>
      <c r="F452" s="157" t="s">
        <v>1412</v>
      </c>
      <c r="G452" s="33" t="s">
        <v>1413</v>
      </c>
      <c r="H452" s="90" t="s">
        <v>953</v>
      </c>
      <c r="I452" s="33" t="s">
        <v>1583</v>
      </c>
      <c r="W452" s="151" t="s">
        <v>108</v>
      </c>
      <c r="X452" s="150" t="s">
        <v>1415</v>
      </c>
      <c r="Y452" s="150" t="s">
        <v>568</v>
      </c>
      <c r="Z452" s="150">
        <v>139.0</v>
      </c>
    </row>
    <row r="453">
      <c r="A453" s="152" t="str">
        <f>IFERROR(__xludf.DUMMYFUNCTION("query(Y:Z,""select Z Where Y ='""&amp;H453&amp;""'"",0)"),"#REF!")</f>
        <v>#REF!</v>
      </c>
      <c r="B453" s="29" t="s">
        <v>1030</v>
      </c>
      <c r="C453" s="164" t="s">
        <v>1044</v>
      </c>
      <c r="D453" s="156" t="s">
        <v>147</v>
      </c>
      <c r="E453" s="33" t="s">
        <v>1025</v>
      </c>
      <c r="F453" s="157" t="s">
        <v>1029</v>
      </c>
      <c r="G453" s="33" t="s">
        <v>1586</v>
      </c>
      <c r="H453" s="90" t="s">
        <v>585</v>
      </c>
      <c r="I453" s="33" t="s">
        <v>1587</v>
      </c>
      <c r="W453" s="151" t="s">
        <v>1210</v>
      </c>
      <c r="X453" s="150" t="s">
        <v>108</v>
      </c>
      <c r="Y453" s="150" t="s">
        <v>1492</v>
      </c>
      <c r="Z453" s="150">
        <v>1.0</v>
      </c>
    </row>
    <row r="454">
      <c r="A454" s="152" t="str">
        <f>IFERROR(__xludf.DUMMYFUNCTION("query(Y:Z,""select Z Where Y ='""&amp;H454&amp;""'"",0)"),"#REF!")</f>
        <v>#REF!</v>
      </c>
      <c r="B454" s="29" t="s">
        <v>1030</v>
      </c>
      <c r="C454" s="164" t="s">
        <v>1044</v>
      </c>
      <c r="D454" s="156" t="s">
        <v>147</v>
      </c>
      <c r="E454" s="33" t="s">
        <v>1025</v>
      </c>
      <c r="F454" s="157" t="s">
        <v>1029</v>
      </c>
      <c r="G454" s="33" t="s">
        <v>1586</v>
      </c>
      <c r="H454" s="90" t="s">
        <v>703</v>
      </c>
      <c r="I454" s="33" t="s">
        <v>1591</v>
      </c>
      <c r="W454" s="151" t="s">
        <v>1415</v>
      </c>
      <c r="X454" s="150" t="s">
        <v>108</v>
      </c>
      <c r="Y454" s="150" t="s">
        <v>640</v>
      </c>
      <c r="Z454" s="150">
        <v>2.0</v>
      </c>
    </row>
    <row r="455">
      <c r="A455" s="152" t="str">
        <f>IFERROR(__xludf.DUMMYFUNCTION("query(Y:Z,""select Z Where Y ='""&amp;H455&amp;""'"",0)"),"#REF!")</f>
        <v>#REF!</v>
      </c>
      <c r="B455" s="29" t="s">
        <v>1030</v>
      </c>
      <c r="C455" s="164" t="s">
        <v>1044</v>
      </c>
      <c r="D455" s="156" t="s">
        <v>57</v>
      </c>
      <c r="E455" s="33" t="s">
        <v>1025</v>
      </c>
      <c r="F455" s="157" t="s">
        <v>1122</v>
      </c>
      <c r="G455" s="33" t="s">
        <v>1123</v>
      </c>
      <c r="H455" s="90" t="s">
        <v>547</v>
      </c>
      <c r="I455" s="33" t="s">
        <v>1600</v>
      </c>
      <c r="W455" s="151" t="s">
        <v>96</v>
      </c>
      <c r="X455" s="150" t="s">
        <v>1126</v>
      </c>
      <c r="Y455" s="150" t="s">
        <v>865</v>
      </c>
      <c r="Z455" s="150">
        <v>5.0</v>
      </c>
    </row>
    <row r="456">
      <c r="A456" s="152" t="str">
        <f>IFERROR(__xludf.DUMMYFUNCTION("query(Y:Z,""select Z Where Y ='""&amp;H456&amp;""'"",0)"),"#REF!")</f>
        <v>#REF!</v>
      </c>
      <c r="B456" s="29" t="s">
        <v>1030</v>
      </c>
      <c r="C456" s="164" t="s">
        <v>1044</v>
      </c>
      <c r="D456" s="156" t="s">
        <v>57</v>
      </c>
      <c r="E456" s="33" t="s">
        <v>1025</v>
      </c>
      <c r="F456" s="157" t="s">
        <v>1122</v>
      </c>
      <c r="G456" s="33" t="s">
        <v>1123</v>
      </c>
      <c r="H456" s="90" t="s">
        <v>633</v>
      </c>
      <c r="I456" s="33" t="s">
        <v>1630</v>
      </c>
      <c r="W456" s="151" t="s">
        <v>108</v>
      </c>
      <c r="X456" s="150" t="s">
        <v>1438</v>
      </c>
      <c r="Y456" s="150" t="s">
        <v>528</v>
      </c>
      <c r="Z456" s="150">
        <v>1.0</v>
      </c>
    </row>
    <row r="457">
      <c r="A457" s="152" t="str">
        <f>IFERROR(__xludf.DUMMYFUNCTION("query(Y:Z,""select Z Where Y ='""&amp;H457&amp;""'"",0)"),"#REF!")</f>
        <v>#REF!</v>
      </c>
      <c r="B457" s="29" t="s">
        <v>1030</v>
      </c>
      <c r="C457" s="164" t="s">
        <v>1044</v>
      </c>
      <c r="D457" s="156" t="s">
        <v>57</v>
      </c>
      <c r="E457" s="33" t="s">
        <v>1025</v>
      </c>
      <c r="F457" s="157" t="s">
        <v>1246</v>
      </c>
      <c r="G457" s="33" t="s">
        <v>1248</v>
      </c>
      <c r="H457" s="90" t="s">
        <v>643</v>
      </c>
      <c r="I457" s="33" t="s">
        <v>1652</v>
      </c>
      <c r="W457" s="151" t="s">
        <v>182</v>
      </c>
      <c r="X457" s="150" t="s">
        <v>1214</v>
      </c>
      <c r="Y457" s="150" t="s">
        <v>513</v>
      </c>
      <c r="Z457" s="150">
        <v>539.0</v>
      </c>
    </row>
    <row r="458">
      <c r="A458" s="152" t="str">
        <f>IFERROR(__xludf.DUMMYFUNCTION("query(Y:Z,""select Z Where Y ='""&amp;H458&amp;""'"",0)"),"#REF!")</f>
        <v>#REF!</v>
      </c>
      <c r="B458" s="29" t="s">
        <v>1030</v>
      </c>
      <c r="C458" s="164" t="s">
        <v>1044</v>
      </c>
      <c r="D458" s="156" t="s">
        <v>57</v>
      </c>
      <c r="E458" s="33" t="s">
        <v>1025</v>
      </c>
      <c r="F458" s="157" t="s">
        <v>1246</v>
      </c>
      <c r="G458" s="33" t="s">
        <v>1248</v>
      </c>
      <c r="H458" s="90" t="s">
        <v>908</v>
      </c>
      <c r="I458" s="33" t="s">
        <v>1656</v>
      </c>
      <c r="W458" s="151" t="s">
        <v>147</v>
      </c>
      <c r="X458" s="150" t="s">
        <v>1214</v>
      </c>
      <c r="Y458" s="150" t="s">
        <v>513</v>
      </c>
      <c r="Z458" s="150">
        <v>1.0</v>
      </c>
    </row>
    <row r="459">
      <c r="A459" s="152" t="str">
        <f>IFERROR(__xludf.DUMMYFUNCTION("query(Y:Z,""select Z Where Y ='""&amp;H459&amp;""'"",0)"),"#REF!")</f>
        <v>#REF!</v>
      </c>
      <c r="B459" s="29" t="s">
        <v>1030</v>
      </c>
      <c r="C459" s="164" t="s">
        <v>1044</v>
      </c>
      <c r="D459" s="156" t="s">
        <v>57</v>
      </c>
      <c r="E459" s="33" t="s">
        <v>1025</v>
      </c>
      <c r="F459" s="157" t="s">
        <v>1291</v>
      </c>
      <c r="G459" s="33" t="s">
        <v>1420</v>
      </c>
      <c r="H459" s="90" t="s">
        <v>668</v>
      </c>
      <c r="I459" s="33" t="s">
        <v>1689</v>
      </c>
      <c r="W459" s="151" t="s">
        <v>53</v>
      </c>
      <c r="X459" s="150" t="s">
        <v>1118</v>
      </c>
      <c r="Y459" s="150" t="s">
        <v>832</v>
      </c>
      <c r="Z459" s="150">
        <v>1.0</v>
      </c>
    </row>
    <row r="460">
      <c r="A460" s="152" t="str">
        <f>IFERROR(__xludf.DUMMYFUNCTION("query(Y:Z,""select Z Where Y ='""&amp;H460&amp;""'"",0)"),"#REF!")</f>
        <v>#REF!</v>
      </c>
      <c r="B460" s="29" t="s">
        <v>1030</v>
      </c>
      <c r="C460" s="164" t="s">
        <v>1044</v>
      </c>
      <c r="D460" s="156" t="s">
        <v>57</v>
      </c>
      <c r="E460" s="33" t="s">
        <v>1025</v>
      </c>
      <c r="F460" s="157" t="s">
        <v>1254</v>
      </c>
      <c r="G460" s="33" t="s">
        <v>1255</v>
      </c>
      <c r="H460" s="90" t="s">
        <v>800</v>
      </c>
      <c r="I460" s="33" t="s">
        <v>1697</v>
      </c>
      <c r="W460" s="151" t="s">
        <v>125</v>
      </c>
      <c r="X460" s="150" t="s">
        <v>1118</v>
      </c>
      <c r="Y460" s="150" t="s">
        <v>832</v>
      </c>
      <c r="Z460" s="150">
        <v>1.0</v>
      </c>
    </row>
    <row r="461">
      <c r="A461" s="152" t="str">
        <f>IFERROR(__xludf.DUMMYFUNCTION("query(Y:Z,""select Z Where Y ='""&amp;H461&amp;""'"",0)"),"#REF!")</f>
        <v>#REF!</v>
      </c>
      <c r="B461" s="29" t="s">
        <v>1030</v>
      </c>
      <c r="C461" s="164" t="s">
        <v>1044</v>
      </c>
      <c r="D461" s="156" t="s">
        <v>57</v>
      </c>
      <c r="E461" s="33" t="s">
        <v>1025</v>
      </c>
      <c r="F461" s="157" t="s">
        <v>1254</v>
      </c>
      <c r="G461" s="33" t="s">
        <v>1255</v>
      </c>
      <c r="H461" s="90" t="s">
        <v>579</v>
      </c>
      <c r="I461" s="33" t="s">
        <v>1714</v>
      </c>
      <c r="W461" s="151" t="s">
        <v>125</v>
      </c>
      <c r="X461" s="150" t="s">
        <v>1118</v>
      </c>
      <c r="Y461" s="150" t="s">
        <v>976</v>
      </c>
      <c r="Z461" s="150">
        <v>10.0</v>
      </c>
    </row>
    <row r="462">
      <c r="A462" s="152" t="str">
        <f>IFERROR(__xludf.DUMMYFUNCTION("query(Y:Z,""select Z Where Y ='""&amp;H462&amp;""'"",0)"),"#REF!")</f>
        <v>#REF!</v>
      </c>
      <c r="B462" s="29" t="s">
        <v>1030</v>
      </c>
      <c r="C462" s="164" t="s">
        <v>1044</v>
      </c>
      <c r="D462" s="156" t="s">
        <v>169</v>
      </c>
      <c r="E462" s="33" t="s">
        <v>1025</v>
      </c>
      <c r="F462" s="157" t="s">
        <v>1482</v>
      </c>
      <c r="G462" s="33" t="s">
        <v>1483</v>
      </c>
      <c r="H462" s="90" t="s">
        <v>1007</v>
      </c>
      <c r="I462" s="33" t="s">
        <v>1825</v>
      </c>
      <c r="W462" s="151" t="s">
        <v>125</v>
      </c>
      <c r="X462" s="150" t="s">
        <v>1118</v>
      </c>
      <c r="Y462" s="150" t="s">
        <v>673</v>
      </c>
      <c r="Z462" s="150">
        <v>4.0</v>
      </c>
    </row>
    <row r="463">
      <c r="A463" s="152" t="str">
        <f>IFERROR(__xludf.DUMMYFUNCTION("query(Y:Z,""select Z Where Y ='""&amp;H463&amp;""'"",0)"),"#REF!")</f>
        <v>#REF!</v>
      </c>
      <c r="B463" s="29" t="s">
        <v>1030</v>
      </c>
      <c r="C463" s="164" t="s">
        <v>1044</v>
      </c>
      <c r="D463" s="156" t="s">
        <v>169</v>
      </c>
      <c r="E463" s="33" t="s">
        <v>1025</v>
      </c>
      <c r="F463" s="157" t="s">
        <v>1482</v>
      </c>
      <c r="G463" s="33" t="s">
        <v>1483</v>
      </c>
      <c r="H463" s="90" t="s">
        <v>713</v>
      </c>
      <c r="I463" s="33" t="s">
        <v>1834</v>
      </c>
      <c r="W463" s="151" t="s">
        <v>108</v>
      </c>
      <c r="X463" s="150" t="s">
        <v>1200</v>
      </c>
      <c r="Y463" s="150" t="s">
        <v>720</v>
      </c>
      <c r="Z463" s="150">
        <v>2.0</v>
      </c>
    </row>
    <row r="464">
      <c r="A464" s="152" t="str">
        <f>IFERROR(__xludf.DUMMYFUNCTION("query(Y:Z,""select Z Where Y ='""&amp;H464&amp;""'"",0)"),"#REF!")</f>
        <v>#REF!</v>
      </c>
      <c r="B464" s="29" t="s">
        <v>1030</v>
      </c>
      <c r="C464" s="164" t="s">
        <v>1044</v>
      </c>
      <c r="D464" s="156" t="s">
        <v>159</v>
      </c>
      <c r="E464" s="33" t="s">
        <v>1025</v>
      </c>
      <c r="F464" s="157" t="s">
        <v>1637</v>
      </c>
      <c r="G464" s="33" t="s">
        <v>1639</v>
      </c>
      <c r="H464" s="90" t="s">
        <v>575</v>
      </c>
      <c r="I464" s="33" t="s">
        <v>1858</v>
      </c>
      <c r="W464" s="151" t="s">
        <v>108</v>
      </c>
      <c r="X464" s="150" t="s">
        <v>1200</v>
      </c>
      <c r="Y464" s="150" t="s">
        <v>700</v>
      </c>
      <c r="Z464" s="150">
        <v>4.0</v>
      </c>
    </row>
    <row r="465">
      <c r="A465" s="152" t="str">
        <f>IFERROR(__xludf.DUMMYFUNCTION("query(Y:Z,""select Z Where Y ='""&amp;H465&amp;""'"",0)"),"#REF!")</f>
        <v>#REF!</v>
      </c>
      <c r="B465" s="29" t="s">
        <v>1030</v>
      </c>
      <c r="C465" s="164" t="s">
        <v>1044</v>
      </c>
      <c r="D465" s="156" t="s">
        <v>159</v>
      </c>
      <c r="E465" s="33" t="s">
        <v>1025</v>
      </c>
      <c r="F465" s="157" t="s">
        <v>1637</v>
      </c>
      <c r="G465" s="33" t="s">
        <v>1639</v>
      </c>
      <c r="H465" s="90" t="s">
        <v>607</v>
      </c>
      <c r="I465" s="33" t="s">
        <v>1866</v>
      </c>
      <c r="W465" s="151" t="s">
        <v>108</v>
      </c>
      <c r="X465" s="150" t="s">
        <v>1200</v>
      </c>
      <c r="Y465" s="150" t="s">
        <v>649</v>
      </c>
      <c r="Z465" s="150">
        <v>184.0</v>
      </c>
    </row>
    <row r="466">
      <c r="A466" s="152" t="str">
        <f>IFERROR(__xludf.DUMMYFUNCTION("query(Y:Z,""select Z Where Y ='""&amp;H466&amp;""'"",0)"),"#REF!")</f>
        <v>#REF!</v>
      </c>
      <c r="B466" s="29" t="s">
        <v>1030</v>
      </c>
      <c r="C466" s="164" t="s">
        <v>1044</v>
      </c>
      <c r="D466" s="156" t="s">
        <v>159</v>
      </c>
      <c r="E466" s="33" t="s">
        <v>1025</v>
      </c>
      <c r="F466" s="157" t="s">
        <v>1637</v>
      </c>
      <c r="G466" s="33" t="s">
        <v>1639</v>
      </c>
      <c r="H466" s="90" t="s">
        <v>572</v>
      </c>
      <c r="I466" s="33" t="s">
        <v>1874</v>
      </c>
      <c r="W466" s="151" t="s">
        <v>108</v>
      </c>
      <c r="X466" s="150" t="s">
        <v>4105</v>
      </c>
      <c r="Y466" s="150" t="s">
        <v>4106</v>
      </c>
      <c r="Z466" s="150">
        <v>1.0</v>
      </c>
    </row>
    <row r="467">
      <c r="A467" s="152" t="str">
        <f>IFERROR(__xludf.DUMMYFUNCTION("query(Y:Z,""select Z Where Y ='""&amp;H467&amp;""'"",0)"),"#REF!")</f>
        <v>#REF!</v>
      </c>
      <c r="B467" s="29" t="s">
        <v>1030</v>
      </c>
      <c r="C467" s="164" t="s">
        <v>1044</v>
      </c>
      <c r="D467" s="156" t="s">
        <v>159</v>
      </c>
      <c r="E467" s="33" t="s">
        <v>1025</v>
      </c>
      <c r="F467" s="157" t="s">
        <v>1637</v>
      </c>
      <c r="G467" s="33" t="s">
        <v>1639</v>
      </c>
      <c r="H467" s="90" t="s">
        <v>556</v>
      </c>
      <c r="I467" s="33" t="s">
        <v>1880</v>
      </c>
      <c r="W467" s="149" t="s">
        <v>504</v>
      </c>
      <c r="X467" s="150" t="s">
        <v>1164</v>
      </c>
      <c r="Y467" s="150" t="s">
        <v>567</v>
      </c>
      <c r="Z467" s="150">
        <v>1.0</v>
      </c>
    </row>
    <row r="468">
      <c r="A468" s="152" t="str">
        <f>IFERROR(__xludf.DUMMYFUNCTION("query(Y:Z,""select Z Where Y ='""&amp;H468&amp;""'"",0)"),"#REF!")</f>
        <v>#REF!</v>
      </c>
      <c r="B468" s="29" t="s">
        <v>1030</v>
      </c>
      <c r="C468" s="164" t="s">
        <v>1044</v>
      </c>
      <c r="D468" s="156" t="s">
        <v>159</v>
      </c>
      <c r="E468" s="33" t="s">
        <v>1025</v>
      </c>
      <c r="F468" s="157" t="s">
        <v>1637</v>
      </c>
      <c r="G468" s="33" t="s">
        <v>1639</v>
      </c>
      <c r="H468" s="90" t="s">
        <v>526</v>
      </c>
      <c r="I468" s="33" t="s">
        <v>1888</v>
      </c>
      <c r="W468" s="151" t="s">
        <v>169</v>
      </c>
      <c r="X468" s="150" t="s">
        <v>1164</v>
      </c>
      <c r="Y468" s="150" t="s">
        <v>567</v>
      </c>
      <c r="Z468" s="150">
        <v>155.0</v>
      </c>
    </row>
    <row r="469">
      <c r="A469" s="152" t="str">
        <f>IFERROR(__xludf.DUMMYFUNCTION("query(Y:Z,""select Z Where Y ='""&amp;H469&amp;""'"",0)"),"#REF!")</f>
        <v>#REF!</v>
      </c>
      <c r="B469" s="29" t="s">
        <v>1030</v>
      </c>
      <c r="C469" s="164" t="s">
        <v>1044</v>
      </c>
      <c r="D469" s="156" t="s">
        <v>159</v>
      </c>
      <c r="E469" s="33" t="s">
        <v>1025</v>
      </c>
      <c r="F469" s="157" t="s">
        <v>1637</v>
      </c>
      <c r="G469" s="33" t="s">
        <v>1639</v>
      </c>
      <c r="H469" s="90" t="s">
        <v>525</v>
      </c>
      <c r="I469" s="33" t="s">
        <v>1893</v>
      </c>
      <c r="W469" s="149" t="s">
        <v>504</v>
      </c>
      <c r="X469" s="150" t="s">
        <v>1164</v>
      </c>
      <c r="Y469" s="150" t="s">
        <v>692</v>
      </c>
      <c r="Z469" s="150">
        <v>1.0</v>
      </c>
    </row>
    <row r="470">
      <c r="A470" s="152" t="str">
        <f>IFERROR(__xludf.DUMMYFUNCTION("query(Y:Z,""select Z Where Y ='""&amp;H470&amp;""'"",0)"),"#REF!")</f>
        <v>#REF!</v>
      </c>
      <c r="B470" s="29" t="s">
        <v>1030</v>
      </c>
      <c r="C470" s="164" t="s">
        <v>1044</v>
      </c>
      <c r="D470" s="156" t="s">
        <v>159</v>
      </c>
      <c r="E470" s="33" t="s">
        <v>1025</v>
      </c>
      <c r="F470" s="157" t="s">
        <v>1637</v>
      </c>
      <c r="G470" s="33" t="s">
        <v>1639</v>
      </c>
      <c r="H470" s="90" t="s">
        <v>687</v>
      </c>
      <c r="I470" s="33" t="s">
        <v>1902</v>
      </c>
      <c r="W470" s="151" t="s">
        <v>169</v>
      </c>
      <c r="X470" s="150" t="s">
        <v>1164</v>
      </c>
      <c r="Y470" s="150" t="s">
        <v>692</v>
      </c>
      <c r="Z470" s="150">
        <v>25.0</v>
      </c>
    </row>
    <row r="471">
      <c r="A471" s="152" t="str">
        <f>IFERROR(__xludf.DUMMYFUNCTION("query(Y:Z,""select Z Where Y ='""&amp;H471&amp;""'"",0)"),"#REF!")</f>
        <v>#REF!</v>
      </c>
      <c r="B471" s="29" t="s">
        <v>1030</v>
      </c>
      <c r="C471" s="164" t="s">
        <v>1044</v>
      </c>
      <c r="D471" s="156" t="s">
        <v>159</v>
      </c>
      <c r="E471" s="33" t="s">
        <v>1025</v>
      </c>
      <c r="F471" s="157" t="s">
        <v>1637</v>
      </c>
      <c r="G471" s="33" t="s">
        <v>1639</v>
      </c>
      <c r="H471" s="90" t="s">
        <v>554</v>
      </c>
      <c r="I471" s="33" t="s">
        <v>1906</v>
      </c>
      <c r="W471" s="151" t="s">
        <v>169</v>
      </c>
      <c r="X471" s="150" t="s">
        <v>1164</v>
      </c>
      <c r="Y471" s="150" t="s">
        <v>958</v>
      </c>
      <c r="Z471" s="150">
        <v>19.0</v>
      </c>
    </row>
    <row r="472">
      <c r="A472" s="152" t="str">
        <f>IFERROR(__xludf.DUMMYFUNCTION("query(Y:Z,""select Z Where Y ='""&amp;H472&amp;""'"",0)"),"#REF!")</f>
        <v>#REF!</v>
      </c>
      <c r="B472" s="29" t="s">
        <v>1030</v>
      </c>
      <c r="C472" s="164" t="s">
        <v>1044</v>
      </c>
      <c r="D472" s="156" t="s">
        <v>159</v>
      </c>
      <c r="E472" s="33" t="s">
        <v>1025</v>
      </c>
      <c r="F472" s="157" t="s">
        <v>1637</v>
      </c>
      <c r="G472" s="33" t="s">
        <v>1639</v>
      </c>
      <c r="H472" s="90" t="s">
        <v>558</v>
      </c>
      <c r="I472" s="33" t="s">
        <v>1910</v>
      </c>
      <c r="W472" s="151" t="s">
        <v>169</v>
      </c>
      <c r="X472" s="150" t="s">
        <v>1164</v>
      </c>
      <c r="Y472" s="150" t="s">
        <v>619</v>
      </c>
      <c r="Z472" s="150">
        <v>21.0</v>
      </c>
    </row>
    <row r="473">
      <c r="A473" s="152" t="str">
        <f>IFERROR(__xludf.DUMMYFUNCTION("query(Y:Z,""select Z Where Y ='""&amp;H473&amp;""'"",0)"),"#REF!")</f>
        <v>#REF!</v>
      </c>
      <c r="B473" s="29" t="s">
        <v>1030</v>
      </c>
      <c r="C473" s="164" t="s">
        <v>1044</v>
      </c>
      <c r="D473" s="156" t="s">
        <v>159</v>
      </c>
      <c r="E473" s="33" t="s">
        <v>1025</v>
      </c>
      <c r="F473" s="157" t="s">
        <v>1637</v>
      </c>
      <c r="G473" s="33" t="s">
        <v>1639</v>
      </c>
      <c r="H473" s="90" t="s">
        <v>663</v>
      </c>
      <c r="I473" s="33" t="s">
        <v>1915</v>
      </c>
      <c r="W473" s="151" t="s">
        <v>169</v>
      </c>
      <c r="X473" s="150" t="s">
        <v>1164</v>
      </c>
      <c r="Y473" s="150" t="s">
        <v>697</v>
      </c>
      <c r="Z473" s="150">
        <v>34.0</v>
      </c>
    </row>
    <row r="474">
      <c r="A474" s="152" t="str">
        <f>IFERROR(__xludf.DUMMYFUNCTION("query(Y:Z,""select Z Where Y ='""&amp;H474&amp;""'"",0)"),"#REF!")</f>
        <v>#REF!</v>
      </c>
      <c r="B474" s="29" t="s">
        <v>1030</v>
      </c>
      <c r="C474" s="164" t="s">
        <v>1044</v>
      </c>
      <c r="D474" s="156" t="s">
        <v>159</v>
      </c>
      <c r="E474" s="33" t="s">
        <v>1025</v>
      </c>
      <c r="F474" s="157" t="s">
        <v>1637</v>
      </c>
      <c r="G474" s="33" t="s">
        <v>1639</v>
      </c>
      <c r="H474" s="90" t="s">
        <v>542</v>
      </c>
      <c r="I474" s="33" t="s">
        <v>1919</v>
      </c>
      <c r="W474" s="151" t="s">
        <v>169</v>
      </c>
      <c r="X474" s="150" t="s">
        <v>4107</v>
      </c>
      <c r="Y474" s="150" t="s">
        <v>4108</v>
      </c>
      <c r="Z474" s="150">
        <v>1.0</v>
      </c>
    </row>
    <row r="475">
      <c r="A475" s="152" t="str">
        <f>IFERROR(__xludf.DUMMYFUNCTION("query(Y:Z,""select Z Where Y ='""&amp;H475&amp;""'"",0)"),"#REF!")</f>
        <v>#REF!</v>
      </c>
      <c r="B475" s="29" t="s">
        <v>1030</v>
      </c>
      <c r="C475" s="164" t="s">
        <v>1044</v>
      </c>
      <c r="D475" s="156" t="s">
        <v>159</v>
      </c>
      <c r="E475" s="33" t="s">
        <v>1025</v>
      </c>
      <c r="F475" s="157" t="s">
        <v>1924</v>
      </c>
      <c r="G475" s="33" t="s">
        <v>1925</v>
      </c>
      <c r="H475" s="90" t="s">
        <v>705</v>
      </c>
      <c r="I475" s="33" t="s">
        <v>1931</v>
      </c>
      <c r="W475" s="151" t="s">
        <v>169</v>
      </c>
      <c r="X475" s="150" t="s">
        <v>1753</v>
      </c>
      <c r="Y475" s="150" t="s">
        <v>553</v>
      </c>
      <c r="Z475" s="150">
        <v>484.0</v>
      </c>
    </row>
    <row r="476">
      <c r="A476" s="152" t="str">
        <f>IFERROR(__xludf.DUMMYFUNCTION("query(Y:Z,""select Z Where Y ='""&amp;H476&amp;""'"",0)"),"#N/A")</f>
        <v>#N/A</v>
      </c>
      <c r="B476" s="29" t="s">
        <v>1030</v>
      </c>
      <c r="C476" s="164" t="s">
        <v>1044</v>
      </c>
      <c r="D476" s="156" t="s">
        <v>159</v>
      </c>
      <c r="E476" s="33" t="s">
        <v>1025</v>
      </c>
      <c r="F476" s="157" t="s">
        <v>1924</v>
      </c>
      <c r="G476" s="33" t="s">
        <v>1925</v>
      </c>
      <c r="H476" s="90" t="s">
        <v>1935</v>
      </c>
      <c r="I476" s="33" t="s">
        <v>1936</v>
      </c>
      <c r="W476" s="151" t="s">
        <v>169</v>
      </c>
      <c r="X476" s="150" t="s">
        <v>1753</v>
      </c>
      <c r="Y476" s="150" t="s">
        <v>591</v>
      </c>
      <c r="Z476" s="150">
        <v>49.0</v>
      </c>
    </row>
    <row r="477">
      <c r="A477" s="152" t="str">
        <f>IFERROR(__xludf.DUMMYFUNCTION("query(Y:Z,""select Z Where Y ='""&amp;H477&amp;""'"",0)"),"#REF!")</f>
        <v>#REF!</v>
      </c>
      <c r="B477" s="29" t="s">
        <v>1030</v>
      </c>
      <c r="C477" s="164" t="s">
        <v>1044</v>
      </c>
      <c r="D477" s="156" t="s">
        <v>159</v>
      </c>
      <c r="E477" s="33" t="s">
        <v>1025</v>
      </c>
      <c r="F477" s="157" t="s">
        <v>1503</v>
      </c>
      <c r="G477" s="33" t="s">
        <v>1504</v>
      </c>
      <c r="H477" s="90" t="s">
        <v>734</v>
      </c>
      <c r="I477" s="33" t="s">
        <v>1941</v>
      </c>
      <c r="W477" s="149" t="s">
        <v>504</v>
      </c>
      <c r="X477" s="150" t="s">
        <v>1753</v>
      </c>
      <c r="Y477" s="150" t="s">
        <v>553</v>
      </c>
      <c r="Z477" s="150">
        <v>6.0</v>
      </c>
    </row>
    <row r="478">
      <c r="A478" s="152" t="str">
        <f>IFERROR(__xludf.DUMMYFUNCTION("query(Y:Z,""select Z Where Y ='""&amp;H478&amp;""'"",0)"),"#REF!")</f>
        <v>#REF!</v>
      </c>
      <c r="B478" s="29" t="s">
        <v>1030</v>
      </c>
      <c r="C478" s="164" t="s">
        <v>1044</v>
      </c>
      <c r="D478" s="156" t="s">
        <v>159</v>
      </c>
      <c r="E478" s="33" t="s">
        <v>1025</v>
      </c>
      <c r="F478" s="157" t="s">
        <v>1503</v>
      </c>
      <c r="G478" s="33" t="s">
        <v>1504</v>
      </c>
      <c r="H478" s="90" t="s">
        <v>907</v>
      </c>
      <c r="I478" s="33" t="s">
        <v>1956</v>
      </c>
      <c r="W478" s="151" t="s">
        <v>78</v>
      </c>
      <c r="X478" s="150" t="s">
        <v>616</v>
      </c>
      <c r="Y478" s="150" t="s">
        <v>1167</v>
      </c>
      <c r="Z478" s="150">
        <v>1.0</v>
      </c>
    </row>
    <row r="479">
      <c r="A479" s="152" t="str">
        <f>IFERROR(__xludf.DUMMYFUNCTION("query(Y:Z,""select Z Where Y ='""&amp;H479&amp;""'"",0)"),"#N/A")</f>
        <v>#N/A</v>
      </c>
      <c r="B479" s="29" t="s">
        <v>1030</v>
      </c>
      <c r="C479" s="164" t="s">
        <v>1044</v>
      </c>
      <c r="D479" s="156" t="s">
        <v>60</v>
      </c>
      <c r="E479" s="33" t="s">
        <v>1025</v>
      </c>
      <c r="F479" s="157" t="s">
        <v>1130</v>
      </c>
      <c r="G479" s="33" t="s">
        <v>1131</v>
      </c>
      <c r="H479" s="90" t="s">
        <v>1964</v>
      </c>
      <c r="I479" s="33" t="s">
        <v>1965</v>
      </c>
      <c r="W479" s="149" t="s">
        <v>504</v>
      </c>
      <c r="X479" s="150" t="s">
        <v>1134</v>
      </c>
      <c r="Y479" s="150" t="s">
        <v>950</v>
      </c>
      <c r="Z479" s="150">
        <v>1.0</v>
      </c>
    </row>
    <row r="480">
      <c r="A480" s="152" t="str">
        <f>IFERROR(__xludf.DUMMYFUNCTION("query(Y:Z,""select Z Where Y ='""&amp;H480&amp;""'"",0)"),"#N/A")</f>
        <v>#N/A</v>
      </c>
      <c r="B480" s="29" t="s">
        <v>1030</v>
      </c>
      <c r="C480" s="164" t="s">
        <v>1044</v>
      </c>
      <c r="D480" s="156" t="s">
        <v>60</v>
      </c>
      <c r="E480" s="33" t="s">
        <v>1025</v>
      </c>
      <c r="F480" s="157" t="s">
        <v>1130</v>
      </c>
      <c r="G480" s="33" t="s">
        <v>1131</v>
      </c>
      <c r="H480" s="90" t="s">
        <v>1969</v>
      </c>
      <c r="I480" s="33" t="s">
        <v>1970</v>
      </c>
      <c r="W480" s="151" t="s">
        <v>96</v>
      </c>
      <c r="X480" s="150" t="s">
        <v>1134</v>
      </c>
      <c r="Y480" s="150" t="s">
        <v>655</v>
      </c>
      <c r="Z480" s="150">
        <v>153.0</v>
      </c>
    </row>
    <row r="481">
      <c r="A481" s="152" t="str">
        <f>IFERROR(__xludf.DUMMYFUNCTION("query(Y:Z,""select Z Where Y ='""&amp;H481&amp;""'"",0)"),"#N/A")</f>
        <v>#N/A</v>
      </c>
      <c r="B481" s="29" t="s">
        <v>1030</v>
      </c>
      <c r="C481" s="164" t="s">
        <v>1044</v>
      </c>
      <c r="D481" s="156" t="s">
        <v>60</v>
      </c>
      <c r="E481" s="33" t="s">
        <v>1025</v>
      </c>
      <c r="F481" s="157" t="s">
        <v>1130</v>
      </c>
      <c r="G481" s="33" t="s">
        <v>1131</v>
      </c>
      <c r="H481" s="90" t="s">
        <v>1974</v>
      </c>
      <c r="I481" s="33" t="s">
        <v>1975</v>
      </c>
      <c r="W481" s="149" t="s">
        <v>504</v>
      </c>
      <c r="X481" s="150" t="s">
        <v>1134</v>
      </c>
      <c r="Y481" s="150" t="s">
        <v>774</v>
      </c>
      <c r="Z481" s="150">
        <v>2.0</v>
      </c>
    </row>
    <row r="482">
      <c r="A482" s="152" t="str">
        <f>IFERROR(__xludf.DUMMYFUNCTION("query(Y:Z,""select Z Where Y ='""&amp;H482&amp;""'"",0)"),"#N/A")</f>
        <v>#N/A</v>
      </c>
      <c r="B482" s="29" t="s">
        <v>1030</v>
      </c>
      <c r="C482" s="164" t="s">
        <v>1044</v>
      </c>
      <c r="D482" s="156" t="s">
        <v>60</v>
      </c>
      <c r="E482" s="33" t="s">
        <v>1025</v>
      </c>
      <c r="F482" s="157" t="s">
        <v>1130</v>
      </c>
      <c r="G482" s="33" t="s">
        <v>1131</v>
      </c>
      <c r="H482" s="90" t="s">
        <v>1977</v>
      </c>
      <c r="I482" s="33" t="s">
        <v>1978</v>
      </c>
      <c r="W482" s="151" t="s">
        <v>96</v>
      </c>
      <c r="X482" s="150" t="s">
        <v>1134</v>
      </c>
      <c r="Y482" s="150" t="s">
        <v>569</v>
      </c>
      <c r="Z482" s="150">
        <v>96.0</v>
      </c>
    </row>
    <row r="483">
      <c r="A483" s="152" t="str">
        <f>IFERROR(__xludf.DUMMYFUNCTION("query(Y:Z,""select Z Where Y ='""&amp;H483&amp;""'"",0)"),"#N/A")</f>
        <v>#N/A</v>
      </c>
      <c r="B483" s="29" t="s">
        <v>1030</v>
      </c>
      <c r="C483" s="164" t="s">
        <v>1044</v>
      </c>
      <c r="D483" s="156" t="s">
        <v>60</v>
      </c>
      <c r="E483" s="33" t="s">
        <v>1025</v>
      </c>
      <c r="F483" s="157" t="s">
        <v>1130</v>
      </c>
      <c r="G483" s="33" t="s">
        <v>1131</v>
      </c>
      <c r="H483" s="90" t="s">
        <v>1982</v>
      </c>
      <c r="I483" s="33" t="s">
        <v>1984</v>
      </c>
      <c r="W483" s="151" t="s">
        <v>96</v>
      </c>
      <c r="X483" s="150" t="s">
        <v>1134</v>
      </c>
      <c r="Y483" s="150" t="s">
        <v>774</v>
      </c>
      <c r="Z483" s="150">
        <v>80.0</v>
      </c>
    </row>
    <row r="484">
      <c r="A484" s="152" t="str">
        <f>IFERROR(__xludf.DUMMYFUNCTION("query(Y:Z,""select Z Where Y ='""&amp;H484&amp;""'"",0)"),"#N/A")</f>
        <v>#N/A</v>
      </c>
      <c r="B484" s="29" t="s">
        <v>1030</v>
      </c>
      <c r="C484" s="164" t="s">
        <v>1044</v>
      </c>
      <c r="D484" s="156" t="s">
        <v>60</v>
      </c>
      <c r="E484" s="33" t="s">
        <v>1025</v>
      </c>
      <c r="F484" s="157" t="s">
        <v>1130</v>
      </c>
      <c r="G484" s="33" t="s">
        <v>1131</v>
      </c>
      <c r="H484" s="90" t="s">
        <v>1988</v>
      </c>
      <c r="I484" s="33" t="s">
        <v>1989</v>
      </c>
      <c r="W484" s="151" t="s">
        <v>96</v>
      </c>
      <c r="X484" s="150" t="s">
        <v>1134</v>
      </c>
      <c r="Y484" s="150" t="s">
        <v>1000</v>
      </c>
      <c r="Z484" s="150">
        <v>25.0</v>
      </c>
    </row>
    <row r="485">
      <c r="A485" s="152" t="str">
        <f>IFERROR(__xludf.DUMMYFUNCTION("query(Y:Z,""select Z Where Y ='""&amp;H485&amp;""'"",0)"),"#N/A")</f>
        <v>#N/A</v>
      </c>
      <c r="B485" s="29" t="s">
        <v>1030</v>
      </c>
      <c r="C485" s="164" t="s">
        <v>1044</v>
      </c>
      <c r="D485" s="156" t="s">
        <v>60</v>
      </c>
      <c r="E485" s="33" t="s">
        <v>1025</v>
      </c>
      <c r="F485" s="157" t="s">
        <v>1259</v>
      </c>
      <c r="G485" s="33" t="s">
        <v>1260</v>
      </c>
      <c r="H485" s="90" t="s">
        <v>1998</v>
      </c>
      <c r="I485" s="33" t="s">
        <v>2000</v>
      </c>
      <c r="W485" s="149" t="s">
        <v>504</v>
      </c>
      <c r="X485" s="150" t="s">
        <v>1134</v>
      </c>
      <c r="Y485" s="150" t="s">
        <v>655</v>
      </c>
      <c r="Z485" s="150">
        <v>1.0</v>
      </c>
    </row>
    <row r="486">
      <c r="A486" s="152" t="str">
        <f>IFERROR(__xludf.DUMMYFUNCTION("query(Y:Z,""select Z Where Y ='""&amp;H486&amp;""'"",0)"),"#REF!")</f>
        <v>#REF!</v>
      </c>
      <c r="B486" s="29" t="s">
        <v>1030</v>
      </c>
      <c r="C486" s="164" t="s">
        <v>1044</v>
      </c>
      <c r="D486" s="156" t="s">
        <v>78</v>
      </c>
      <c r="E486" s="33" t="s">
        <v>1025</v>
      </c>
      <c r="F486" s="157" t="s">
        <v>1074</v>
      </c>
      <c r="G486" s="33" t="s">
        <v>1315</v>
      </c>
      <c r="H486" s="90" t="s">
        <v>796</v>
      </c>
      <c r="I486" s="33" t="s">
        <v>2012</v>
      </c>
      <c r="W486" s="149" t="s">
        <v>504</v>
      </c>
      <c r="X486" s="150" t="s">
        <v>1134</v>
      </c>
      <c r="Y486" s="150" t="s">
        <v>521</v>
      </c>
      <c r="Z486" s="150">
        <v>5.0</v>
      </c>
    </row>
    <row r="487">
      <c r="A487" s="152" t="str">
        <f>IFERROR(__xludf.DUMMYFUNCTION("query(Y:Z,""select Z Where Y ='""&amp;H487&amp;""'"",0)"),"#N/A")</f>
        <v>#N/A</v>
      </c>
      <c r="B487" s="29" t="s">
        <v>1030</v>
      </c>
      <c r="C487" s="164" t="s">
        <v>1044</v>
      </c>
      <c r="D487" s="156" t="s">
        <v>78</v>
      </c>
      <c r="E487" s="33" t="s">
        <v>1025</v>
      </c>
      <c r="F487" s="157" t="s">
        <v>1074</v>
      </c>
      <c r="G487" s="33" t="s">
        <v>1315</v>
      </c>
      <c r="H487" s="90" t="s">
        <v>2040</v>
      </c>
      <c r="I487" s="33" t="s">
        <v>2041</v>
      </c>
      <c r="W487" s="151" t="s">
        <v>125</v>
      </c>
      <c r="X487" s="150" t="s">
        <v>1103</v>
      </c>
      <c r="Y487" s="150" t="s">
        <v>985</v>
      </c>
      <c r="Z487" s="150">
        <v>14.0</v>
      </c>
    </row>
    <row r="488">
      <c r="A488" s="152" t="str">
        <f>IFERROR(__xludf.DUMMYFUNCTION("query(Y:Z,""select Z Where Y ='""&amp;H488&amp;""'"",0)"),"#REF!")</f>
        <v>#REF!</v>
      </c>
      <c r="B488" s="29" t="s">
        <v>1030</v>
      </c>
      <c r="C488" s="164" t="s">
        <v>1044</v>
      </c>
      <c r="D488" s="156" t="s">
        <v>78</v>
      </c>
      <c r="E488" s="33" t="s">
        <v>1025</v>
      </c>
      <c r="F488" s="157" t="s">
        <v>1074</v>
      </c>
      <c r="G488" s="33" t="s">
        <v>1315</v>
      </c>
      <c r="H488" s="90" t="s">
        <v>995</v>
      </c>
      <c r="I488" s="33" t="s">
        <v>2053</v>
      </c>
      <c r="W488" s="151" t="s">
        <v>125</v>
      </c>
      <c r="X488" s="150" t="s">
        <v>1103</v>
      </c>
      <c r="Y488" s="150" t="s">
        <v>744</v>
      </c>
      <c r="Z488" s="150">
        <v>33.0</v>
      </c>
    </row>
    <row r="489">
      <c r="A489" s="152" t="str">
        <f>IFERROR(__xludf.DUMMYFUNCTION("query(Y:Z,""select Z Where Y ='""&amp;H489&amp;""'"",0)"),"#REF!")</f>
        <v>#REF!</v>
      </c>
      <c r="B489" s="29" t="s">
        <v>1030</v>
      </c>
      <c r="C489" s="164" t="s">
        <v>1044</v>
      </c>
      <c r="D489" s="156" t="s">
        <v>78</v>
      </c>
      <c r="E489" s="33" t="s">
        <v>1025</v>
      </c>
      <c r="F489" s="157" t="s">
        <v>1136</v>
      </c>
      <c r="G489" s="33" t="s">
        <v>1138</v>
      </c>
      <c r="H489" s="90" t="s">
        <v>834</v>
      </c>
      <c r="I489" s="33" t="s">
        <v>2060</v>
      </c>
      <c r="W489" s="151" t="s">
        <v>125</v>
      </c>
      <c r="X489" s="150" t="s">
        <v>1103</v>
      </c>
      <c r="Y489" s="150" t="s">
        <v>923</v>
      </c>
      <c r="Z489" s="150">
        <v>3.0</v>
      </c>
    </row>
    <row r="490">
      <c r="A490" s="152" t="str">
        <f>IFERROR(__xludf.DUMMYFUNCTION("query(Y:Z,""select Z Where Y ='""&amp;H490&amp;""'"",0)"),"#N/A")</f>
        <v>#N/A</v>
      </c>
      <c r="B490" s="29" t="s">
        <v>1030</v>
      </c>
      <c r="C490" s="164" t="s">
        <v>1044</v>
      </c>
      <c r="D490" s="156" t="s">
        <v>78</v>
      </c>
      <c r="E490" s="33" t="s">
        <v>1025</v>
      </c>
      <c r="F490" s="157" t="s">
        <v>1136</v>
      </c>
      <c r="G490" s="33" t="s">
        <v>1138</v>
      </c>
      <c r="H490" s="90" t="s">
        <v>2061</v>
      </c>
      <c r="I490" s="33" t="s">
        <v>2062</v>
      </c>
      <c r="W490" s="151" t="s">
        <v>125</v>
      </c>
      <c r="X490" s="150" t="s">
        <v>1103</v>
      </c>
      <c r="Y490" s="150" t="s">
        <v>864</v>
      </c>
      <c r="Z490" s="150">
        <v>2.0</v>
      </c>
    </row>
    <row r="491">
      <c r="A491" s="152" t="str">
        <f>IFERROR(__xludf.DUMMYFUNCTION("query(Y:Z,""select Z Where Y ='""&amp;H491&amp;""'"",0)"),"#N/A")</f>
        <v>#N/A</v>
      </c>
      <c r="B491" s="29" t="s">
        <v>1030</v>
      </c>
      <c r="C491" s="164" t="s">
        <v>1044</v>
      </c>
      <c r="D491" s="156" t="s">
        <v>78</v>
      </c>
      <c r="E491" s="33" t="s">
        <v>1025</v>
      </c>
      <c r="F491" s="157" t="s">
        <v>1136</v>
      </c>
      <c r="G491" s="33" t="s">
        <v>1138</v>
      </c>
      <c r="H491" s="90" t="s">
        <v>2065</v>
      </c>
      <c r="I491" s="33" t="s">
        <v>2067</v>
      </c>
      <c r="W491" s="151" t="s">
        <v>53</v>
      </c>
      <c r="X491" s="150" t="s">
        <v>1103</v>
      </c>
      <c r="Y491" s="150" t="s">
        <v>744</v>
      </c>
      <c r="Z491" s="150">
        <v>1.0</v>
      </c>
    </row>
    <row r="492">
      <c r="A492" s="152" t="str">
        <f>IFERROR(__xludf.DUMMYFUNCTION("query(Y:Z,""select Z Where Y ='""&amp;H492&amp;""'"",0)"),"#N/A")</f>
        <v>#N/A</v>
      </c>
      <c r="B492" s="29" t="s">
        <v>1030</v>
      </c>
      <c r="C492" s="164" t="s">
        <v>1044</v>
      </c>
      <c r="D492" s="156" t="s">
        <v>78</v>
      </c>
      <c r="E492" s="33" t="s">
        <v>1025</v>
      </c>
      <c r="F492" s="157" t="s">
        <v>1136</v>
      </c>
      <c r="G492" s="33" t="s">
        <v>1138</v>
      </c>
      <c r="H492" s="90" t="s">
        <v>2070</v>
      </c>
      <c r="I492" s="33" t="s">
        <v>2073</v>
      </c>
      <c r="W492" s="151" t="s">
        <v>125</v>
      </c>
      <c r="X492" s="150" t="s">
        <v>1103</v>
      </c>
      <c r="Y492" s="150" t="s">
        <v>922</v>
      </c>
      <c r="Z492" s="150">
        <v>2.0</v>
      </c>
    </row>
    <row r="493">
      <c r="A493" s="152" t="str">
        <f>IFERROR(__xludf.DUMMYFUNCTION("query(Y:Z,""select Z Where Y ='""&amp;H493&amp;""'"",0)"),"#REF!")</f>
        <v>#REF!</v>
      </c>
      <c r="B493" s="29" t="s">
        <v>1030</v>
      </c>
      <c r="C493" s="164" t="s">
        <v>1044</v>
      </c>
      <c r="D493" s="156" t="s">
        <v>78</v>
      </c>
      <c r="E493" s="33" t="s">
        <v>1025</v>
      </c>
      <c r="F493" s="157" t="s">
        <v>1143</v>
      </c>
      <c r="G493" s="33" t="s">
        <v>1144</v>
      </c>
      <c r="H493" s="90" t="s">
        <v>959</v>
      </c>
      <c r="I493" s="33" t="s">
        <v>2101</v>
      </c>
      <c r="W493" s="151" t="s">
        <v>125</v>
      </c>
      <c r="X493" s="150" t="s">
        <v>1266</v>
      </c>
      <c r="Y493" s="150" t="s">
        <v>812</v>
      </c>
      <c r="Z493" s="150">
        <v>4.0</v>
      </c>
    </row>
    <row r="494">
      <c r="A494" s="152" t="str">
        <f>IFERROR(__xludf.DUMMYFUNCTION("query(Y:Z,""select Z Where Y ='""&amp;H494&amp;""'"",0)"),"#REF!")</f>
        <v>#REF!</v>
      </c>
      <c r="B494" s="29" t="s">
        <v>1030</v>
      </c>
      <c r="C494" s="164" t="s">
        <v>1044</v>
      </c>
      <c r="D494" s="156" t="s">
        <v>78</v>
      </c>
      <c r="E494" s="33" t="s">
        <v>1025</v>
      </c>
      <c r="F494" s="157" t="s">
        <v>1143</v>
      </c>
      <c r="G494" s="33" t="s">
        <v>1144</v>
      </c>
      <c r="H494" s="90" t="s">
        <v>917</v>
      </c>
      <c r="I494" s="33" t="s">
        <v>2121</v>
      </c>
      <c r="W494" s="151" t="s">
        <v>923</v>
      </c>
      <c r="X494" s="150" t="s">
        <v>53</v>
      </c>
      <c r="Y494" s="150" t="s">
        <v>1103</v>
      </c>
      <c r="Z494" s="150">
        <v>1.0</v>
      </c>
    </row>
    <row r="495">
      <c r="A495" s="152" t="str">
        <f>IFERROR(__xludf.DUMMYFUNCTION("query(Y:Z,""select Z Where Y ='""&amp;H495&amp;""'"",0)"),"#N/A")</f>
        <v>#N/A</v>
      </c>
      <c r="B495" s="29" t="s">
        <v>1030</v>
      </c>
      <c r="C495" s="164" t="s">
        <v>1044</v>
      </c>
      <c r="D495" s="156" t="s">
        <v>78</v>
      </c>
      <c r="E495" s="33" t="s">
        <v>1025</v>
      </c>
      <c r="F495" s="157" t="s">
        <v>1089</v>
      </c>
      <c r="G495" s="33" t="s">
        <v>1147</v>
      </c>
      <c r="H495" s="90" t="s">
        <v>2147</v>
      </c>
      <c r="I495" s="33" t="s">
        <v>2149</v>
      </c>
      <c r="W495" s="151" t="s">
        <v>125</v>
      </c>
      <c r="X495" s="150" t="s">
        <v>1109</v>
      </c>
      <c r="Y495" s="150" t="s">
        <v>981</v>
      </c>
      <c r="Z495" s="150">
        <v>22.0</v>
      </c>
    </row>
    <row r="496">
      <c r="A496" s="152" t="str">
        <f>IFERROR(__xludf.DUMMYFUNCTION("query(Y:Z,""select Z Where Y ='""&amp;H496&amp;""'"",0)"),"#REF!")</f>
        <v>#REF!</v>
      </c>
      <c r="B496" s="29" t="s">
        <v>1030</v>
      </c>
      <c r="C496" s="164" t="s">
        <v>1044</v>
      </c>
      <c r="D496" s="156" t="s">
        <v>78</v>
      </c>
      <c r="E496" s="33" t="s">
        <v>1025</v>
      </c>
      <c r="F496" s="157" t="s">
        <v>1089</v>
      </c>
      <c r="G496" s="33" t="s">
        <v>1147</v>
      </c>
      <c r="H496" s="90" t="s">
        <v>670</v>
      </c>
      <c r="I496" s="33" t="s">
        <v>2155</v>
      </c>
      <c r="W496" s="151" t="s">
        <v>125</v>
      </c>
      <c r="X496" s="150" t="s">
        <v>1109</v>
      </c>
      <c r="Y496" s="150" t="s">
        <v>879</v>
      </c>
      <c r="Z496" s="150">
        <v>4.0</v>
      </c>
    </row>
    <row r="497">
      <c r="A497" s="152" t="str">
        <f>IFERROR(__xludf.DUMMYFUNCTION("query(Y:Z,""select Z Where Y ='""&amp;H497&amp;""'"",0)"),"#REF!")</f>
        <v>#REF!</v>
      </c>
      <c r="B497" s="29" t="s">
        <v>1030</v>
      </c>
      <c r="C497" s="164" t="s">
        <v>1044</v>
      </c>
      <c r="D497" s="156" t="s">
        <v>78</v>
      </c>
      <c r="E497" s="33" t="s">
        <v>1025</v>
      </c>
      <c r="F497" s="157" t="s">
        <v>1089</v>
      </c>
      <c r="G497" s="33" t="s">
        <v>1147</v>
      </c>
      <c r="H497" s="90" t="s">
        <v>642</v>
      </c>
      <c r="I497" s="33" t="s">
        <v>2165</v>
      </c>
      <c r="W497" s="151" t="s">
        <v>53</v>
      </c>
      <c r="X497" s="150" t="s">
        <v>1109</v>
      </c>
      <c r="Y497" s="150" t="s">
        <v>879</v>
      </c>
      <c r="Z497" s="150">
        <v>1.0</v>
      </c>
    </row>
    <row r="498">
      <c r="A498" s="152" t="str">
        <f>IFERROR(__xludf.DUMMYFUNCTION("query(Y:Z,""select Z Where Y ='""&amp;H498&amp;""'"",0)"),"#N/A")</f>
        <v>#N/A</v>
      </c>
      <c r="B498" s="29" t="s">
        <v>1030</v>
      </c>
      <c r="C498" s="164" t="s">
        <v>1044</v>
      </c>
      <c r="D498" s="156" t="s">
        <v>78</v>
      </c>
      <c r="E498" s="33" t="s">
        <v>1025</v>
      </c>
      <c r="F498" s="157" t="s">
        <v>1089</v>
      </c>
      <c r="G498" s="33" t="s">
        <v>1147</v>
      </c>
      <c r="H498" s="90" t="s">
        <v>2168</v>
      </c>
      <c r="I498" s="33" t="s">
        <v>2170</v>
      </c>
      <c r="W498" s="149" t="s">
        <v>504</v>
      </c>
      <c r="X498" s="150" t="s">
        <v>1109</v>
      </c>
      <c r="Y498" s="150" t="s">
        <v>981</v>
      </c>
      <c r="Z498" s="150">
        <v>2.0</v>
      </c>
    </row>
    <row r="499">
      <c r="A499" s="152" t="str">
        <f>IFERROR(__xludf.DUMMYFUNCTION("query(Y:Z,""select Z Where Y ='""&amp;H499&amp;""'"",0)"),"#N/A")</f>
        <v>#N/A</v>
      </c>
      <c r="B499" s="29" t="s">
        <v>1030</v>
      </c>
      <c r="C499" s="164" t="s">
        <v>1044</v>
      </c>
      <c r="D499" s="156" t="s">
        <v>78</v>
      </c>
      <c r="E499" s="33" t="s">
        <v>1025</v>
      </c>
      <c r="F499" s="157" t="s">
        <v>1089</v>
      </c>
      <c r="G499" s="33" t="s">
        <v>1147</v>
      </c>
      <c r="H499" s="90" t="s">
        <v>2174</v>
      </c>
      <c r="I499" s="33" t="s">
        <v>2175</v>
      </c>
      <c r="W499" s="151" t="s">
        <v>53</v>
      </c>
      <c r="X499" s="150" t="s">
        <v>1109</v>
      </c>
      <c r="Y499" s="150" t="s">
        <v>938</v>
      </c>
      <c r="Z499" s="150">
        <v>2.0</v>
      </c>
    </row>
    <row r="500">
      <c r="A500" s="152" t="str">
        <f>IFERROR(__xludf.DUMMYFUNCTION("query(Y:Z,""select Z Where Y ='""&amp;H500&amp;""'"",0)"),"#REF!")</f>
        <v>#REF!</v>
      </c>
      <c r="B500" s="29" t="s">
        <v>1030</v>
      </c>
      <c r="C500" s="164" t="s">
        <v>1044</v>
      </c>
      <c r="D500" s="156" t="s">
        <v>78</v>
      </c>
      <c r="E500" s="33" t="s">
        <v>1025</v>
      </c>
      <c r="F500" s="157" t="s">
        <v>1089</v>
      </c>
      <c r="G500" s="33" t="s">
        <v>1147</v>
      </c>
      <c r="H500" s="90" t="s">
        <v>910</v>
      </c>
      <c r="I500" s="33" t="s">
        <v>2203</v>
      </c>
      <c r="W500" s="151" t="s">
        <v>125</v>
      </c>
      <c r="X500" s="150" t="s">
        <v>1109</v>
      </c>
      <c r="Y500" s="150" t="s">
        <v>987</v>
      </c>
      <c r="Z500" s="150">
        <v>11.0</v>
      </c>
    </row>
    <row r="501">
      <c r="A501" s="152" t="str">
        <f>IFERROR(__xludf.DUMMYFUNCTION("query(Y:Z,""select Z Where Y ='""&amp;H501&amp;""'"",0)"),"#N/A")</f>
        <v>#N/A</v>
      </c>
      <c r="B501" s="29" t="s">
        <v>1030</v>
      </c>
      <c r="C501" s="164" t="s">
        <v>1044</v>
      </c>
      <c r="D501" s="156" t="s">
        <v>78</v>
      </c>
      <c r="E501" s="33" t="s">
        <v>1025</v>
      </c>
      <c r="F501" s="157" t="s">
        <v>1089</v>
      </c>
      <c r="G501" s="33" t="s">
        <v>1147</v>
      </c>
      <c r="H501" s="90" t="s">
        <v>2215</v>
      </c>
      <c r="I501" s="33" t="s">
        <v>2217</v>
      </c>
      <c r="W501" s="151" t="s">
        <v>125</v>
      </c>
      <c r="X501" s="150" t="s">
        <v>1127</v>
      </c>
      <c r="Y501" s="150" t="s">
        <v>98</v>
      </c>
      <c r="Z501" s="150">
        <v>186.0</v>
      </c>
    </row>
    <row r="502">
      <c r="A502" s="152" t="str">
        <f>IFERROR(__xludf.DUMMYFUNCTION("query(Y:Z,""select Z Where Y ='""&amp;H502&amp;""'"",0)"),"#REF!")</f>
        <v>#REF!</v>
      </c>
      <c r="B502" s="29" t="s">
        <v>1030</v>
      </c>
      <c r="C502" s="164" t="s">
        <v>1044</v>
      </c>
      <c r="D502" s="156" t="s">
        <v>78</v>
      </c>
      <c r="E502" s="33" t="s">
        <v>1025</v>
      </c>
      <c r="F502" s="157" t="s">
        <v>1153</v>
      </c>
      <c r="G502" s="33" t="s">
        <v>1154</v>
      </c>
      <c r="H502" s="90" t="s">
        <v>698</v>
      </c>
      <c r="I502" s="33" t="s">
        <v>2254</v>
      </c>
      <c r="W502" s="149" t="s">
        <v>504</v>
      </c>
      <c r="X502" s="150" t="s">
        <v>1170</v>
      </c>
      <c r="Y502" s="150" t="s">
        <v>535</v>
      </c>
      <c r="Z502" s="150">
        <v>2.0</v>
      </c>
    </row>
    <row r="503">
      <c r="A503" s="152" t="str">
        <f>IFERROR(__xludf.DUMMYFUNCTION("query(Y:Z,""select Z Where Y ='""&amp;H503&amp;""'"",0)"),"#REF!")</f>
        <v>#REF!</v>
      </c>
      <c r="B503" s="29" t="s">
        <v>1030</v>
      </c>
      <c r="C503" s="164" t="s">
        <v>1044</v>
      </c>
      <c r="D503" s="156" t="s">
        <v>78</v>
      </c>
      <c r="E503" s="33" t="s">
        <v>1025</v>
      </c>
      <c r="F503" s="157" t="s">
        <v>1167</v>
      </c>
      <c r="G503" s="33" t="s">
        <v>1168</v>
      </c>
      <c r="H503" s="90" t="s">
        <v>984</v>
      </c>
      <c r="I503" s="33" t="s">
        <v>2259</v>
      </c>
      <c r="W503" s="151" t="s">
        <v>84</v>
      </c>
      <c r="X503" s="150" t="s">
        <v>1170</v>
      </c>
      <c r="Y503" s="150" t="s">
        <v>732</v>
      </c>
      <c r="Z503" s="150">
        <v>24.0</v>
      </c>
    </row>
    <row r="504">
      <c r="A504" s="152" t="str">
        <f>IFERROR(__xludf.DUMMYFUNCTION("query(Y:Z,""select Z Where Y ='""&amp;H504&amp;""'"",0)"),"#REF!")</f>
        <v>#REF!</v>
      </c>
      <c r="B504" s="29" t="s">
        <v>1030</v>
      </c>
      <c r="C504" s="164" t="s">
        <v>1044</v>
      </c>
      <c r="D504" s="156" t="s">
        <v>78</v>
      </c>
      <c r="E504" s="33" t="s">
        <v>1025</v>
      </c>
      <c r="F504" s="157" t="s">
        <v>1167</v>
      </c>
      <c r="G504" s="33" t="s">
        <v>1168</v>
      </c>
      <c r="H504" s="90" t="s">
        <v>1014</v>
      </c>
      <c r="I504" s="33" t="s">
        <v>2264</v>
      </c>
      <c r="W504" s="151" t="s">
        <v>84</v>
      </c>
      <c r="X504" s="150" t="s">
        <v>1170</v>
      </c>
      <c r="Y504" s="150" t="s">
        <v>535</v>
      </c>
      <c r="Z504" s="150">
        <v>117.0</v>
      </c>
    </row>
    <row r="505">
      <c r="A505" s="152" t="str">
        <f>IFERROR(__xludf.DUMMYFUNCTION("query(Y:Z,""select Z Where Y ='""&amp;H505&amp;""'"",0)"),"#N/A")</f>
        <v>#N/A</v>
      </c>
      <c r="B505" s="29" t="s">
        <v>1030</v>
      </c>
      <c r="C505" s="164" t="s">
        <v>1044</v>
      </c>
      <c r="D505" s="156" t="s">
        <v>78</v>
      </c>
      <c r="E505" s="33" t="s">
        <v>1025</v>
      </c>
      <c r="F505" s="157" t="s">
        <v>1167</v>
      </c>
      <c r="G505" s="33" t="s">
        <v>1168</v>
      </c>
      <c r="H505" s="90" t="s">
        <v>2275</v>
      </c>
      <c r="I505" s="33" t="s">
        <v>2277</v>
      </c>
      <c r="W505" s="149" t="s">
        <v>504</v>
      </c>
      <c r="X505" s="150" t="s">
        <v>1170</v>
      </c>
      <c r="Y505" s="150" t="s">
        <v>732</v>
      </c>
      <c r="Z505" s="150">
        <v>1.0</v>
      </c>
    </row>
    <row r="506">
      <c r="A506" s="152" t="str">
        <f>IFERROR(__xludf.DUMMYFUNCTION("query(Y:Z,""select Z Where Y ='""&amp;H506&amp;""'"",0)"),"#REF!")</f>
        <v>#REF!</v>
      </c>
      <c r="B506" s="29" t="s">
        <v>1030</v>
      </c>
      <c r="C506" s="164" t="s">
        <v>1044</v>
      </c>
      <c r="D506" s="156" t="s">
        <v>78</v>
      </c>
      <c r="E506" s="33" t="s">
        <v>1025</v>
      </c>
      <c r="F506" s="157" t="s">
        <v>1167</v>
      </c>
      <c r="G506" s="33" t="s">
        <v>1168</v>
      </c>
      <c r="H506" s="90" t="s">
        <v>616</v>
      </c>
      <c r="I506" s="33" t="s">
        <v>2281</v>
      </c>
      <c r="W506" s="149" t="s">
        <v>504</v>
      </c>
      <c r="X506" s="150" t="s">
        <v>1170</v>
      </c>
      <c r="Y506" s="150" t="s">
        <v>599</v>
      </c>
      <c r="Z506" s="150">
        <v>1.0</v>
      </c>
    </row>
    <row r="507">
      <c r="A507" s="152" t="str">
        <f>IFERROR(__xludf.DUMMYFUNCTION("query(Y:Z,""select Z Where Y ='""&amp;H507&amp;""'"",0)"),"#REF!")</f>
        <v>#REF!</v>
      </c>
      <c r="B507" s="29" t="s">
        <v>1030</v>
      </c>
      <c r="C507" s="164" t="s">
        <v>1044</v>
      </c>
      <c r="D507" s="156" t="s">
        <v>78</v>
      </c>
      <c r="E507" s="33" t="s">
        <v>1025</v>
      </c>
      <c r="F507" s="157" t="s">
        <v>1245</v>
      </c>
      <c r="G507" s="33" t="s">
        <v>1328</v>
      </c>
      <c r="H507" s="90" t="s">
        <v>682</v>
      </c>
      <c r="I507" s="33" t="s">
        <v>2315</v>
      </c>
      <c r="W507" s="149" t="s">
        <v>504</v>
      </c>
      <c r="X507" s="150" t="s">
        <v>1174</v>
      </c>
      <c r="Y507" s="150" t="s">
        <v>659</v>
      </c>
      <c r="Z507" s="150">
        <v>2.0</v>
      </c>
    </row>
    <row r="508">
      <c r="A508" s="152" t="str">
        <f>IFERROR(__xludf.DUMMYFUNCTION("query(Y:Z,""select Z Where Y ='""&amp;H508&amp;""'"",0)"),"#REF!")</f>
        <v>#REF!</v>
      </c>
      <c r="B508" s="29" t="s">
        <v>1030</v>
      </c>
      <c r="C508" s="164" t="s">
        <v>1044</v>
      </c>
      <c r="D508" s="156" t="s">
        <v>78</v>
      </c>
      <c r="E508" s="33" t="s">
        <v>1025</v>
      </c>
      <c r="F508" s="157" t="s">
        <v>1376</v>
      </c>
      <c r="G508" s="33" t="s">
        <v>1377</v>
      </c>
      <c r="H508" s="90" t="s">
        <v>991</v>
      </c>
      <c r="I508" s="33" t="s">
        <v>2341</v>
      </c>
      <c r="W508" s="151" t="s">
        <v>147</v>
      </c>
      <c r="X508" s="150" t="s">
        <v>1174</v>
      </c>
      <c r="Y508" s="150" t="s">
        <v>602</v>
      </c>
      <c r="Z508" s="150">
        <v>45.0</v>
      </c>
    </row>
    <row r="509">
      <c r="A509" s="152" t="str">
        <f>IFERROR(__xludf.DUMMYFUNCTION("query(Y:Z,""select Z Where Y ='""&amp;H509&amp;""'"",0)"),"#REF!")</f>
        <v>#REF!</v>
      </c>
      <c r="B509" s="29" t="s">
        <v>1030</v>
      </c>
      <c r="C509" s="164" t="s">
        <v>1044</v>
      </c>
      <c r="D509" s="156" t="s">
        <v>84</v>
      </c>
      <c r="E509" s="33" t="s">
        <v>1025</v>
      </c>
      <c r="F509" s="157" t="s">
        <v>2344</v>
      </c>
      <c r="G509" s="33" t="s">
        <v>2346</v>
      </c>
      <c r="H509" s="90" t="s">
        <v>767</v>
      </c>
      <c r="I509" s="33" t="s">
        <v>2346</v>
      </c>
      <c r="W509" s="151" t="s">
        <v>147</v>
      </c>
      <c r="X509" s="150" t="s">
        <v>1174</v>
      </c>
      <c r="Y509" s="150" t="s">
        <v>580</v>
      </c>
      <c r="Z509" s="150">
        <v>112.0</v>
      </c>
    </row>
    <row r="510">
      <c r="A510" s="152" t="str">
        <f>IFERROR(__xludf.DUMMYFUNCTION("query(Y:Z,""select Z Where Y ='""&amp;H510&amp;""'"",0)"),"#REF!")</f>
        <v>#REF!</v>
      </c>
      <c r="B510" s="29" t="s">
        <v>1030</v>
      </c>
      <c r="C510" s="164" t="s">
        <v>1044</v>
      </c>
      <c r="D510" s="156" t="s">
        <v>84</v>
      </c>
      <c r="E510" s="33" t="s">
        <v>1025</v>
      </c>
      <c r="F510" s="157" t="s">
        <v>1176</v>
      </c>
      <c r="G510" s="33" t="s">
        <v>1177</v>
      </c>
      <c r="H510" s="90" t="s">
        <v>593</v>
      </c>
      <c r="I510" s="33" t="s">
        <v>2351</v>
      </c>
      <c r="W510" s="149" t="s">
        <v>504</v>
      </c>
      <c r="X510" s="150" t="s">
        <v>1174</v>
      </c>
      <c r="Y510" s="150" t="s">
        <v>901</v>
      </c>
      <c r="Z510" s="150">
        <v>1.0</v>
      </c>
    </row>
    <row r="511">
      <c r="A511" s="152" t="str">
        <f>IFERROR(__xludf.DUMMYFUNCTION("query(Y:Z,""select Z Where Y ='""&amp;H511&amp;""'"",0)"),"#REF!")</f>
        <v>#REF!</v>
      </c>
      <c r="B511" s="29" t="s">
        <v>1030</v>
      </c>
      <c r="C511" s="164" t="s">
        <v>1044</v>
      </c>
      <c r="D511" s="156" t="s">
        <v>84</v>
      </c>
      <c r="E511" s="33" t="s">
        <v>1025</v>
      </c>
      <c r="F511" s="157" t="s">
        <v>1176</v>
      </c>
      <c r="G511" s="33" t="s">
        <v>1177</v>
      </c>
      <c r="H511" s="90" t="s">
        <v>539</v>
      </c>
      <c r="I511" s="33" t="s">
        <v>2365</v>
      </c>
      <c r="W511" s="151" t="s">
        <v>147</v>
      </c>
      <c r="X511" s="150" t="s">
        <v>1174</v>
      </c>
      <c r="Y511" s="150" t="s">
        <v>634</v>
      </c>
      <c r="Z511" s="150">
        <v>87.0</v>
      </c>
    </row>
    <row r="512">
      <c r="A512" s="152" t="str">
        <f>IFERROR(__xludf.DUMMYFUNCTION("query(Y:Z,""select Z Where Y ='""&amp;H512&amp;""'"",0)"),"#REF!")</f>
        <v>#REF!</v>
      </c>
      <c r="B512" s="29" t="s">
        <v>1030</v>
      </c>
      <c r="C512" s="164" t="s">
        <v>1044</v>
      </c>
      <c r="D512" s="156" t="s">
        <v>84</v>
      </c>
      <c r="E512" s="33" t="s">
        <v>1025</v>
      </c>
      <c r="F512" s="157" t="s">
        <v>1176</v>
      </c>
      <c r="G512" s="33" t="s">
        <v>1177</v>
      </c>
      <c r="H512" s="90" t="s">
        <v>541</v>
      </c>
      <c r="I512" s="33" t="s">
        <v>2369</v>
      </c>
      <c r="W512" s="151" t="s">
        <v>147</v>
      </c>
      <c r="X512" s="150" t="s">
        <v>1174</v>
      </c>
      <c r="Y512" s="150" t="s">
        <v>680</v>
      </c>
      <c r="Z512" s="150">
        <v>17.0</v>
      </c>
    </row>
    <row r="513">
      <c r="A513" s="152" t="str">
        <f>IFERROR(__xludf.DUMMYFUNCTION("query(Y:Z,""select Z Where Y ='""&amp;H513&amp;""'"",0)"),"#REF!")</f>
        <v>#REF!</v>
      </c>
      <c r="B513" s="29" t="s">
        <v>1030</v>
      </c>
      <c r="C513" s="164" t="s">
        <v>1044</v>
      </c>
      <c r="D513" s="156" t="s">
        <v>84</v>
      </c>
      <c r="E513" s="33" t="s">
        <v>1025</v>
      </c>
      <c r="F513" s="157" t="s">
        <v>1176</v>
      </c>
      <c r="G513" s="33" t="s">
        <v>1177</v>
      </c>
      <c r="H513" s="90" t="s">
        <v>930</v>
      </c>
      <c r="I513" s="33" t="s">
        <v>2381</v>
      </c>
      <c r="W513" s="151" t="s">
        <v>147</v>
      </c>
      <c r="X513" s="150" t="s">
        <v>1174</v>
      </c>
      <c r="Y513" s="150" t="s">
        <v>760</v>
      </c>
      <c r="Z513" s="150">
        <v>2.0</v>
      </c>
    </row>
    <row r="514">
      <c r="A514" s="152" t="str">
        <f>IFERROR(__xludf.DUMMYFUNCTION("query(Y:Z,""select Z Where Y ='""&amp;H514&amp;""'"",0)"),"#REF!")</f>
        <v>#REF!</v>
      </c>
      <c r="B514" s="29" t="s">
        <v>1030</v>
      </c>
      <c r="C514" s="164" t="s">
        <v>1044</v>
      </c>
      <c r="D514" s="156" t="s">
        <v>84</v>
      </c>
      <c r="E514" s="33" t="s">
        <v>1025</v>
      </c>
      <c r="F514" s="157" t="s">
        <v>1454</v>
      </c>
      <c r="G514" s="33" t="s">
        <v>1455</v>
      </c>
      <c r="H514" s="90" t="s">
        <v>706</v>
      </c>
      <c r="I514" s="33" t="s">
        <v>2391</v>
      </c>
      <c r="W514" s="151" t="s">
        <v>147</v>
      </c>
      <c r="X514" s="150" t="s">
        <v>1174</v>
      </c>
      <c r="Y514" s="150" t="s">
        <v>659</v>
      </c>
      <c r="Z514" s="150">
        <v>223.0</v>
      </c>
    </row>
    <row r="515">
      <c r="A515" s="152" t="str">
        <f>IFERROR(__xludf.DUMMYFUNCTION("query(Y:Z,""select Z Where Y ='""&amp;H515&amp;""'"",0)"),"#REF!")</f>
        <v>#REF!</v>
      </c>
      <c r="B515" s="29" t="s">
        <v>1030</v>
      </c>
      <c r="C515" s="164" t="s">
        <v>1044</v>
      </c>
      <c r="D515" s="156" t="s">
        <v>84</v>
      </c>
      <c r="E515" s="33" t="s">
        <v>1025</v>
      </c>
      <c r="F515" s="157" t="s">
        <v>1454</v>
      </c>
      <c r="G515" s="33" t="s">
        <v>1455</v>
      </c>
      <c r="H515" s="90" t="s">
        <v>929</v>
      </c>
      <c r="I515" s="33" t="s">
        <v>2396</v>
      </c>
      <c r="W515" s="151" t="s">
        <v>147</v>
      </c>
      <c r="X515" s="150" t="s">
        <v>1174</v>
      </c>
      <c r="Y515" s="150" t="s">
        <v>600</v>
      </c>
      <c r="Z515" s="150">
        <v>266.0</v>
      </c>
    </row>
    <row r="516">
      <c r="A516" s="152" t="str">
        <f>IFERROR(__xludf.DUMMYFUNCTION("query(Y:Z,""select Z Where Y ='""&amp;H516&amp;""'"",0)"),"#REF!")</f>
        <v>#REF!</v>
      </c>
      <c r="B516" s="29" t="s">
        <v>1030</v>
      </c>
      <c r="C516" s="164" t="s">
        <v>1044</v>
      </c>
      <c r="D516" s="156" t="s">
        <v>84</v>
      </c>
      <c r="E516" s="33" t="s">
        <v>1025</v>
      </c>
      <c r="F516" s="157" t="s">
        <v>1454</v>
      </c>
      <c r="G516" s="33" t="s">
        <v>1455</v>
      </c>
      <c r="H516" s="90" t="s">
        <v>565</v>
      </c>
      <c r="I516" s="33" t="s">
        <v>2407</v>
      </c>
      <c r="W516" s="151" t="s">
        <v>169</v>
      </c>
      <c r="X516" s="150" t="s">
        <v>1459</v>
      </c>
      <c r="Y516" s="150" t="s">
        <v>886</v>
      </c>
      <c r="Z516" s="150">
        <v>69.0</v>
      </c>
    </row>
    <row r="517">
      <c r="A517" s="152" t="str">
        <f>IFERROR(__xludf.DUMMYFUNCTION("query(Y:Z,""select Z Where Y ='""&amp;H517&amp;""'"",0)"),"#REF!")</f>
        <v>#REF!</v>
      </c>
      <c r="B517" s="29" t="s">
        <v>1030</v>
      </c>
      <c r="C517" s="164" t="s">
        <v>1044</v>
      </c>
      <c r="D517" s="156" t="s">
        <v>84</v>
      </c>
      <c r="E517" s="33" t="s">
        <v>1025</v>
      </c>
      <c r="F517" s="157" t="s">
        <v>1454</v>
      </c>
      <c r="G517" s="33" t="s">
        <v>1455</v>
      </c>
      <c r="H517" s="90" t="s">
        <v>903</v>
      </c>
      <c r="I517" s="33" t="s">
        <v>2413</v>
      </c>
      <c r="W517" s="151" t="s">
        <v>169</v>
      </c>
      <c r="X517" s="150" t="s">
        <v>1459</v>
      </c>
      <c r="Y517" s="150" t="s">
        <v>576</v>
      </c>
      <c r="Z517" s="150">
        <v>68.0</v>
      </c>
    </row>
    <row r="518">
      <c r="A518" s="152" t="str">
        <f>IFERROR(__xludf.DUMMYFUNCTION("query(Y:Z,""select Z Where Y ='""&amp;H518&amp;""'"",0)"),"#N/A")</f>
        <v>#N/A</v>
      </c>
      <c r="B518" s="29" t="s">
        <v>1030</v>
      </c>
      <c r="C518" s="164" t="s">
        <v>1044</v>
      </c>
      <c r="D518" s="156" t="s">
        <v>84</v>
      </c>
      <c r="E518" s="33" t="s">
        <v>1025</v>
      </c>
      <c r="F518" s="157" t="s">
        <v>2420</v>
      </c>
      <c r="G518" s="33" t="s">
        <v>2421</v>
      </c>
      <c r="H518" s="90" t="s">
        <v>2423</v>
      </c>
      <c r="I518" s="33" t="s">
        <v>2424</v>
      </c>
      <c r="W518" s="151" t="s">
        <v>177</v>
      </c>
      <c r="X518" s="150" t="s">
        <v>1459</v>
      </c>
      <c r="Y518" s="150" t="s">
        <v>583</v>
      </c>
      <c r="Z518" s="150">
        <v>1.0</v>
      </c>
    </row>
    <row r="519">
      <c r="A519" s="152" t="str">
        <f>IFERROR(__xludf.DUMMYFUNCTION("query(Y:Z,""select Z Where Y ='""&amp;H519&amp;""'"",0)"),"#REF!")</f>
        <v>#REF!</v>
      </c>
      <c r="B519" s="29" t="s">
        <v>1030</v>
      </c>
      <c r="C519" s="164" t="s">
        <v>1044</v>
      </c>
      <c r="D519" s="156" t="s">
        <v>84</v>
      </c>
      <c r="E519" s="33" t="s">
        <v>1025</v>
      </c>
      <c r="F519" s="157" t="s">
        <v>2420</v>
      </c>
      <c r="G519" s="33" t="s">
        <v>2421</v>
      </c>
      <c r="H519" s="90" t="s">
        <v>561</v>
      </c>
      <c r="I519" s="33" t="s">
        <v>2430</v>
      </c>
      <c r="W519" s="149" t="s">
        <v>504</v>
      </c>
      <c r="X519" s="150" t="s">
        <v>1459</v>
      </c>
      <c r="Y519" s="150" t="s">
        <v>576</v>
      </c>
      <c r="Z519" s="150">
        <v>1.0</v>
      </c>
    </row>
    <row r="520">
      <c r="A520" s="152" t="str">
        <f>IFERROR(__xludf.DUMMYFUNCTION("query(Y:Z,""select Z Where Y ='""&amp;H520&amp;""'"",0)"),"#REF!")</f>
        <v>#REF!</v>
      </c>
      <c r="B520" s="29" t="s">
        <v>1030</v>
      </c>
      <c r="C520" s="164" t="s">
        <v>1044</v>
      </c>
      <c r="D520" s="156" t="s">
        <v>84</v>
      </c>
      <c r="E520" s="33" t="s">
        <v>1025</v>
      </c>
      <c r="F520" s="157" t="s">
        <v>2420</v>
      </c>
      <c r="G520" s="33" t="s">
        <v>2421</v>
      </c>
      <c r="H520" s="90" t="s">
        <v>608</v>
      </c>
      <c r="I520" s="33" t="s">
        <v>2436</v>
      </c>
      <c r="W520" s="149" t="s">
        <v>504</v>
      </c>
      <c r="X520" s="150" t="s">
        <v>1459</v>
      </c>
      <c r="Y520" s="150" t="s">
        <v>684</v>
      </c>
      <c r="Z520" s="150">
        <v>1.0</v>
      </c>
    </row>
    <row r="521">
      <c r="A521" s="152" t="str">
        <f>IFERROR(__xludf.DUMMYFUNCTION("query(Y:Z,""select Z Where Y ='""&amp;H521&amp;""'"",0)"),"#REF!")</f>
        <v>#REF!</v>
      </c>
      <c r="B521" s="29" t="s">
        <v>1030</v>
      </c>
      <c r="C521" s="164" t="s">
        <v>1044</v>
      </c>
      <c r="D521" s="156" t="s">
        <v>84</v>
      </c>
      <c r="E521" s="33" t="s">
        <v>1025</v>
      </c>
      <c r="F521" s="157" t="s">
        <v>2420</v>
      </c>
      <c r="G521" s="33" t="s">
        <v>2421</v>
      </c>
      <c r="H521" s="90" t="s">
        <v>562</v>
      </c>
      <c r="I521" s="33" t="s">
        <v>2441</v>
      </c>
      <c r="W521" s="149" t="s">
        <v>504</v>
      </c>
      <c r="X521" s="150" t="s">
        <v>1459</v>
      </c>
      <c r="Y521" s="150" t="s">
        <v>583</v>
      </c>
      <c r="Z521" s="150">
        <v>7.0</v>
      </c>
    </row>
    <row r="522">
      <c r="A522" s="152" t="str">
        <f>IFERROR(__xludf.DUMMYFUNCTION("query(Y:Z,""select Z Where Y ='""&amp;H522&amp;""'"",0)"),"#REF!")</f>
        <v>#REF!</v>
      </c>
      <c r="B522" s="29" t="s">
        <v>1464</v>
      </c>
      <c r="C522" s="164" t="s">
        <v>1044</v>
      </c>
      <c r="D522" s="156" t="s">
        <v>84</v>
      </c>
      <c r="E522" s="33" t="s">
        <v>1025</v>
      </c>
      <c r="F522" s="157" t="s">
        <v>2420</v>
      </c>
      <c r="G522" s="33" t="s">
        <v>2421</v>
      </c>
      <c r="H522" s="90" t="s">
        <v>512</v>
      </c>
      <c r="I522" s="33" t="s">
        <v>2446</v>
      </c>
      <c r="W522" s="149" t="s">
        <v>504</v>
      </c>
      <c r="X522" s="150" t="s">
        <v>1459</v>
      </c>
      <c r="Y522" s="150" t="s">
        <v>886</v>
      </c>
      <c r="Z522" s="150">
        <v>1.0</v>
      </c>
    </row>
    <row r="523">
      <c r="A523" s="152" t="str">
        <f>IFERROR(__xludf.DUMMYFUNCTION("query(Y:Z,""select Z Where Y ='""&amp;H523&amp;""'"",0)"),"#REF!")</f>
        <v>#REF!</v>
      </c>
      <c r="B523" s="29" t="s">
        <v>1464</v>
      </c>
      <c r="C523" s="164" t="s">
        <v>1044</v>
      </c>
      <c r="D523" s="156" t="s">
        <v>84</v>
      </c>
      <c r="E523" s="33" t="s">
        <v>1025</v>
      </c>
      <c r="F523" s="157" t="s">
        <v>2420</v>
      </c>
      <c r="G523" s="33" t="s">
        <v>2421</v>
      </c>
      <c r="H523" s="90" t="s">
        <v>622</v>
      </c>
      <c r="I523" s="33" t="s">
        <v>2452</v>
      </c>
      <c r="W523" s="151" t="s">
        <v>169</v>
      </c>
      <c r="X523" s="150" t="s">
        <v>1459</v>
      </c>
      <c r="Y523" s="150" t="s">
        <v>684</v>
      </c>
      <c r="Z523" s="150">
        <v>6.0</v>
      </c>
    </row>
    <row r="524">
      <c r="A524" s="152" t="str">
        <f>IFERROR(__xludf.DUMMYFUNCTION("query(Y:Z,""select Z Where Y ='""&amp;H524&amp;""'"",0)"),"#REF!")</f>
        <v>#REF!</v>
      </c>
      <c r="B524" s="29" t="s">
        <v>1464</v>
      </c>
      <c r="C524" s="164" t="s">
        <v>1044</v>
      </c>
      <c r="D524" s="156" t="s">
        <v>84</v>
      </c>
      <c r="E524" s="33" t="s">
        <v>1025</v>
      </c>
      <c r="F524" s="157" t="s">
        <v>1170</v>
      </c>
      <c r="G524" s="33" t="s">
        <v>2470</v>
      </c>
      <c r="H524" s="90" t="s">
        <v>664</v>
      </c>
      <c r="I524" s="33" t="s">
        <v>2472</v>
      </c>
      <c r="W524" s="151" t="s">
        <v>169</v>
      </c>
      <c r="X524" s="150" t="s">
        <v>1459</v>
      </c>
      <c r="Y524" s="150" t="s">
        <v>4109</v>
      </c>
      <c r="Z524" s="150">
        <v>1.0</v>
      </c>
    </row>
    <row r="525">
      <c r="A525" s="152" t="str">
        <f>IFERROR(__xludf.DUMMYFUNCTION("query(Y:Z,""select Z Where Y ='""&amp;H525&amp;""'"",0)"),"#REF!")</f>
        <v>#REF!</v>
      </c>
      <c r="B525" s="29" t="s">
        <v>1464</v>
      </c>
      <c r="C525" s="164" t="s">
        <v>1044</v>
      </c>
      <c r="D525" s="156" t="s">
        <v>84</v>
      </c>
      <c r="E525" s="33" t="s">
        <v>1025</v>
      </c>
      <c r="F525" s="157" t="s">
        <v>1170</v>
      </c>
      <c r="G525" s="33" t="s">
        <v>2470</v>
      </c>
      <c r="H525" s="90" t="s">
        <v>535</v>
      </c>
      <c r="I525" s="33" t="s">
        <v>2479</v>
      </c>
      <c r="W525" s="151" t="s">
        <v>169</v>
      </c>
      <c r="X525" s="150" t="s">
        <v>1459</v>
      </c>
      <c r="Y525" s="150" t="s">
        <v>583</v>
      </c>
      <c r="Z525" s="150">
        <v>153.0</v>
      </c>
    </row>
    <row r="526">
      <c r="A526" s="152" t="str">
        <f>IFERROR(__xludf.DUMMYFUNCTION("query(Y:Z,""select Z Where Y ='""&amp;H526&amp;""'"",0)"),"#REF!")</f>
        <v>#REF!</v>
      </c>
      <c r="B526" s="29" t="s">
        <v>1464</v>
      </c>
      <c r="C526" s="164" t="s">
        <v>1044</v>
      </c>
      <c r="D526" s="156" t="s">
        <v>84</v>
      </c>
      <c r="E526" s="33" t="s">
        <v>1025</v>
      </c>
      <c r="F526" s="157" t="s">
        <v>1170</v>
      </c>
      <c r="G526" s="33" t="s">
        <v>2470</v>
      </c>
      <c r="H526" s="90" t="s">
        <v>732</v>
      </c>
      <c r="I526" s="33" t="s">
        <v>2485</v>
      </c>
      <c r="W526" s="151" t="s">
        <v>169</v>
      </c>
      <c r="X526" s="150" t="s">
        <v>1459</v>
      </c>
      <c r="Y526" s="150" t="s">
        <v>679</v>
      </c>
      <c r="Z526" s="150">
        <v>21.0</v>
      </c>
    </row>
    <row r="527">
      <c r="A527" s="152" t="str">
        <f>IFERROR(__xludf.DUMMYFUNCTION("query(Y:Z,""select Z Where Y ='""&amp;H527&amp;""'"",0)"),"#REF!")</f>
        <v>#REF!</v>
      </c>
      <c r="B527" s="29" t="s">
        <v>1030</v>
      </c>
      <c r="C527" s="164" t="s">
        <v>1044</v>
      </c>
      <c r="D527" s="156" t="s">
        <v>84</v>
      </c>
      <c r="E527" s="33" t="s">
        <v>1025</v>
      </c>
      <c r="F527" s="157" t="s">
        <v>1170</v>
      </c>
      <c r="G527" s="33" t="s">
        <v>2470</v>
      </c>
      <c r="H527" s="90" t="s">
        <v>599</v>
      </c>
      <c r="I527" s="33" t="s">
        <v>2490</v>
      </c>
      <c r="W527" s="151" t="s">
        <v>169</v>
      </c>
      <c r="X527" s="150" t="s">
        <v>1459</v>
      </c>
      <c r="Y527" s="150" t="s">
        <v>583</v>
      </c>
      <c r="Z527" s="150">
        <v>1.0</v>
      </c>
    </row>
    <row r="528">
      <c r="A528" s="152" t="str">
        <f>IFERROR(__xludf.DUMMYFUNCTION("query(Y:Z,""select Z Where Y ='""&amp;H528&amp;""'"",0)"),"#REF!")</f>
        <v>#REF!</v>
      </c>
      <c r="B528" s="29" t="s">
        <v>1030</v>
      </c>
      <c r="C528" s="164" t="s">
        <v>1044</v>
      </c>
      <c r="D528" s="156" t="s">
        <v>84</v>
      </c>
      <c r="E528" s="33" t="s">
        <v>1025</v>
      </c>
      <c r="F528" s="157" t="s">
        <v>1170</v>
      </c>
      <c r="G528" s="33" t="s">
        <v>2470</v>
      </c>
      <c r="H528" s="90" t="s">
        <v>588</v>
      </c>
      <c r="I528" s="33" t="s">
        <v>2496</v>
      </c>
      <c r="W528" s="151" t="s">
        <v>169</v>
      </c>
      <c r="X528" s="150" t="s">
        <v>1459</v>
      </c>
      <c r="Y528" s="150" t="s">
        <v>509</v>
      </c>
      <c r="Z528" s="150">
        <v>2.0</v>
      </c>
    </row>
    <row r="529">
      <c r="A529" s="152" t="str">
        <f>IFERROR(__xludf.DUMMYFUNCTION("query(Y:Z,""select Z Where Y ='""&amp;H529&amp;""'"",0)"),"#REF!")</f>
        <v>#REF!</v>
      </c>
      <c r="B529" s="29" t="s">
        <v>1464</v>
      </c>
      <c r="C529" s="164" t="s">
        <v>1044</v>
      </c>
      <c r="D529" s="156" t="s">
        <v>177</v>
      </c>
      <c r="E529" s="33" t="s">
        <v>1025</v>
      </c>
      <c r="F529" s="157" t="s">
        <v>1046</v>
      </c>
      <c r="G529" s="33" t="s">
        <v>2239</v>
      </c>
      <c r="H529" s="90" t="s">
        <v>604</v>
      </c>
      <c r="I529" s="33" t="s">
        <v>2502</v>
      </c>
      <c r="W529" s="151" t="s">
        <v>169</v>
      </c>
      <c r="X529" s="150" t="s">
        <v>4110</v>
      </c>
      <c r="Y529" s="150" t="s">
        <v>4111</v>
      </c>
      <c r="Z529" s="150">
        <v>1.0</v>
      </c>
    </row>
    <row r="530">
      <c r="A530" s="152" t="str">
        <f>IFERROR(__xludf.DUMMYFUNCTION("query(Y:Z,""select Z Where Y ='""&amp;H530&amp;""'"",0)"),"#REF!")</f>
        <v>#REF!</v>
      </c>
      <c r="B530" s="29" t="s">
        <v>1030</v>
      </c>
      <c r="C530" s="164" t="s">
        <v>1044</v>
      </c>
      <c r="D530" s="156" t="s">
        <v>177</v>
      </c>
      <c r="E530" s="33" t="s">
        <v>1025</v>
      </c>
      <c r="F530" s="157" t="s">
        <v>1046</v>
      </c>
      <c r="G530" s="33" t="s">
        <v>2239</v>
      </c>
      <c r="H530" s="90" t="s">
        <v>534</v>
      </c>
      <c r="I530" s="33" t="s">
        <v>2513</v>
      </c>
      <c r="W530" s="151" t="s">
        <v>169</v>
      </c>
      <c r="X530" s="150" t="s">
        <v>2243</v>
      </c>
      <c r="Y530" s="150" t="s">
        <v>828</v>
      </c>
      <c r="Z530" s="150">
        <v>1.0</v>
      </c>
    </row>
    <row r="531">
      <c r="A531" s="152" t="str">
        <f>IFERROR(__xludf.DUMMYFUNCTION("query(Y:Z,""select Z Where Y ='""&amp;H531&amp;""'"",0)"),"#REF!")</f>
        <v>#REF!</v>
      </c>
      <c r="B531" s="29" t="s">
        <v>1030</v>
      </c>
      <c r="C531" s="164" t="s">
        <v>1044</v>
      </c>
      <c r="D531" s="156" t="s">
        <v>177</v>
      </c>
      <c r="E531" s="33" t="s">
        <v>1025</v>
      </c>
      <c r="F531" s="157" t="s">
        <v>1046</v>
      </c>
      <c r="G531" s="33" t="s">
        <v>2239</v>
      </c>
      <c r="H531" s="90" t="s">
        <v>510</v>
      </c>
      <c r="I531" s="33" t="s">
        <v>2520</v>
      </c>
      <c r="W531" s="151" t="s">
        <v>169</v>
      </c>
      <c r="X531" s="150" t="s">
        <v>4112</v>
      </c>
      <c r="Y531" s="150" t="s">
        <v>4113</v>
      </c>
      <c r="Z531" s="150">
        <v>1.0</v>
      </c>
    </row>
    <row r="532">
      <c r="A532" s="152" t="str">
        <f>IFERROR(__xludf.DUMMYFUNCTION("query(Y:Z,""select Z Where Y ='""&amp;H532&amp;""'"",0)"),"#N/A")</f>
        <v>#N/A</v>
      </c>
      <c r="B532" s="29" t="s">
        <v>1030</v>
      </c>
      <c r="C532" s="164" t="s">
        <v>1044</v>
      </c>
      <c r="D532" s="156" t="s">
        <v>177</v>
      </c>
      <c r="E532" s="33" t="s">
        <v>1025</v>
      </c>
      <c r="F532" s="157" t="s">
        <v>1046</v>
      </c>
      <c r="G532" s="33" t="s">
        <v>2239</v>
      </c>
      <c r="H532" s="90" t="s">
        <v>2528</v>
      </c>
      <c r="I532" s="33" t="s">
        <v>2530</v>
      </c>
      <c r="W532" s="149" t="s">
        <v>504</v>
      </c>
      <c r="X532" s="150" t="s">
        <v>1095</v>
      </c>
      <c r="Y532" s="150" t="s">
        <v>772</v>
      </c>
      <c r="Z532" s="150">
        <v>1.0</v>
      </c>
    </row>
    <row r="533">
      <c r="A533" s="152" t="str">
        <f>IFERROR(__xludf.DUMMYFUNCTION("query(Y:Z,""select Z Where Y ='""&amp;H533&amp;""'"",0)"),"#REF!")</f>
        <v>#REF!</v>
      </c>
      <c r="B533" s="29" t="s">
        <v>1030</v>
      </c>
      <c r="C533" s="164" t="s">
        <v>1044</v>
      </c>
      <c r="D533" s="156" t="s">
        <v>177</v>
      </c>
      <c r="E533" s="33" t="s">
        <v>1025</v>
      </c>
      <c r="F533" s="157" t="s">
        <v>1046</v>
      </c>
      <c r="G533" s="33" t="s">
        <v>2239</v>
      </c>
      <c r="H533" s="90" t="s">
        <v>560</v>
      </c>
      <c r="I533" s="33" t="s">
        <v>2537</v>
      </c>
      <c r="W533" s="151" t="s">
        <v>125</v>
      </c>
      <c r="X533" s="150" t="s">
        <v>1095</v>
      </c>
      <c r="Y533" s="150" t="s">
        <v>683</v>
      </c>
      <c r="Z533" s="150">
        <v>7.0</v>
      </c>
    </row>
    <row r="534">
      <c r="A534" s="152" t="str">
        <f>IFERROR(__xludf.DUMMYFUNCTION("query(Y:Z,""select Z Where Y ='""&amp;H534&amp;""'"",0)"),"#REF!")</f>
        <v>#REF!</v>
      </c>
      <c r="B534" s="29" t="s">
        <v>1030</v>
      </c>
      <c r="C534" s="164" t="s">
        <v>1044</v>
      </c>
      <c r="D534" s="156" t="s">
        <v>177</v>
      </c>
      <c r="E534" s="33" t="s">
        <v>1025</v>
      </c>
      <c r="F534" s="157" t="s">
        <v>1046</v>
      </c>
      <c r="G534" s="33" t="s">
        <v>2239</v>
      </c>
      <c r="H534" s="90" t="s">
        <v>648</v>
      </c>
      <c r="I534" s="33" t="s">
        <v>2543</v>
      </c>
      <c r="W534" s="149" t="s">
        <v>504</v>
      </c>
      <c r="X534" s="150" t="s">
        <v>1095</v>
      </c>
      <c r="Y534" s="150" t="s">
        <v>743</v>
      </c>
      <c r="Z534" s="150">
        <v>1.0</v>
      </c>
    </row>
    <row r="535">
      <c r="A535" s="152" t="str">
        <f>IFERROR(__xludf.DUMMYFUNCTION("query(Y:Z,""select Z Where Y ='""&amp;H535&amp;""'"",0)"),"#REF!")</f>
        <v>#REF!</v>
      </c>
      <c r="B535" s="29" t="s">
        <v>1030</v>
      </c>
      <c r="C535" s="164" t="s">
        <v>1044</v>
      </c>
      <c r="D535" s="156" t="s">
        <v>177</v>
      </c>
      <c r="E535" s="33" t="s">
        <v>1025</v>
      </c>
      <c r="F535" s="157" t="s">
        <v>1046</v>
      </c>
      <c r="G535" s="33" t="s">
        <v>2239</v>
      </c>
      <c r="H535" s="90" t="s">
        <v>529</v>
      </c>
      <c r="I535" s="33" t="s">
        <v>2548</v>
      </c>
      <c r="W535" s="151" t="s">
        <v>125</v>
      </c>
      <c r="X535" s="150" t="s">
        <v>1095</v>
      </c>
      <c r="Y535" s="150" t="s">
        <v>931</v>
      </c>
      <c r="Z535" s="150">
        <v>5.0</v>
      </c>
    </row>
    <row r="536">
      <c r="A536" s="152" t="str">
        <f>IFERROR(__xludf.DUMMYFUNCTION("query(Y:Z,""select Z Where Y ='""&amp;H536&amp;""'"",0)"),"#REF!")</f>
        <v>#REF!</v>
      </c>
      <c r="B536" s="29" t="s">
        <v>1030</v>
      </c>
      <c r="C536" s="164" t="s">
        <v>1044</v>
      </c>
      <c r="D536" s="156" t="s">
        <v>177</v>
      </c>
      <c r="E536" s="33" t="s">
        <v>1025</v>
      </c>
      <c r="F536" s="157" t="s">
        <v>1918</v>
      </c>
      <c r="G536" s="33" t="s">
        <v>1921</v>
      </c>
      <c r="H536" s="90" t="s">
        <v>514</v>
      </c>
      <c r="I536" s="33" t="s">
        <v>2553</v>
      </c>
      <c r="W536" s="149" t="s">
        <v>504</v>
      </c>
      <c r="X536" s="150" t="s">
        <v>1095</v>
      </c>
      <c r="Y536" s="150" t="s">
        <v>683</v>
      </c>
      <c r="Z536" s="150">
        <v>1.0</v>
      </c>
    </row>
    <row r="537">
      <c r="A537" s="152" t="str">
        <f>IFERROR(__xludf.DUMMYFUNCTION("query(Y:Z,""select Z Where Y ='""&amp;H537&amp;""'"",0)"),"#REF!")</f>
        <v>#REF!</v>
      </c>
      <c r="B537" s="29" t="s">
        <v>1030</v>
      </c>
      <c r="C537" s="164" t="s">
        <v>1044</v>
      </c>
      <c r="D537" s="156" t="s">
        <v>177</v>
      </c>
      <c r="E537" s="33" t="s">
        <v>1025</v>
      </c>
      <c r="F537" s="157" t="s">
        <v>1918</v>
      </c>
      <c r="G537" s="33" t="s">
        <v>1921</v>
      </c>
      <c r="H537" s="90" t="s">
        <v>641</v>
      </c>
      <c r="I537" s="33" t="s">
        <v>2566</v>
      </c>
      <c r="W537" s="151" t="s">
        <v>125</v>
      </c>
      <c r="X537" s="150" t="s">
        <v>1095</v>
      </c>
      <c r="Y537" s="150" t="s">
        <v>623</v>
      </c>
      <c r="Z537" s="150">
        <v>1.0</v>
      </c>
    </row>
    <row r="538">
      <c r="A538" s="152" t="str">
        <f>IFERROR(__xludf.DUMMYFUNCTION("query(Y:Z,""select Z Where Y ='""&amp;H538&amp;""'"",0)"),"#REF!")</f>
        <v>#REF!</v>
      </c>
      <c r="B538" s="29" t="s">
        <v>1464</v>
      </c>
      <c r="C538" s="164" t="s">
        <v>1044</v>
      </c>
      <c r="D538" s="156" t="s">
        <v>96</v>
      </c>
      <c r="E538" s="33" t="s">
        <v>1025</v>
      </c>
      <c r="F538" s="157" t="s">
        <v>1065</v>
      </c>
      <c r="G538" s="33" t="s">
        <v>2627</v>
      </c>
      <c r="H538" s="90" t="s">
        <v>552</v>
      </c>
      <c r="I538" s="33" t="s">
        <v>2630</v>
      </c>
      <c r="W538" s="151" t="s">
        <v>125</v>
      </c>
      <c r="X538" s="150" t="s">
        <v>1095</v>
      </c>
      <c r="Y538" s="150" t="s">
        <v>693</v>
      </c>
      <c r="Z538" s="150">
        <v>7.0</v>
      </c>
    </row>
    <row r="539">
      <c r="A539" s="152" t="str">
        <f>IFERROR(__xludf.DUMMYFUNCTION("query(Y:Z,""select Z Where Y ='""&amp;H539&amp;""'"",0)"),"#REF!")</f>
        <v>#REF!</v>
      </c>
      <c r="B539" s="29" t="s">
        <v>1464</v>
      </c>
      <c r="C539" s="164" t="s">
        <v>1044</v>
      </c>
      <c r="D539" s="156" t="s">
        <v>96</v>
      </c>
      <c r="E539" s="33" t="s">
        <v>1025</v>
      </c>
      <c r="F539" s="157" t="s">
        <v>1065</v>
      </c>
      <c r="G539" s="33" t="s">
        <v>2627</v>
      </c>
      <c r="H539" s="90" t="s">
        <v>538</v>
      </c>
      <c r="I539" s="33" t="s">
        <v>2639</v>
      </c>
      <c r="W539" s="151" t="s">
        <v>125</v>
      </c>
      <c r="X539" s="150" t="s">
        <v>1095</v>
      </c>
      <c r="Y539" s="150" t="s">
        <v>596</v>
      </c>
      <c r="Z539" s="150">
        <v>26.0</v>
      </c>
    </row>
    <row r="540">
      <c r="A540" s="152" t="str">
        <f>IFERROR(__xludf.DUMMYFUNCTION("query(Y:Z,""select Z Where Y ='""&amp;H540&amp;""'"",0)"),"#REF!")</f>
        <v>#REF!</v>
      </c>
      <c r="B540" s="29" t="s">
        <v>1464</v>
      </c>
      <c r="C540" s="164" t="s">
        <v>1044</v>
      </c>
      <c r="D540" s="156" t="s">
        <v>96</v>
      </c>
      <c r="E540" s="33" t="s">
        <v>1025</v>
      </c>
      <c r="F540" s="157" t="s">
        <v>1065</v>
      </c>
      <c r="G540" s="33" t="s">
        <v>2627</v>
      </c>
      <c r="H540" s="90" t="s">
        <v>586</v>
      </c>
      <c r="I540" s="33" t="s">
        <v>2646</v>
      </c>
      <c r="W540" s="151" t="s">
        <v>125</v>
      </c>
      <c r="X540" s="150" t="s">
        <v>1095</v>
      </c>
      <c r="Y540" s="150" t="s">
        <v>889</v>
      </c>
      <c r="Z540" s="150">
        <v>2.0</v>
      </c>
    </row>
    <row r="541">
      <c r="A541" s="152" t="str">
        <f>IFERROR(__xludf.DUMMYFUNCTION("query(Y:Z,""select Z Where Y ='""&amp;H541&amp;""'"",0)"),"#REF!")</f>
        <v>#REF!</v>
      </c>
      <c r="B541" s="29" t="s">
        <v>1464</v>
      </c>
      <c r="C541" s="164" t="s">
        <v>1044</v>
      </c>
      <c r="D541" s="156" t="s">
        <v>96</v>
      </c>
      <c r="E541" s="33" t="s">
        <v>1025</v>
      </c>
      <c r="F541" s="157" t="s">
        <v>1065</v>
      </c>
      <c r="G541" s="33" t="s">
        <v>2627</v>
      </c>
      <c r="H541" s="90" t="s">
        <v>979</v>
      </c>
      <c r="I541" s="33" t="s">
        <v>2649</v>
      </c>
      <c r="W541" s="151" t="s">
        <v>53</v>
      </c>
      <c r="X541" s="150" t="s">
        <v>1095</v>
      </c>
      <c r="Y541" s="150" t="s">
        <v>727</v>
      </c>
      <c r="Z541" s="150">
        <v>2.0</v>
      </c>
    </row>
    <row r="542">
      <c r="A542" s="152" t="str">
        <f>IFERROR(__xludf.DUMMYFUNCTION("query(Y:Z,""select Z Where Y ='""&amp;H542&amp;""'"",0)"),"#REF!")</f>
        <v>#REF!</v>
      </c>
      <c r="B542" s="29" t="s">
        <v>1464</v>
      </c>
      <c r="C542" s="164" t="s">
        <v>1044</v>
      </c>
      <c r="D542" s="156" t="s">
        <v>96</v>
      </c>
      <c r="E542" s="33" t="s">
        <v>1025</v>
      </c>
      <c r="F542" s="157" t="s">
        <v>1065</v>
      </c>
      <c r="G542" s="33" t="s">
        <v>2627</v>
      </c>
      <c r="H542" s="90" t="s">
        <v>847</v>
      </c>
      <c r="I542" s="33" t="s">
        <v>2654</v>
      </c>
      <c r="W542" s="151" t="s">
        <v>125</v>
      </c>
      <c r="X542" s="150" t="s">
        <v>1095</v>
      </c>
      <c r="Y542" s="150" t="s">
        <v>825</v>
      </c>
      <c r="Z542" s="150">
        <v>3.0</v>
      </c>
    </row>
    <row r="543">
      <c r="A543" s="152" t="str">
        <f>IFERROR(__xludf.DUMMYFUNCTION("query(Y:Z,""select Z Where Y ='""&amp;H543&amp;""'"",0)"),"#REF!")</f>
        <v>#REF!</v>
      </c>
      <c r="B543" s="29" t="s">
        <v>1464</v>
      </c>
      <c r="C543" s="164" t="s">
        <v>1044</v>
      </c>
      <c r="D543" s="156" t="s">
        <v>96</v>
      </c>
      <c r="E543" s="33" t="s">
        <v>1025</v>
      </c>
      <c r="F543" s="157" t="s">
        <v>1370</v>
      </c>
      <c r="G543" s="33" t="s">
        <v>1460</v>
      </c>
      <c r="H543" s="90" t="s">
        <v>540</v>
      </c>
      <c r="I543" s="33" t="s">
        <v>2658</v>
      </c>
      <c r="W543" s="151" t="s">
        <v>125</v>
      </c>
      <c r="X543" s="150" t="s">
        <v>1095</v>
      </c>
      <c r="Y543" s="150" t="s">
        <v>836</v>
      </c>
      <c r="Z543" s="150">
        <v>2.0</v>
      </c>
    </row>
    <row r="544">
      <c r="A544" s="152" t="str">
        <f>IFERROR(__xludf.DUMMYFUNCTION("query(Y:Z,""select Z Where Y ='""&amp;H544&amp;""'"",0)"),"#REF!")</f>
        <v>#REF!</v>
      </c>
      <c r="B544" s="29" t="s">
        <v>1030</v>
      </c>
      <c r="C544" s="164" t="s">
        <v>1044</v>
      </c>
      <c r="D544" s="156" t="s">
        <v>96</v>
      </c>
      <c r="E544" s="33" t="s">
        <v>1025</v>
      </c>
      <c r="F544" s="157" t="s">
        <v>1370</v>
      </c>
      <c r="G544" s="33" t="s">
        <v>1460</v>
      </c>
      <c r="H544" s="90" t="s">
        <v>574</v>
      </c>
      <c r="I544" s="33" t="s">
        <v>2667</v>
      </c>
      <c r="W544" s="151" t="s">
        <v>53</v>
      </c>
      <c r="X544" s="150" t="s">
        <v>1095</v>
      </c>
      <c r="Y544" s="150" t="s">
        <v>717</v>
      </c>
      <c r="Z544" s="150">
        <v>1.0</v>
      </c>
    </row>
    <row r="545">
      <c r="A545" s="152" t="str">
        <f>IFERROR(__xludf.DUMMYFUNCTION("query(Y:Z,""select Z Where Y ='""&amp;H545&amp;""'"",0)"),"#REF!")</f>
        <v>#REF!</v>
      </c>
      <c r="B545" s="29" t="s">
        <v>1030</v>
      </c>
      <c r="C545" s="164" t="s">
        <v>1044</v>
      </c>
      <c r="D545" s="156" t="s">
        <v>96</v>
      </c>
      <c r="E545" s="33" t="s">
        <v>1025</v>
      </c>
      <c r="F545" s="157" t="s">
        <v>1370</v>
      </c>
      <c r="G545" s="33" t="s">
        <v>1460</v>
      </c>
      <c r="H545" s="90" t="s">
        <v>858</v>
      </c>
      <c r="I545" s="33" t="s">
        <v>2675</v>
      </c>
      <c r="W545" s="149" t="s">
        <v>504</v>
      </c>
      <c r="X545" s="150" t="s">
        <v>1095</v>
      </c>
      <c r="Y545" s="150" t="s">
        <v>824</v>
      </c>
      <c r="Z545" s="150">
        <v>1.0</v>
      </c>
    </row>
    <row r="546">
      <c r="A546" s="152" t="str">
        <f>IFERROR(__xludf.DUMMYFUNCTION("query(Y:Z,""select Z Where Y ='""&amp;H546&amp;""'"",0)"),"#REF!")</f>
        <v>#REF!</v>
      </c>
      <c r="B546" s="29" t="s">
        <v>1464</v>
      </c>
      <c r="C546" s="164" t="s">
        <v>1044</v>
      </c>
      <c r="D546" s="156" t="s">
        <v>96</v>
      </c>
      <c r="E546" s="33" t="s">
        <v>1025</v>
      </c>
      <c r="F546" s="157" t="s">
        <v>1370</v>
      </c>
      <c r="G546" s="33" t="s">
        <v>1460</v>
      </c>
      <c r="H546" s="90" t="s">
        <v>849</v>
      </c>
      <c r="I546" s="33" t="s">
        <v>2679</v>
      </c>
      <c r="W546" s="151" t="s">
        <v>125</v>
      </c>
      <c r="X546" s="150" t="s">
        <v>1095</v>
      </c>
      <c r="Y546" s="150" t="s">
        <v>717</v>
      </c>
      <c r="Z546" s="150">
        <v>3.0</v>
      </c>
    </row>
    <row r="547">
      <c r="A547" s="152" t="str">
        <f>IFERROR(__xludf.DUMMYFUNCTION("query(Y:Z,""select Z Where Y ='""&amp;H547&amp;""'"",0)"),"#REF!")</f>
        <v>#REF!</v>
      </c>
      <c r="B547" s="29" t="s">
        <v>1030</v>
      </c>
      <c r="C547" s="164" t="s">
        <v>1044</v>
      </c>
      <c r="D547" s="156" t="s">
        <v>96</v>
      </c>
      <c r="E547" s="33" t="s">
        <v>1025</v>
      </c>
      <c r="F547" s="157" t="s">
        <v>1370</v>
      </c>
      <c r="G547" s="33" t="s">
        <v>1460</v>
      </c>
      <c r="H547" s="90" t="s">
        <v>614</v>
      </c>
      <c r="I547" s="33" t="s">
        <v>2683</v>
      </c>
      <c r="W547" s="151" t="s">
        <v>53</v>
      </c>
      <c r="X547" s="150" t="s">
        <v>1095</v>
      </c>
      <c r="Y547" s="150" t="s">
        <v>1097</v>
      </c>
      <c r="Z547" s="150">
        <v>1.0</v>
      </c>
    </row>
    <row r="548">
      <c r="A548" s="152" t="str">
        <f>IFERROR(__xludf.DUMMYFUNCTION("query(Y:Z,""select Z Where Y ='""&amp;H548&amp;""'"",0)"),"#REF!")</f>
        <v>#REF!</v>
      </c>
      <c r="B548" s="29" t="s">
        <v>1030</v>
      </c>
      <c r="C548" s="164" t="s">
        <v>1044</v>
      </c>
      <c r="D548" s="156" t="s">
        <v>96</v>
      </c>
      <c r="E548" s="33" t="s">
        <v>1025</v>
      </c>
      <c r="F548" s="157" t="s">
        <v>1113</v>
      </c>
      <c r="G548" s="33" t="s">
        <v>1182</v>
      </c>
      <c r="H548" s="90" t="s">
        <v>531</v>
      </c>
      <c r="I548" s="33" t="s">
        <v>2688</v>
      </c>
      <c r="W548" s="151" t="s">
        <v>125</v>
      </c>
      <c r="X548" s="150" t="s">
        <v>1095</v>
      </c>
      <c r="Y548" s="150" t="s">
        <v>824</v>
      </c>
      <c r="Z548" s="150">
        <v>6.0</v>
      </c>
    </row>
    <row r="549">
      <c r="A549" s="152" t="str">
        <f>IFERROR(__xludf.DUMMYFUNCTION("query(Y:Z,""select Z Where Y ='""&amp;H549&amp;""'"",0)"),"#REF!")</f>
        <v>#REF!</v>
      </c>
      <c r="B549" s="29" t="s">
        <v>1464</v>
      </c>
      <c r="C549" s="164" t="s">
        <v>1044</v>
      </c>
      <c r="D549" s="156" t="s">
        <v>96</v>
      </c>
      <c r="E549" s="33" t="s">
        <v>1025</v>
      </c>
      <c r="F549" s="157" t="s">
        <v>1126</v>
      </c>
      <c r="G549" s="33" t="s">
        <v>1465</v>
      </c>
      <c r="H549" s="90" t="s">
        <v>527</v>
      </c>
      <c r="I549" s="33" t="s">
        <v>2702</v>
      </c>
      <c r="W549" s="151" t="s">
        <v>53</v>
      </c>
      <c r="X549" s="150" t="s">
        <v>1095</v>
      </c>
      <c r="Y549" s="150" t="s">
        <v>888</v>
      </c>
      <c r="Z549" s="150">
        <v>1.0</v>
      </c>
    </row>
    <row r="550">
      <c r="A550" s="152" t="str">
        <f>IFERROR(__xludf.DUMMYFUNCTION("query(Y:Z,""select Z Where Y ='""&amp;H550&amp;""'"",0)"),"#REF!")</f>
        <v>#REF!</v>
      </c>
      <c r="B550" s="29" t="s">
        <v>1030</v>
      </c>
      <c r="C550" s="164" t="s">
        <v>1044</v>
      </c>
      <c r="D550" s="156" t="s">
        <v>102</v>
      </c>
      <c r="E550" s="33" t="s">
        <v>1025</v>
      </c>
      <c r="F550" s="157" t="s">
        <v>1381</v>
      </c>
      <c r="G550" s="33" t="s">
        <v>1382</v>
      </c>
      <c r="H550" s="90" t="s">
        <v>652</v>
      </c>
      <c r="I550" s="33" t="s">
        <v>2719</v>
      </c>
      <c r="W550" s="151" t="s">
        <v>53</v>
      </c>
      <c r="X550" s="150" t="s">
        <v>1095</v>
      </c>
      <c r="Y550" s="150" t="s">
        <v>693</v>
      </c>
      <c r="Z550" s="150">
        <v>1.0</v>
      </c>
    </row>
    <row r="551">
      <c r="A551" s="152" t="str">
        <f>IFERROR(__xludf.DUMMYFUNCTION("query(Y:Z,""select Z Where Y ='""&amp;H551&amp;""'"",0)"),"#REF!")</f>
        <v>#REF!</v>
      </c>
      <c r="B551" s="29" t="s">
        <v>1030</v>
      </c>
      <c r="C551" s="164" t="s">
        <v>1044</v>
      </c>
      <c r="D551" s="156" t="s">
        <v>102</v>
      </c>
      <c r="E551" s="33" t="s">
        <v>1025</v>
      </c>
      <c r="F551" s="157" t="s">
        <v>1381</v>
      </c>
      <c r="G551" s="33" t="s">
        <v>1382</v>
      </c>
      <c r="H551" s="90" t="s">
        <v>793</v>
      </c>
      <c r="I551" s="33" t="s">
        <v>2722</v>
      </c>
      <c r="W551" s="151" t="s">
        <v>125</v>
      </c>
      <c r="X551" s="150" t="s">
        <v>1095</v>
      </c>
      <c r="Y551" s="150" t="s">
        <v>801</v>
      </c>
      <c r="Z551" s="150">
        <v>9.0</v>
      </c>
    </row>
    <row r="552">
      <c r="A552" s="152" t="str">
        <f>IFERROR(__xludf.DUMMYFUNCTION("query(Y:Z,""select Z Where Y ='""&amp;H552&amp;""'"",0)"),"#REF!")</f>
        <v>#REF!</v>
      </c>
      <c r="B552" s="29" t="s">
        <v>1030</v>
      </c>
      <c r="C552" s="164" t="s">
        <v>1044</v>
      </c>
      <c r="D552" s="156" t="s">
        <v>102</v>
      </c>
      <c r="E552" s="33" t="s">
        <v>1025</v>
      </c>
      <c r="F552" s="157" t="s">
        <v>1381</v>
      </c>
      <c r="G552" s="33" t="s">
        <v>1382</v>
      </c>
      <c r="H552" s="90" t="s">
        <v>620</v>
      </c>
      <c r="I552" s="33" t="s">
        <v>2729</v>
      </c>
      <c r="W552" s="151" t="s">
        <v>125</v>
      </c>
      <c r="X552" s="150" t="s">
        <v>1095</v>
      </c>
      <c r="Y552" s="150" t="s">
        <v>751</v>
      </c>
      <c r="Z552" s="150">
        <v>10.0</v>
      </c>
    </row>
    <row r="553">
      <c r="A553" s="152" t="str">
        <f>IFERROR(__xludf.DUMMYFUNCTION("query(Y:Z,""select Z Where Y ='""&amp;H553&amp;""'"",0)"),"#REF!")</f>
        <v>#REF!</v>
      </c>
      <c r="B553" s="29" t="s">
        <v>1030</v>
      </c>
      <c r="C553" s="164" t="s">
        <v>1044</v>
      </c>
      <c r="D553" s="156" t="s">
        <v>102</v>
      </c>
      <c r="E553" s="33" t="s">
        <v>1025</v>
      </c>
      <c r="F553" s="157" t="s">
        <v>1381</v>
      </c>
      <c r="G553" s="33" t="s">
        <v>1382</v>
      </c>
      <c r="H553" s="90" t="s">
        <v>964</v>
      </c>
      <c r="I553" s="33" t="s">
        <v>2733</v>
      </c>
      <c r="W553" s="151" t="s">
        <v>53</v>
      </c>
      <c r="X553" s="150" t="s">
        <v>1095</v>
      </c>
      <c r="Y553" s="150" t="s">
        <v>824</v>
      </c>
      <c r="Z553" s="150">
        <v>1.0</v>
      </c>
    </row>
    <row r="554">
      <c r="A554" s="152" t="str">
        <f>IFERROR(__xludf.DUMMYFUNCTION("query(Y:Z,""select Z Where Y ='""&amp;H554&amp;""'"",0)"),"#REF!")</f>
        <v>#REF!</v>
      </c>
      <c r="B554" s="29" t="s">
        <v>1030</v>
      </c>
      <c r="C554" s="164" t="s">
        <v>1044</v>
      </c>
      <c r="D554" s="156" t="s">
        <v>102</v>
      </c>
      <c r="E554" s="33" t="s">
        <v>1025</v>
      </c>
      <c r="F554" s="157" t="s">
        <v>1381</v>
      </c>
      <c r="G554" s="33" t="s">
        <v>1382</v>
      </c>
      <c r="H554" s="90" t="s">
        <v>871</v>
      </c>
      <c r="I554" s="33" t="s">
        <v>2737</v>
      </c>
      <c r="W554" s="151" t="s">
        <v>53</v>
      </c>
      <c r="X554" s="150" t="s">
        <v>1095</v>
      </c>
      <c r="Y554" s="150" t="s">
        <v>801</v>
      </c>
      <c r="Z554" s="150">
        <v>1.0</v>
      </c>
    </row>
    <row r="555">
      <c r="A555" s="152" t="str">
        <f>IFERROR(__xludf.DUMMYFUNCTION("query(Y:Z,""select Z Where Y ='""&amp;H555&amp;""'"",0)"),"#REF!")</f>
        <v>#REF!</v>
      </c>
      <c r="B555" s="29" t="s">
        <v>1030</v>
      </c>
      <c r="C555" s="164" t="s">
        <v>1044</v>
      </c>
      <c r="D555" s="156" t="s">
        <v>102</v>
      </c>
      <c r="E555" s="33" t="s">
        <v>1025</v>
      </c>
      <c r="F555" s="157" t="s">
        <v>1381</v>
      </c>
      <c r="G555" s="33" t="s">
        <v>1382</v>
      </c>
      <c r="H555" s="90" t="s">
        <v>1003</v>
      </c>
      <c r="I555" s="33" t="s">
        <v>2743</v>
      </c>
      <c r="W555" s="149" t="s">
        <v>504</v>
      </c>
      <c r="X555" s="150" t="s">
        <v>1924</v>
      </c>
      <c r="Y555" s="150" t="s">
        <v>705</v>
      </c>
      <c r="Z555" s="150">
        <v>2.0</v>
      </c>
    </row>
    <row r="556">
      <c r="A556" s="152" t="str">
        <f>IFERROR(__xludf.DUMMYFUNCTION("query(Y:Z,""select Z Where Y ='""&amp;H556&amp;""'"",0)"),"#REF!")</f>
        <v>#REF!</v>
      </c>
      <c r="B556" s="29" t="s">
        <v>1030</v>
      </c>
      <c r="C556" s="164" t="s">
        <v>1044</v>
      </c>
      <c r="D556" s="156" t="s">
        <v>102</v>
      </c>
      <c r="E556" s="33" t="s">
        <v>1025</v>
      </c>
      <c r="F556" s="157" t="s">
        <v>1381</v>
      </c>
      <c r="G556" s="33" t="s">
        <v>1382</v>
      </c>
      <c r="H556" s="90" t="s">
        <v>665</v>
      </c>
      <c r="I556" s="33" t="s">
        <v>2746</v>
      </c>
      <c r="W556" s="151" t="s">
        <v>159</v>
      </c>
      <c r="X556" s="150" t="s">
        <v>1924</v>
      </c>
      <c r="Y556" s="150" t="s">
        <v>681</v>
      </c>
      <c r="Z556" s="150">
        <v>85.0</v>
      </c>
    </row>
    <row r="557">
      <c r="A557" s="152" t="str">
        <f>IFERROR(__xludf.DUMMYFUNCTION("query(Y:Z,""select Z Where Y ='""&amp;H557&amp;""'"",0)"),"#REF!")</f>
        <v>#REF!</v>
      </c>
      <c r="B557" s="29" t="s">
        <v>1030</v>
      </c>
      <c r="C557" s="164" t="s">
        <v>1044</v>
      </c>
      <c r="D557" s="156" t="s">
        <v>102</v>
      </c>
      <c r="E557" s="33" t="s">
        <v>1025</v>
      </c>
      <c r="F557" s="157" t="s">
        <v>1381</v>
      </c>
      <c r="G557" s="33" t="s">
        <v>1382</v>
      </c>
      <c r="H557" s="90" t="s">
        <v>892</v>
      </c>
      <c r="I557" s="33" t="s">
        <v>2749</v>
      </c>
      <c r="W557" s="151" t="s">
        <v>159</v>
      </c>
      <c r="X557" s="150" t="s">
        <v>1924</v>
      </c>
      <c r="Y557" s="150" t="s">
        <v>705</v>
      </c>
      <c r="Z557" s="150">
        <v>12.0</v>
      </c>
    </row>
    <row r="558">
      <c r="A558" s="152" t="str">
        <f>IFERROR(__xludf.DUMMYFUNCTION("query(Y:Z,""select Z Where Y ='""&amp;H558&amp;""'"",0)"),"#N/A")</f>
        <v>#N/A</v>
      </c>
      <c r="B558" s="29" t="s">
        <v>1030</v>
      </c>
      <c r="C558" s="164" t="s">
        <v>1044</v>
      </c>
      <c r="D558" s="156" t="s">
        <v>102</v>
      </c>
      <c r="E558" s="33" t="s">
        <v>1025</v>
      </c>
      <c r="F558" s="157" t="s">
        <v>1186</v>
      </c>
      <c r="G558" s="33" t="s">
        <v>1187</v>
      </c>
      <c r="H558" s="90" t="s">
        <v>2760</v>
      </c>
      <c r="I558" s="33" t="s">
        <v>2762</v>
      </c>
      <c r="W558" s="151" t="s">
        <v>125</v>
      </c>
      <c r="X558" s="150" t="s">
        <v>1039</v>
      </c>
      <c r="Y558" s="150" t="s">
        <v>606</v>
      </c>
      <c r="Z558" s="150">
        <v>1.0</v>
      </c>
    </row>
    <row r="559">
      <c r="B559" s="33"/>
      <c r="C559" s="33"/>
      <c r="D559" s="156"/>
      <c r="F559" s="157"/>
      <c r="H559" s="90"/>
      <c r="W559" s="151" t="s">
        <v>60</v>
      </c>
      <c r="X559" s="150" t="s">
        <v>1259</v>
      </c>
      <c r="Y559" s="150" t="s">
        <v>822</v>
      </c>
      <c r="Z559" s="150">
        <v>2.0</v>
      </c>
    </row>
    <row r="560">
      <c r="B560" s="33"/>
      <c r="C560" s="33"/>
      <c r="D560" s="156"/>
      <c r="F560" s="157"/>
      <c r="H560" s="90"/>
      <c r="W560" s="151" t="s">
        <v>1130</v>
      </c>
      <c r="X560" s="150" t="s">
        <v>60</v>
      </c>
      <c r="Y560" s="150" t="s">
        <v>1132</v>
      </c>
      <c r="Z560" s="150">
        <v>1.0</v>
      </c>
    </row>
    <row r="561">
      <c r="B561" s="33"/>
      <c r="C561" s="33"/>
      <c r="D561" s="156"/>
      <c r="F561" s="157"/>
      <c r="H561" s="90"/>
      <c r="W561" s="151" t="s">
        <v>37</v>
      </c>
      <c r="X561" s="150" t="s">
        <v>520</v>
      </c>
      <c r="Y561" s="150" t="s">
        <v>1433</v>
      </c>
      <c r="Z561" s="150">
        <v>4.0</v>
      </c>
    </row>
    <row r="562">
      <c r="B562" s="33"/>
      <c r="C562" s="33"/>
      <c r="D562" s="156"/>
      <c r="F562" s="157"/>
      <c r="H562" s="90"/>
      <c r="W562" s="149" t="s">
        <v>504</v>
      </c>
      <c r="X562" s="150" t="s">
        <v>1163</v>
      </c>
      <c r="Y562" s="150" t="s">
        <v>843</v>
      </c>
      <c r="Z562" s="150">
        <v>1.0</v>
      </c>
    </row>
    <row r="563">
      <c r="B563" s="33"/>
      <c r="C563" s="33"/>
      <c r="D563" s="156"/>
      <c r="F563" s="157"/>
      <c r="H563" s="90"/>
      <c r="W563" s="151" t="s">
        <v>125</v>
      </c>
      <c r="X563" s="150" t="s">
        <v>1163</v>
      </c>
      <c r="Y563" s="150" t="s">
        <v>831</v>
      </c>
      <c r="Z563" s="150">
        <v>5.0</v>
      </c>
    </row>
    <row r="564">
      <c r="B564" s="33"/>
      <c r="C564" s="33"/>
      <c r="D564" s="156"/>
      <c r="F564" s="157"/>
      <c r="H564" s="90"/>
      <c r="W564" s="151" t="s">
        <v>125</v>
      </c>
      <c r="X564" s="150" t="s">
        <v>1163</v>
      </c>
      <c r="Y564" s="150" t="s">
        <v>843</v>
      </c>
      <c r="Z564" s="150">
        <v>3.0</v>
      </c>
    </row>
    <row r="565">
      <c r="B565" s="33"/>
      <c r="C565" s="33"/>
      <c r="D565" s="156"/>
      <c r="F565" s="157"/>
      <c r="H565" s="90"/>
      <c r="W565" s="151" t="s">
        <v>125</v>
      </c>
      <c r="X565" s="150" t="s">
        <v>1163</v>
      </c>
      <c r="Y565" s="150" t="s">
        <v>4114</v>
      </c>
      <c r="Z565" s="150">
        <v>1.0</v>
      </c>
    </row>
    <row r="566">
      <c r="B566" s="33"/>
      <c r="C566" s="33"/>
      <c r="D566" s="156"/>
      <c r="F566" s="157"/>
      <c r="H566" s="90"/>
      <c r="W566" s="151" t="s">
        <v>125</v>
      </c>
      <c r="X566" s="150" t="s">
        <v>1163</v>
      </c>
      <c r="Y566" s="150" t="s">
        <v>677</v>
      </c>
      <c r="Z566" s="150">
        <v>52.0</v>
      </c>
    </row>
    <row r="567">
      <c r="B567" s="33"/>
      <c r="C567" s="33"/>
      <c r="D567" s="156"/>
      <c r="F567" s="157"/>
      <c r="H567" s="90"/>
      <c r="W567" s="149" t="s">
        <v>504</v>
      </c>
      <c r="X567" s="150" t="s">
        <v>1163</v>
      </c>
      <c r="Y567" s="150" t="s">
        <v>677</v>
      </c>
      <c r="Z567" s="150">
        <v>4.0</v>
      </c>
    </row>
    <row r="568">
      <c r="B568" s="33"/>
      <c r="C568" s="33"/>
      <c r="D568" s="156"/>
      <c r="F568" s="157"/>
      <c r="H568" s="90"/>
      <c r="W568" s="151" t="s">
        <v>125</v>
      </c>
      <c r="X568" s="150" t="s">
        <v>1163</v>
      </c>
      <c r="Y568" s="150" t="s">
        <v>4115</v>
      </c>
      <c r="Z568" s="150">
        <v>1.0</v>
      </c>
    </row>
    <row r="569">
      <c r="B569" s="33"/>
      <c r="C569" s="33"/>
      <c r="D569" s="156"/>
      <c r="F569" s="157"/>
      <c r="H569" s="90"/>
      <c r="W569" s="149" t="s">
        <v>504</v>
      </c>
      <c r="X569" s="150" t="s">
        <v>1163</v>
      </c>
      <c r="Y569" s="150" t="s">
        <v>517</v>
      </c>
      <c r="Z569" s="150">
        <v>2.0</v>
      </c>
    </row>
    <row r="570">
      <c r="B570" s="33"/>
      <c r="C570" s="33"/>
      <c r="D570" s="156"/>
      <c r="F570" s="157"/>
      <c r="H570" s="90"/>
      <c r="W570" s="151" t="s">
        <v>125</v>
      </c>
      <c r="X570" s="150" t="s">
        <v>1163</v>
      </c>
      <c r="Y570" s="150" t="s">
        <v>645</v>
      </c>
      <c r="Z570" s="150">
        <v>36.0</v>
      </c>
    </row>
    <row r="571">
      <c r="B571" s="33"/>
      <c r="C571" s="33"/>
      <c r="D571" s="156"/>
      <c r="F571" s="157"/>
      <c r="H571" s="90"/>
      <c r="W571" s="149" t="s">
        <v>504</v>
      </c>
      <c r="X571" s="150" t="s">
        <v>1163</v>
      </c>
      <c r="Y571" s="150" t="s">
        <v>645</v>
      </c>
      <c r="Z571" s="150">
        <v>5.0</v>
      </c>
    </row>
    <row r="572">
      <c r="B572" s="33"/>
      <c r="C572" s="33"/>
      <c r="D572" s="156"/>
      <c r="F572" s="157"/>
      <c r="H572" s="90"/>
      <c r="W572" s="151" t="s">
        <v>125</v>
      </c>
      <c r="X572" s="150" t="s">
        <v>1163</v>
      </c>
      <c r="Y572" s="150" t="s">
        <v>517</v>
      </c>
      <c r="Z572" s="150">
        <v>72.0</v>
      </c>
    </row>
    <row r="573">
      <c r="B573" s="33"/>
      <c r="C573" s="33"/>
      <c r="D573" s="156"/>
      <c r="F573" s="157"/>
      <c r="H573" s="90"/>
      <c r="W573" s="151" t="s">
        <v>125</v>
      </c>
      <c r="X573" s="150" t="s">
        <v>4116</v>
      </c>
      <c r="Y573" s="150" t="s">
        <v>4117</v>
      </c>
      <c r="Z573" s="150">
        <v>1.0</v>
      </c>
    </row>
    <row r="574">
      <c r="B574" s="33"/>
      <c r="C574" s="33"/>
      <c r="D574" s="156"/>
      <c r="F574" s="157"/>
      <c r="H574" s="90"/>
      <c r="W574" s="151" t="s">
        <v>125</v>
      </c>
      <c r="X574" s="150" t="s">
        <v>4118</v>
      </c>
      <c r="Y574" s="150" t="s">
        <v>4119</v>
      </c>
      <c r="Z574" s="150">
        <v>2.0</v>
      </c>
    </row>
    <row r="575">
      <c r="B575" s="33"/>
      <c r="C575" s="33"/>
      <c r="D575" s="156"/>
      <c r="F575" s="157"/>
      <c r="H575" s="90"/>
      <c r="W575" s="151" t="s">
        <v>125</v>
      </c>
      <c r="X575" s="150" t="s">
        <v>4120</v>
      </c>
      <c r="Y575" s="150" t="s">
        <v>4121</v>
      </c>
      <c r="Z575" s="150">
        <v>2.0</v>
      </c>
    </row>
    <row r="576">
      <c r="B576" s="33"/>
      <c r="C576" s="33"/>
      <c r="D576" s="156"/>
      <c r="F576" s="157"/>
      <c r="H576" s="90"/>
      <c r="W576" s="151" t="s">
        <v>125</v>
      </c>
      <c r="X576" s="150" t="s">
        <v>4120</v>
      </c>
      <c r="Y576" s="150" t="s">
        <v>4122</v>
      </c>
      <c r="Z576" s="150">
        <v>2.0</v>
      </c>
    </row>
    <row r="577">
      <c r="B577" s="33"/>
      <c r="C577" s="33"/>
      <c r="D577" s="156"/>
      <c r="F577" s="157"/>
      <c r="H577" s="90"/>
      <c r="W577" s="151" t="s">
        <v>78</v>
      </c>
      <c r="X577" s="150" t="s">
        <v>1167</v>
      </c>
      <c r="Y577" s="150" t="s">
        <v>944</v>
      </c>
      <c r="Z577" s="150">
        <v>1.0</v>
      </c>
    </row>
    <row r="578">
      <c r="B578" s="33"/>
      <c r="C578" s="33"/>
      <c r="D578" s="156"/>
      <c r="F578" s="157"/>
      <c r="H578" s="90"/>
      <c r="W578" s="151" t="s">
        <v>78</v>
      </c>
      <c r="X578" s="150" t="s">
        <v>1167</v>
      </c>
      <c r="Y578" s="150" t="s">
        <v>856</v>
      </c>
      <c r="Z578" s="150">
        <v>14.0</v>
      </c>
    </row>
    <row r="579">
      <c r="B579" s="33"/>
      <c r="C579" s="33"/>
      <c r="D579" s="156"/>
      <c r="F579" s="157"/>
      <c r="H579" s="90"/>
      <c r="W579" s="149" t="s">
        <v>504</v>
      </c>
      <c r="X579" s="150" t="s">
        <v>1167</v>
      </c>
      <c r="Y579" s="150" t="s">
        <v>984</v>
      </c>
      <c r="Z579" s="150">
        <v>1.0</v>
      </c>
    </row>
    <row r="580">
      <c r="B580" s="33"/>
      <c r="C580" s="33"/>
      <c r="D580" s="156"/>
      <c r="F580" s="157"/>
      <c r="H580" s="90"/>
      <c r="W580" s="151" t="s">
        <v>78</v>
      </c>
      <c r="X580" s="150" t="s">
        <v>1167</v>
      </c>
      <c r="Y580" s="150" t="s">
        <v>616</v>
      </c>
      <c r="Z580" s="150">
        <v>8.0</v>
      </c>
    </row>
    <row r="581">
      <c r="B581" s="33"/>
      <c r="C581" s="33"/>
      <c r="D581" s="156"/>
      <c r="F581" s="157"/>
      <c r="H581" s="90"/>
      <c r="W581" s="151" t="s">
        <v>78</v>
      </c>
      <c r="X581" s="150" t="s">
        <v>1167</v>
      </c>
      <c r="Y581" s="150" t="s">
        <v>669</v>
      </c>
      <c r="Z581" s="150">
        <v>5.0</v>
      </c>
    </row>
    <row r="582">
      <c r="B582" s="33"/>
      <c r="C582" s="33"/>
      <c r="D582" s="156"/>
      <c r="F582" s="157"/>
      <c r="H582" s="90"/>
      <c r="W582" s="149" t="s">
        <v>504</v>
      </c>
      <c r="X582" s="150" t="s">
        <v>1167</v>
      </c>
      <c r="Y582" s="150" t="s">
        <v>616</v>
      </c>
      <c r="Z582" s="150">
        <v>1.0</v>
      </c>
    </row>
    <row r="583">
      <c r="B583" s="33"/>
      <c r="C583" s="33"/>
      <c r="D583" s="156"/>
      <c r="F583" s="157"/>
      <c r="H583" s="90"/>
      <c r="W583" s="151" t="s">
        <v>78</v>
      </c>
      <c r="X583" s="150" t="s">
        <v>1167</v>
      </c>
      <c r="Y583" s="150" t="s">
        <v>984</v>
      </c>
      <c r="Z583" s="150">
        <v>10.0</v>
      </c>
    </row>
    <row r="584">
      <c r="B584" s="33"/>
      <c r="C584" s="33"/>
      <c r="D584" s="156"/>
      <c r="F584" s="157"/>
      <c r="H584" s="90"/>
      <c r="W584" s="151" t="s">
        <v>78</v>
      </c>
      <c r="X584" s="150" t="s">
        <v>1167</v>
      </c>
      <c r="Y584" s="150" t="s">
        <v>773</v>
      </c>
      <c r="Z584" s="150">
        <v>1.0</v>
      </c>
    </row>
    <row r="585">
      <c r="B585" s="33"/>
      <c r="C585" s="33"/>
      <c r="D585" s="156"/>
      <c r="F585" s="157"/>
      <c r="H585" s="90"/>
      <c r="W585" s="151" t="s">
        <v>78</v>
      </c>
      <c r="X585" s="150" t="s">
        <v>1167</v>
      </c>
      <c r="Y585" s="150" t="s">
        <v>1014</v>
      </c>
      <c r="Z585" s="150">
        <v>5.0</v>
      </c>
    </row>
    <row r="586">
      <c r="B586" s="33"/>
      <c r="C586" s="33"/>
      <c r="D586" s="156"/>
      <c r="F586" s="157"/>
      <c r="H586" s="90"/>
      <c r="W586" s="151" t="s">
        <v>78</v>
      </c>
      <c r="X586" s="150" t="s">
        <v>4123</v>
      </c>
      <c r="Y586" s="150" t="s">
        <v>4124</v>
      </c>
      <c r="Z586" s="150">
        <v>1.0</v>
      </c>
    </row>
    <row r="587">
      <c r="B587" s="33"/>
      <c r="C587" s="33"/>
      <c r="D587" s="156"/>
      <c r="F587" s="157"/>
      <c r="H587" s="90"/>
      <c r="W587" s="151" t="s">
        <v>1143</v>
      </c>
      <c r="X587" s="150" t="s">
        <v>78</v>
      </c>
      <c r="Y587" s="150" t="s">
        <v>917</v>
      </c>
      <c r="Z587" s="150">
        <v>1.0</v>
      </c>
    </row>
    <row r="588">
      <c r="B588" s="33"/>
      <c r="C588" s="33"/>
      <c r="D588" s="156"/>
      <c r="F588" s="157"/>
      <c r="H588" s="90"/>
      <c r="W588" s="151" t="s">
        <v>1143</v>
      </c>
      <c r="X588" s="150" t="s">
        <v>78</v>
      </c>
      <c r="Y588" s="150" t="s">
        <v>959</v>
      </c>
      <c r="Z588" s="150">
        <v>1.0</v>
      </c>
    </row>
    <row r="589">
      <c r="B589" s="33"/>
      <c r="C589" s="33"/>
      <c r="D589" s="156"/>
      <c r="F589" s="157"/>
      <c r="H589" s="90"/>
      <c r="W589" s="151" t="s">
        <v>1167</v>
      </c>
      <c r="X589" s="150" t="s">
        <v>78</v>
      </c>
      <c r="Y589" s="150" t="s">
        <v>1014</v>
      </c>
      <c r="Z589" s="150">
        <v>1.0</v>
      </c>
    </row>
    <row r="590">
      <c r="B590" s="33"/>
      <c r="C590" s="33"/>
      <c r="D590" s="156"/>
      <c r="F590" s="157"/>
      <c r="H590" s="90"/>
      <c r="W590" s="151" t="s">
        <v>1089</v>
      </c>
      <c r="X590" s="150" t="s">
        <v>78</v>
      </c>
      <c r="Y590" s="150" t="s">
        <v>642</v>
      </c>
      <c r="Z590" s="150">
        <v>1.0</v>
      </c>
    </row>
    <row r="591">
      <c r="B591" s="33"/>
      <c r="C591" s="33"/>
      <c r="D591" s="156"/>
      <c r="F591" s="157"/>
      <c r="H591" s="90"/>
      <c r="W591" s="151" t="s">
        <v>1136</v>
      </c>
      <c r="X591" s="150" t="s">
        <v>78</v>
      </c>
      <c r="Y591" s="150" t="s">
        <v>834</v>
      </c>
      <c r="Z591" s="150">
        <v>1.0</v>
      </c>
    </row>
    <row r="592">
      <c r="B592" s="33"/>
      <c r="C592" s="33"/>
      <c r="D592" s="156"/>
      <c r="F592" s="157"/>
      <c r="H592" s="90"/>
      <c r="W592" s="151" t="s">
        <v>84</v>
      </c>
      <c r="X592" s="150" t="s">
        <v>1176</v>
      </c>
      <c r="Y592" s="150" t="s">
        <v>1178</v>
      </c>
      <c r="Z592" s="150">
        <v>1.0</v>
      </c>
    </row>
    <row r="593">
      <c r="B593" s="33"/>
      <c r="C593" s="33"/>
      <c r="D593" s="156"/>
      <c r="F593" s="157"/>
      <c r="H593" s="90"/>
      <c r="W593" s="151" t="s">
        <v>84</v>
      </c>
      <c r="X593" s="150" t="s">
        <v>1176</v>
      </c>
      <c r="Y593" s="150" t="s">
        <v>541</v>
      </c>
      <c r="Z593" s="150">
        <v>46.0</v>
      </c>
    </row>
    <row r="594">
      <c r="B594" s="33"/>
      <c r="C594" s="33"/>
      <c r="D594" s="156"/>
      <c r="F594" s="157"/>
      <c r="H594" s="90"/>
      <c r="W594" s="149" t="s">
        <v>504</v>
      </c>
      <c r="X594" s="150" t="s">
        <v>1176</v>
      </c>
      <c r="Y594" s="150" t="s">
        <v>541</v>
      </c>
      <c r="Z594" s="150">
        <v>3.0</v>
      </c>
    </row>
    <row r="595">
      <c r="B595" s="33"/>
      <c r="C595" s="33"/>
      <c r="D595" s="156"/>
      <c r="F595" s="157"/>
      <c r="H595" s="90"/>
      <c r="W595" s="151" t="s">
        <v>84</v>
      </c>
      <c r="X595" s="150" t="s">
        <v>1176</v>
      </c>
      <c r="Y595" s="150" t="s">
        <v>755</v>
      </c>
      <c r="Z595" s="150">
        <v>46.0</v>
      </c>
    </row>
    <row r="596">
      <c r="B596" s="33"/>
      <c r="C596" s="33"/>
      <c r="D596" s="156"/>
      <c r="F596" s="157"/>
      <c r="H596" s="90"/>
      <c r="W596" s="151" t="s">
        <v>84</v>
      </c>
      <c r="X596" s="150" t="s">
        <v>1176</v>
      </c>
      <c r="Y596" s="150" t="s">
        <v>539</v>
      </c>
      <c r="Z596" s="150">
        <v>41.0</v>
      </c>
    </row>
    <row r="597">
      <c r="B597" s="33"/>
      <c r="C597" s="33"/>
      <c r="D597" s="156"/>
      <c r="F597" s="157"/>
      <c r="H597" s="90"/>
      <c r="W597" s="151" t="s">
        <v>84</v>
      </c>
      <c r="X597" s="150" t="s">
        <v>1176</v>
      </c>
      <c r="Y597" s="150" t="s">
        <v>930</v>
      </c>
      <c r="Z597" s="150">
        <v>18.0</v>
      </c>
    </row>
    <row r="598">
      <c r="B598" s="33"/>
      <c r="C598" s="33"/>
      <c r="D598" s="156"/>
      <c r="F598" s="157"/>
      <c r="H598" s="90"/>
      <c r="W598" s="151" t="s">
        <v>84</v>
      </c>
      <c r="X598" s="150" t="s">
        <v>1176</v>
      </c>
      <c r="Y598" s="150" t="s">
        <v>605</v>
      </c>
      <c r="Z598" s="150">
        <v>27.0</v>
      </c>
    </row>
    <row r="599">
      <c r="B599" s="33"/>
      <c r="C599" s="33"/>
      <c r="D599" s="156"/>
      <c r="F599" s="157"/>
      <c r="H599" s="90"/>
      <c r="W599" s="149" t="s">
        <v>504</v>
      </c>
      <c r="X599" s="150" t="s">
        <v>1176</v>
      </c>
      <c r="Y599" s="150" t="s">
        <v>539</v>
      </c>
      <c r="Z599" s="150">
        <v>2.0</v>
      </c>
    </row>
    <row r="600">
      <c r="B600" s="33"/>
      <c r="C600" s="33"/>
      <c r="D600" s="156"/>
      <c r="F600" s="157"/>
      <c r="H600" s="90"/>
      <c r="W600" s="149" t="s">
        <v>504</v>
      </c>
      <c r="X600" s="150" t="s">
        <v>1176</v>
      </c>
      <c r="Y600" s="150" t="s">
        <v>593</v>
      </c>
      <c r="Z600" s="150">
        <v>1.0</v>
      </c>
    </row>
    <row r="601">
      <c r="B601" s="33"/>
      <c r="C601" s="33"/>
      <c r="D601" s="156"/>
      <c r="F601" s="157"/>
      <c r="H601" s="90"/>
      <c r="W601" s="151" t="s">
        <v>84</v>
      </c>
      <c r="X601" s="150" t="s">
        <v>1176</v>
      </c>
      <c r="Y601" s="150" t="s">
        <v>593</v>
      </c>
      <c r="Z601" s="150">
        <v>53.0</v>
      </c>
    </row>
    <row r="602">
      <c r="B602" s="33"/>
      <c r="C602" s="33"/>
      <c r="D602" s="156"/>
      <c r="F602" s="157"/>
      <c r="H602" s="90"/>
      <c r="W602" s="151" t="s">
        <v>84</v>
      </c>
      <c r="X602" s="150" t="s">
        <v>1176</v>
      </c>
      <c r="Y602" s="150" t="s">
        <v>647</v>
      </c>
      <c r="Z602" s="150">
        <v>8.0</v>
      </c>
    </row>
    <row r="603">
      <c r="B603" s="33"/>
      <c r="C603" s="33"/>
      <c r="D603" s="156"/>
      <c r="F603" s="157"/>
      <c r="H603" s="90"/>
      <c r="W603" s="149" t="s">
        <v>504</v>
      </c>
      <c r="X603" s="150" t="s">
        <v>1176</v>
      </c>
      <c r="Y603" s="150" t="s">
        <v>930</v>
      </c>
      <c r="Z603" s="150">
        <v>1.0</v>
      </c>
    </row>
    <row r="604">
      <c r="B604" s="33"/>
      <c r="C604" s="33"/>
      <c r="D604" s="156"/>
      <c r="F604" s="157"/>
      <c r="H604" s="90"/>
      <c r="W604" s="151" t="s">
        <v>147</v>
      </c>
      <c r="X604" s="150" t="s">
        <v>4125</v>
      </c>
      <c r="Y604" s="150" t="s">
        <v>874</v>
      </c>
      <c r="Z604" s="150">
        <v>6.0</v>
      </c>
    </row>
    <row r="605">
      <c r="B605" s="33"/>
      <c r="C605" s="33"/>
      <c r="D605" s="156"/>
      <c r="F605" s="157"/>
      <c r="H605" s="90"/>
      <c r="W605" s="151" t="s">
        <v>147</v>
      </c>
      <c r="X605" s="150" t="s">
        <v>4126</v>
      </c>
      <c r="Y605" s="150" t="s">
        <v>874</v>
      </c>
      <c r="Z605" s="150">
        <v>4.0</v>
      </c>
    </row>
    <row r="606">
      <c r="B606" s="33"/>
      <c r="C606" s="33"/>
      <c r="D606" s="156"/>
      <c r="F606" s="157"/>
      <c r="H606" s="90"/>
      <c r="W606" s="149" t="s">
        <v>504</v>
      </c>
      <c r="X606" s="150" t="s">
        <v>1525</v>
      </c>
      <c r="Y606" s="150" t="s">
        <v>821</v>
      </c>
      <c r="Z606" s="150">
        <v>1.0</v>
      </c>
    </row>
    <row r="607">
      <c r="B607" s="33"/>
      <c r="C607" s="33"/>
      <c r="D607" s="156"/>
      <c r="F607" s="157"/>
      <c r="H607" s="90"/>
      <c r="W607" s="151" t="s">
        <v>147</v>
      </c>
      <c r="X607" s="150" t="s">
        <v>1525</v>
      </c>
      <c r="Y607" s="150" t="s">
        <v>4127</v>
      </c>
      <c r="Z607" s="150">
        <v>1.0</v>
      </c>
    </row>
    <row r="608">
      <c r="B608" s="33"/>
      <c r="C608" s="33"/>
      <c r="D608" s="156"/>
      <c r="F608" s="157"/>
      <c r="H608" s="90"/>
      <c r="W608" s="151" t="s">
        <v>147</v>
      </c>
      <c r="X608" s="150" t="s">
        <v>1525</v>
      </c>
      <c r="Y608" s="150" t="s">
        <v>511</v>
      </c>
      <c r="Z608" s="150">
        <v>522.0</v>
      </c>
    </row>
    <row r="609">
      <c r="B609" s="33"/>
      <c r="C609" s="33"/>
      <c r="D609" s="156"/>
      <c r="F609" s="157"/>
      <c r="H609" s="90"/>
      <c r="W609" s="149" t="s">
        <v>504</v>
      </c>
      <c r="X609" s="150" t="s">
        <v>1525</v>
      </c>
      <c r="Y609" s="150" t="s">
        <v>874</v>
      </c>
      <c r="Z609" s="150">
        <v>1.0</v>
      </c>
    </row>
    <row r="610">
      <c r="B610" s="33"/>
      <c r="C610" s="33"/>
      <c r="D610" s="156"/>
      <c r="F610" s="157"/>
      <c r="H610" s="90"/>
      <c r="W610" s="151" t="s">
        <v>147</v>
      </c>
      <c r="X610" s="150" t="s">
        <v>1525</v>
      </c>
      <c r="Y610" s="150" t="s">
        <v>4128</v>
      </c>
      <c r="Z610" s="150">
        <v>1.0</v>
      </c>
    </row>
    <row r="611">
      <c r="B611" s="33"/>
      <c r="C611" s="33"/>
      <c r="D611" s="156"/>
      <c r="F611" s="157"/>
      <c r="H611" s="90"/>
      <c r="W611" s="151" t="s">
        <v>125</v>
      </c>
      <c r="X611" s="150" t="s">
        <v>1525</v>
      </c>
      <c r="Y611" s="150" t="s">
        <v>874</v>
      </c>
      <c r="Z611" s="150">
        <v>1.0</v>
      </c>
    </row>
    <row r="612">
      <c r="B612" s="33"/>
      <c r="C612" s="33"/>
      <c r="D612" s="156"/>
      <c r="F612" s="157"/>
      <c r="H612" s="90"/>
      <c r="W612" s="151" t="s">
        <v>147</v>
      </c>
      <c r="X612" s="150" t="s">
        <v>1525</v>
      </c>
      <c r="Y612" s="150" t="s">
        <v>578</v>
      </c>
      <c r="Z612" s="150">
        <v>59.0</v>
      </c>
    </row>
    <row r="613">
      <c r="B613" s="33"/>
      <c r="C613" s="33"/>
      <c r="D613" s="156"/>
      <c r="F613" s="157"/>
      <c r="H613" s="90"/>
      <c r="W613" s="151" t="s">
        <v>4129</v>
      </c>
      <c r="X613" s="150" t="s">
        <v>1525</v>
      </c>
      <c r="Y613" s="150" t="s">
        <v>874</v>
      </c>
      <c r="Z613" s="150">
        <v>1.0</v>
      </c>
    </row>
    <row r="614">
      <c r="B614" s="33"/>
      <c r="C614" s="33"/>
      <c r="D614" s="156"/>
      <c r="F614" s="157"/>
      <c r="H614" s="90"/>
      <c r="W614" s="151" t="s">
        <v>147</v>
      </c>
      <c r="X614" s="150" t="s">
        <v>1525</v>
      </c>
      <c r="Y614" s="150" t="s">
        <v>4130</v>
      </c>
      <c r="Z614" s="150">
        <v>1.0</v>
      </c>
    </row>
    <row r="615">
      <c r="B615" s="33"/>
      <c r="C615" s="33"/>
      <c r="D615" s="156"/>
      <c r="F615" s="157"/>
      <c r="H615" s="90"/>
      <c r="W615" s="151" t="s">
        <v>147</v>
      </c>
      <c r="X615" s="150" t="s">
        <v>1525</v>
      </c>
      <c r="Y615" s="150" t="s">
        <v>821</v>
      </c>
      <c r="Z615" s="150">
        <v>36.0</v>
      </c>
    </row>
    <row r="616">
      <c r="B616" s="33"/>
      <c r="C616" s="33"/>
      <c r="D616" s="156"/>
      <c r="F616" s="157"/>
      <c r="H616" s="90"/>
      <c r="W616" s="149" t="s">
        <v>504</v>
      </c>
      <c r="X616" s="150" t="s">
        <v>1525</v>
      </c>
      <c r="Y616" s="150" t="s">
        <v>511</v>
      </c>
      <c r="Z616" s="150">
        <v>5.0</v>
      </c>
    </row>
    <row r="617">
      <c r="B617" s="33"/>
      <c r="C617" s="33"/>
      <c r="D617" s="156"/>
      <c r="F617" s="157"/>
      <c r="H617" s="90"/>
      <c r="W617" s="151" t="s">
        <v>182</v>
      </c>
      <c r="X617" s="150" t="s">
        <v>1525</v>
      </c>
      <c r="Y617" s="150" t="s">
        <v>511</v>
      </c>
      <c r="Z617" s="150">
        <v>1.0</v>
      </c>
    </row>
    <row r="618">
      <c r="B618" s="33"/>
      <c r="C618" s="33"/>
      <c r="D618" s="156"/>
      <c r="F618" s="157"/>
      <c r="H618" s="90"/>
      <c r="W618" s="151" t="s">
        <v>147</v>
      </c>
      <c r="X618" s="150" t="s">
        <v>1525</v>
      </c>
      <c r="Y618" s="150" t="s">
        <v>581</v>
      </c>
      <c r="Z618" s="150">
        <v>189.0</v>
      </c>
    </row>
    <row r="619">
      <c r="B619" s="33"/>
      <c r="C619" s="33"/>
      <c r="D619" s="156"/>
      <c r="F619" s="157"/>
      <c r="H619" s="90"/>
      <c r="W619" s="151" t="s">
        <v>125</v>
      </c>
      <c r="X619" s="150" t="s">
        <v>1525</v>
      </c>
      <c r="Y619" s="150" t="s">
        <v>581</v>
      </c>
      <c r="Z619" s="150">
        <v>1.0</v>
      </c>
    </row>
    <row r="620">
      <c r="B620" s="33"/>
      <c r="C620" s="33"/>
      <c r="D620" s="156"/>
      <c r="F620" s="157"/>
      <c r="H620" s="90"/>
      <c r="W620" s="151" t="s">
        <v>147</v>
      </c>
      <c r="X620" s="150" t="s">
        <v>1525</v>
      </c>
      <c r="Y620" s="150" t="s">
        <v>595</v>
      </c>
      <c r="Z620" s="150">
        <v>44.0</v>
      </c>
    </row>
    <row r="621">
      <c r="B621" s="33"/>
      <c r="C621" s="33"/>
      <c r="D621" s="156"/>
      <c r="F621" s="157"/>
      <c r="H621" s="90"/>
      <c r="W621" s="151" t="s">
        <v>147</v>
      </c>
      <c r="X621" s="150" t="s">
        <v>1525</v>
      </c>
      <c r="Y621" s="150" t="s">
        <v>4131</v>
      </c>
      <c r="Z621" s="150">
        <v>2.0</v>
      </c>
    </row>
    <row r="622">
      <c r="B622" s="33"/>
      <c r="C622" s="33"/>
      <c r="D622" s="156"/>
      <c r="F622" s="157"/>
      <c r="H622" s="90"/>
      <c r="W622" s="151" t="s">
        <v>147</v>
      </c>
      <c r="X622" s="150" t="s">
        <v>1525</v>
      </c>
      <c r="Y622" s="150" t="s">
        <v>4132</v>
      </c>
      <c r="Z622" s="150">
        <v>1.0</v>
      </c>
    </row>
    <row r="623">
      <c r="B623" s="33"/>
      <c r="C623" s="33"/>
      <c r="D623" s="156"/>
      <c r="F623" s="157"/>
      <c r="H623" s="90"/>
      <c r="W623" s="151" t="s">
        <v>147</v>
      </c>
      <c r="X623" s="150" t="s">
        <v>1525</v>
      </c>
      <c r="Y623" s="150" t="s">
        <v>760</v>
      </c>
      <c r="Z623" s="150">
        <v>6.0</v>
      </c>
    </row>
    <row r="624">
      <c r="B624" s="33"/>
      <c r="C624" s="33"/>
      <c r="D624" s="156"/>
      <c r="F624" s="157"/>
      <c r="H624" s="90"/>
      <c r="W624" s="151" t="s">
        <v>147</v>
      </c>
      <c r="X624" s="150" t="s">
        <v>1525</v>
      </c>
      <c r="Y624" s="150" t="s">
        <v>874</v>
      </c>
      <c r="Z624" s="150">
        <v>6397.0</v>
      </c>
    </row>
    <row r="625">
      <c r="B625" s="33"/>
      <c r="C625" s="33"/>
      <c r="D625" s="156"/>
      <c r="F625" s="157"/>
      <c r="H625" s="90"/>
      <c r="W625" s="151" t="s">
        <v>147</v>
      </c>
      <c r="X625" s="150" t="s">
        <v>1525</v>
      </c>
      <c r="Y625" s="150" t="s">
        <v>672</v>
      </c>
      <c r="Z625" s="150">
        <v>84.0</v>
      </c>
    </row>
    <row r="626">
      <c r="B626" s="33"/>
      <c r="C626" s="33"/>
      <c r="D626" s="156"/>
      <c r="F626" s="157"/>
      <c r="H626" s="90"/>
      <c r="W626" s="151" t="s">
        <v>147</v>
      </c>
      <c r="X626" s="150" t="s">
        <v>1525</v>
      </c>
      <c r="Y626" s="150" t="s">
        <v>4133</v>
      </c>
      <c r="Z626" s="150">
        <v>1.0</v>
      </c>
    </row>
    <row r="627">
      <c r="B627" s="33"/>
      <c r="C627" s="33"/>
      <c r="D627" s="156"/>
      <c r="F627" s="157"/>
      <c r="H627" s="90"/>
      <c r="W627" s="151" t="s">
        <v>147</v>
      </c>
      <c r="X627" s="150" t="s">
        <v>1525</v>
      </c>
      <c r="Y627" s="150" t="s">
        <v>511</v>
      </c>
      <c r="Z627" s="150">
        <v>1.0</v>
      </c>
    </row>
    <row r="628">
      <c r="B628" s="33"/>
      <c r="C628" s="33"/>
      <c r="D628" s="156"/>
      <c r="F628" s="157"/>
      <c r="H628" s="90"/>
      <c r="W628" s="151" t="s">
        <v>147</v>
      </c>
      <c r="X628" s="150" t="s">
        <v>4134</v>
      </c>
      <c r="Y628" s="150" t="s">
        <v>4135</v>
      </c>
      <c r="Z628" s="150">
        <v>1.0</v>
      </c>
    </row>
    <row r="629">
      <c r="B629" s="33"/>
      <c r="C629" s="33"/>
      <c r="D629" s="156"/>
      <c r="F629" s="157"/>
      <c r="H629" s="90"/>
      <c r="W629" s="151" t="s">
        <v>147</v>
      </c>
      <c r="X629" s="150" t="s">
        <v>4136</v>
      </c>
      <c r="Y629" s="150" t="s">
        <v>4137</v>
      </c>
      <c r="Z629" s="150">
        <v>1.0</v>
      </c>
    </row>
    <row r="630">
      <c r="B630" s="33"/>
      <c r="C630" s="33"/>
      <c r="D630" s="156"/>
      <c r="F630" s="157"/>
      <c r="H630" s="90"/>
      <c r="W630" s="151" t="s">
        <v>147</v>
      </c>
      <c r="X630" s="150" t="s">
        <v>4138</v>
      </c>
      <c r="Y630" s="150" t="s">
        <v>4139</v>
      </c>
      <c r="Z630" s="150">
        <v>1.0</v>
      </c>
    </row>
    <row r="631">
      <c r="B631" s="33"/>
      <c r="C631" s="33"/>
      <c r="D631" s="156"/>
      <c r="F631" s="157"/>
      <c r="H631" s="90"/>
      <c r="W631" s="151" t="s">
        <v>147</v>
      </c>
      <c r="X631" s="150" t="s">
        <v>4138</v>
      </c>
      <c r="Y631" s="150" t="s">
        <v>4140</v>
      </c>
      <c r="Z631" s="150">
        <v>1.0</v>
      </c>
    </row>
    <row r="632">
      <c r="B632" s="33"/>
      <c r="C632" s="33"/>
      <c r="D632" s="156"/>
      <c r="F632" s="157"/>
      <c r="H632" s="90"/>
      <c r="W632" s="151" t="s">
        <v>125</v>
      </c>
      <c r="X632" s="150" t="s">
        <v>4141</v>
      </c>
      <c r="Y632" s="150" t="s">
        <v>4142</v>
      </c>
      <c r="Z632" s="150">
        <v>1.0</v>
      </c>
    </row>
    <row r="633">
      <c r="B633" s="33"/>
      <c r="C633" s="33"/>
      <c r="D633" s="156"/>
      <c r="F633" s="157"/>
      <c r="H633" s="90"/>
      <c r="W633" s="151" t="s">
        <v>147</v>
      </c>
      <c r="X633" s="150" t="s">
        <v>4143</v>
      </c>
      <c r="Y633" s="150" t="s">
        <v>4144</v>
      </c>
      <c r="Z633" s="150">
        <v>1.0</v>
      </c>
    </row>
    <row r="634">
      <c r="B634" s="33"/>
      <c r="C634" s="33"/>
      <c r="D634" s="156"/>
      <c r="F634" s="157"/>
      <c r="H634" s="90"/>
      <c r="W634" s="151" t="s">
        <v>147</v>
      </c>
      <c r="X634" s="150" t="s">
        <v>4145</v>
      </c>
      <c r="Y634" s="150" t="s">
        <v>874</v>
      </c>
      <c r="Z634" s="150">
        <v>1.0</v>
      </c>
    </row>
    <row r="635">
      <c r="B635" s="33"/>
      <c r="C635" s="33"/>
      <c r="D635" s="156"/>
      <c r="F635" s="157"/>
      <c r="H635" s="90"/>
      <c r="W635" s="151" t="s">
        <v>84</v>
      </c>
      <c r="X635" s="150" t="s">
        <v>2344</v>
      </c>
      <c r="Y635" s="150" t="s">
        <v>767</v>
      </c>
      <c r="Z635" s="150">
        <v>15.0</v>
      </c>
    </row>
    <row r="636">
      <c r="B636" s="33"/>
      <c r="C636" s="33"/>
      <c r="D636" s="156"/>
      <c r="F636" s="157"/>
      <c r="H636" s="90"/>
      <c r="W636" s="151" t="s">
        <v>84</v>
      </c>
      <c r="X636" s="150" t="s">
        <v>2344</v>
      </c>
      <c r="Y636" s="150" t="s">
        <v>767</v>
      </c>
      <c r="Z636" s="150">
        <v>1.0</v>
      </c>
    </row>
    <row r="637">
      <c r="B637" s="33"/>
      <c r="C637" s="33"/>
      <c r="D637" s="156"/>
      <c r="F637" s="157"/>
      <c r="H637" s="90"/>
      <c r="W637" s="151" t="s">
        <v>37</v>
      </c>
      <c r="X637" s="150" t="s">
        <v>1416</v>
      </c>
      <c r="Y637" s="150" t="s">
        <v>557</v>
      </c>
      <c r="Z637" s="150">
        <v>4.0</v>
      </c>
    </row>
    <row r="638">
      <c r="B638" s="33"/>
      <c r="C638" s="33"/>
      <c r="D638" s="156"/>
      <c r="F638" s="157"/>
      <c r="H638" s="90"/>
      <c r="W638" s="151" t="s">
        <v>37</v>
      </c>
      <c r="X638" s="150" t="s">
        <v>1416</v>
      </c>
      <c r="Y638" s="150" t="s">
        <v>536</v>
      </c>
      <c r="Z638" s="150">
        <v>49.0</v>
      </c>
    </row>
    <row r="639">
      <c r="B639" s="33"/>
      <c r="C639" s="33"/>
      <c r="D639" s="156"/>
      <c r="F639" s="157"/>
      <c r="H639" s="90"/>
      <c r="W639" s="149" t="s">
        <v>504</v>
      </c>
      <c r="X639" s="150" t="s">
        <v>1416</v>
      </c>
      <c r="Y639" s="150" t="s">
        <v>557</v>
      </c>
      <c r="Z639" s="150">
        <v>13.0</v>
      </c>
    </row>
    <row r="640">
      <c r="B640" s="33"/>
      <c r="C640" s="33"/>
      <c r="D640" s="156"/>
      <c r="F640" s="157"/>
      <c r="H640" s="90"/>
      <c r="W640" s="149" t="s">
        <v>504</v>
      </c>
      <c r="X640" s="150" t="s">
        <v>1416</v>
      </c>
      <c r="Y640" s="150" t="s">
        <v>536</v>
      </c>
      <c r="Z640" s="150">
        <v>47.0</v>
      </c>
    </row>
    <row r="641">
      <c r="B641" s="33"/>
      <c r="C641" s="33"/>
      <c r="D641" s="156"/>
      <c r="F641" s="157"/>
      <c r="H641" s="90"/>
      <c r="W641" s="151" t="s">
        <v>53</v>
      </c>
      <c r="X641" s="150" t="s">
        <v>933</v>
      </c>
      <c r="Y641" s="150" t="s">
        <v>1224</v>
      </c>
      <c r="Z641" s="150">
        <v>1.0</v>
      </c>
    </row>
    <row r="642">
      <c r="B642" s="33"/>
      <c r="C642" s="33"/>
      <c r="D642" s="156"/>
      <c r="F642" s="157"/>
      <c r="H642" s="90"/>
      <c r="W642" s="149" t="s">
        <v>504</v>
      </c>
      <c r="X642" s="150" t="s">
        <v>1153</v>
      </c>
      <c r="Y642" s="150" t="s">
        <v>698</v>
      </c>
      <c r="Z642" s="150">
        <v>1.0</v>
      </c>
    </row>
    <row r="643">
      <c r="B643" s="33"/>
      <c r="C643" s="33"/>
      <c r="D643" s="156"/>
      <c r="F643" s="157"/>
      <c r="H643" s="90"/>
      <c r="W643" s="151" t="s">
        <v>78</v>
      </c>
      <c r="X643" s="150" t="s">
        <v>1153</v>
      </c>
      <c r="Y643" s="150" t="s">
        <v>884</v>
      </c>
      <c r="Z643" s="150">
        <v>1.0</v>
      </c>
    </row>
    <row r="644">
      <c r="B644" s="33"/>
      <c r="C644" s="33"/>
      <c r="D644" s="156"/>
      <c r="F644" s="157"/>
      <c r="H644" s="90"/>
      <c r="W644" s="151" t="s">
        <v>78</v>
      </c>
      <c r="X644" s="150" t="s">
        <v>1153</v>
      </c>
      <c r="Y644" s="150" t="s">
        <v>690</v>
      </c>
      <c r="Z644" s="150">
        <v>1.0</v>
      </c>
    </row>
    <row r="645">
      <c r="B645" s="33"/>
      <c r="C645" s="33"/>
      <c r="D645" s="156"/>
      <c r="F645" s="157"/>
      <c r="H645" s="90"/>
      <c r="W645" s="151" t="s">
        <v>78</v>
      </c>
      <c r="X645" s="150" t="s">
        <v>1153</v>
      </c>
      <c r="Y645" s="150" t="s">
        <v>818</v>
      </c>
      <c r="Z645" s="150">
        <v>1.0</v>
      </c>
    </row>
    <row r="646">
      <c r="B646" s="33"/>
      <c r="C646" s="33"/>
      <c r="D646" s="156"/>
      <c r="F646" s="157"/>
      <c r="H646" s="90"/>
      <c r="W646" s="151" t="s">
        <v>78</v>
      </c>
      <c r="X646" s="150" t="s">
        <v>1153</v>
      </c>
      <c r="Y646" s="150" t="s">
        <v>695</v>
      </c>
      <c r="Z646" s="150">
        <v>3.0</v>
      </c>
    </row>
    <row r="647">
      <c r="B647" s="33"/>
      <c r="C647" s="33"/>
      <c r="D647" s="156"/>
      <c r="F647" s="157"/>
      <c r="H647" s="90"/>
      <c r="W647" s="151" t="s">
        <v>78</v>
      </c>
      <c r="X647" s="150" t="s">
        <v>1153</v>
      </c>
      <c r="Y647" s="150" t="s">
        <v>698</v>
      </c>
      <c r="Z647" s="150">
        <v>11.0</v>
      </c>
    </row>
    <row r="648">
      <c r="B648" s="33"/>
      <c r="C648" s="33"/>
      <c r="D648" s="156"/>
      <c r="F648" s="157"/>
      <c r="H648" s="90"/>
      <c r="W648" s="151" t="s">
        <v>78</v>
      </c>
      <c r="X648" s="150" t="s">
        <v>1153</v>
      </c>
      <c r="Y648" s="150" t="s">
        <v>970</v>
      </c>
      <c r="Z648" s="150">
        <v>4.0</v>
      </c>
    </row>
    <row r="649">
      <c r="B649" s="33"/>
      <c r="C649" s="33"/>
      <c r="D649" s="156"/>
      <c r="F649" s="157"/>
      <c r="H649" s="90"/>
      <c r="W649" s="151" t="s">
        <v>78</v>
      </c>
      <c r="X649" s="150" t="s">
        <v>1153</v>
      </c>
      <c r="Y649" s="150" t="s">
        <v>839</v>
      </c>
      <c r="Z649" s="150">
        <v>5.0</v>
      </c>
    </row>
    <row r="650">
      <c r="B650" s="33"/>
      <c r="C650" s="33"/>
      <c r="D650" s="156"/>
      <c r="F650" s="157"/>
      <c r="H650" s="90"/>
      <c r="W650" s="151" t="s">
        <v>78</v>
      </c>
      <c r="X650" s="150" t="s">
        <v>1153</v>
      </c>
      <c r="Y650" s="150" t="s">
        <v>819</v>
      </c>
      <c r="Z650" s="150">
        <v>7.0</v>
      </c>
    </row>
    <row r="651">
      <c r="B651" s="33"/>
      <c r="C651" s="33"/>
      <c r="D651" s="156"/>
      <c r="F651" s="157"/>
      <c r="H651" s="90"/>
      <c r="W651" s="151" t="s">
        <v>78</v>
      </c>
      <c r="X651" s="150" t="s">
        <v>1153</v>
      </c>
      <c r="Y651" s="150" t="s">
        <v>654</v>
      </c>
      <c r="Z651" s="150">
        <v>2.0</v>
      </c>
    </row>
    <row r="652">
      <c r="B652" s="33"/>
      <c r="C652" s="33"/>
      <c r="D652" s="156"/>
      <c r="F652" s="157"/>
      <c r="H652" s="90"/>
      <c r="W652" s="151" t="s">
        <v>78</v>
      </c>
      <c r="X652" s="150" t="s">
        <v>4146</v>
      </c>
      <c r="Y652" s="150" t="s">
        <v>4147</v>
      </c>
      <c r="Z652" s="150">
        <v>1.0</v>
      </c>
    </row>
    <row r="653">
      <c r="B653" s="33"/>
      <c r="C653" s="33"/>
      <c r="D653" s="156"/>
      <c r="F653" s="157"/>
      <c r="H653" s="90"/>
      <c r="W653" s="151" t="s">
        <v>147</v>
      </c>
      <c r="X653" s="150" t="s">
        <v>524</v>
      </c>
      <c r="Y653" s="150" t="s">
        <v>1575</v>
      </c>
      <c r="Z653" s="150">
        <v>1.0</v>
      </c>
    </row>
    <row r="654">
      <c r="B654" s="33"/>
      <c r="C654" s="33"/>
      <c r="D654" s="156"/>
      <c r="F654" s="157"/>
      <c r="H654" s="90"/>
      <c r="W654" s="151" t="s">
        <v>102</v>
      </c>
      <c r="X654" s="150" t="s">
        <v>1381</v>
      </c>
      <c r="Y654" s="150" t="s">
        <v>786</v>
      </c>
      <c r="Z654" s="150">
        <v>4.0</v>
      </c>
    </row>
    <row r="655">
      <c r="B655" s="33"/>
      <c r="C655" s="33"/>
      <c r="D655" s="156"/>
      <c r="F655" s="157"/>
      <c r="H655" s="90"/>
      <c r="W655" s="149" t="s">
        <v>504</v>
      </c>
      <c r="X655" s="150" t="s">
        <v>1381</v>
      </c>
      <c r="Y655" s="150" t="s">
        <v>665</v>
      </c>
      <c r="Z655" s="150">
        <v>1.0</v>
      </c>
    </row>
    <row r="656">
      <c r="B656" s="33"/>
      <c r="C656" s="33"/>
      <c r="D656" s="156"/>
      <c r="F656" s="157"/>
      <c r="H656" s="90"/>
      <c r="W656" s="151" t="s">
        <v>102</v>
      </c>
      <c r="X656" s="150" t="s">
        <v>1381</v>
      </c>
      <c r="Y656" s="150" t="s">
        <v>1003</v>
      </c>
      <c r="Z656" s="150">
        <v>35.0</v>
      </c>
    </row>
    <row r="657">
      <c r="B657" s="33"/>
      <c r="C657" s="33"/>
      <c r="D657" s="156"/>
      <c r="F657" s="157"/>
      <c r="H657" s="90"/>
      <c r="W657" s="149" t="s">
        <v>504</v>
      </c>
      <c r="X657" s="150" t="s">
        <v>1381</v>
      </c>
      <c r="Y657" s="150" t="s">
        <v>652</v>
      </c>
      <c r="Z657" s="150">
        <v>2.0</v>
      </c>
    </row>
    <row r="658">
      <c r="B658" s="33"/>
      <c r="C658" s="33"/>
      <c r="D658" s="156"/>
      <c r="F658" s="157"/>
      <c r="H658" s="90"/>
      <c r="W658" s="151" t="s">
        <v>102</v>
      </c>
      <c r="X658" s="150" t="s">
        <v>1381</v>
      </c>
      <c r="Y658" s="150" t="s">
        <v>871</v>
      </c>
      <c r="Z658" s="150">
        <v>1.0</v>
      </c>
    </row>
    <row r="659">
      <c r="B659" s="33"/>
      <c r="C659" s="33"/>
      <c r="D659" s="156"/>
      <c r="F659" s="157"/>
      <c r="H659" s="90"/>
      <c r="W659" s="149" t="s">
        <v>504</v>
      </c>
      <c r="X659" s="150" t="s">
        <v>1381</v>
      </c>
      <c r="Y659" s="150" t="s">
        <v>1003</v>
      </c>
      <c r="Z659" s="150">
        <v>2.0</v>
      </c>
    </row>
    <row r="660">
      <c r="B660" s="33"/>
      <c r="C660" s="33"/>
      <c r="D660" s="156"/>
      <c r="F660" s="157"/>
      <c r="H660" s="90"/>
      <c r="W660" s="151" t="s">
        <v>102</v>
      </c>
      <c r="X660" s="150" t="s">
        <v>1381</v>
      </c>
      <c r="Y660" s="150" t="s">
        <v>939</v>
      </c>
      <c r="Z660" s="150">
        <v>5.0</v>
      </c>
    </row>
    <row r="661">
      <c r="B661" s="33"/>
      <c r="C661" s="33"/>
      <c r="D661" s="156"/>
      <c r="F661" s="157"/>
      <c r="H661" s="90"/>
      <c r="W661" s="151" t="s">
        <v>102</v>
      </c>
      <c r="X661" s="150" t="s">
        <v>1381</v>
      </c>
      <c r="Y661" s="150" t="s">
        <v>964</v>
      </c>
      <c r="Z661" s="150">
        <v>35.0</v>
      </c>
    </row>
    <row r="662">
      <c r="B662" s="33"/>
      <c r="C662" s="33"/>
      <c r="D662" s="156"/>
      <c r="F662" s="157"/>
      <c r="H662" s="90"/>
      <c r="W662" s="149" t="s">
        <v>504</v>
      </c>
      <c r="X662" s="150" t="s">
        <v>1381</v>
      </c>
      <c r="Y662" s="150" t="s">
        <v>871</v>
      </c>
      <c r="Z662" s="150">
        <v>2.0</v>
      </c>
    </row>
    <row r="663">
      <c r="B663" s="33"/>
      <c r="C663" s="33"/>
      <c r="D663" s="156"/>
      <c r="F663" s="157"/>
      <c r="H663" s="90"/>
      <c r="W663" s="149" t="s">
        <v>504</v>
      </c>
      <c r="X663" s="150" t="s">
        <v>1381</v>
      </c>
      <c r="Y663" s="150" t="s">
        <v>620</v>
      </c>
      <c r="Z663" s="150">
        <v>2.0</v>
      </c>
    </row>
    <row r="664">
      <c r="B664" s="33"/>
      <c r="C664" s="33"/>
      <c r="D664" s="156"/>
      <c r="F664" s="157"/>
      <c r="H664" s="90"/>
      <c r="W664" s="149" t="s">
        <v>504</v>
      </c>
      <c r="X664" s="150" t="s">
        <v>1381</v>
      </c>
      <c r="Y664" s="150" t="s">
        <v>892</v>
      </c>
      <c r="Z664" s="150">
        <v>4.0</v>
      </c>
    </row>
    <row r="665">
      <c r="B665" s="33"/>
      <c r="C665" s="33"/>
      <c r="D665" s="156"/>
      <c r="F665" s="157"/>
      <c r="H665" s="90"/>
      <c r="W665" s="151" t="s">
        <v>102</v>
      </c>
      <c r="X665" s="150" t="s">
        <v>1381</v>
      </c>
      <c r="Y665" s="150" t="s">
        <v>613</v>
      </c>
      <c r="Z665" s="150">
        <v>8.0</v>
      </c>
    </row>
    <row r="666">
      <c r="B666" s="33"/>
      <c r="C666" s="33"/>
      <c r="D666" s="156"/>
      <c r="F666" s="157"/>
      <c r="H666" s="90"/>
      <c r="W666" s="151" t="s">
        <v>102</v>
      </c>
      <c r="X666" s="150" t="s">
        <v>1381</v>
      </c>
      <c r="Y666" s="150" t="s">
        <v>892</v>
      </c>
      <c r="Z666" s="150">
        <v>29.0</v>
      </c>
    </row>
    <row r="667">
      <c r="B667" s="33"/>
      <c r="C667" s="33"/>
      <c r="D667" s="156"/>
      <c r="F667" s="157"/>
      <c r="H667" s="90"/>
      <c r="W667" s="151" t="s">
        <v>102</v>
      </c>
      <c r="X667" s="150" t="s">
        <v>1381</v>
      </c>
      <c r="Y667" s="150" t="s">
        <v>665</v>
      </c>
      <c r="Z667" s="150">
        <v>11.0</v>
      </c>
    </row>
    <row r="668">
      <c r="B668" s="33"/>
      <c r="C668" s="33"/>
      <c r="D668" s="156"/>
      <c r="F668" s="157"/>
      <c r="H668" s="90"/>
      <c r="W668" s="151" t="s">
        <v>102</v>
      </c>
      <c r="X668" s="150" t="s">
        <v>1381</v>
      </c>
      <c r="Y668" s="150" t="s">
        <v>4148</v>
      </c>
      <c r="Z668" s="150">
        <v>1.0</v>
      </c>
    </row>
    <row r="669">
      <c r="B669" s="33"/>
      <c r="C669" s="33"/>
      <c r="D669" s="156"/>
      <c r="F669" s="157"/>
      <c r="H669" s="90"/>
      <c r="W669" s="151" t="s">
        <v>102</v>
      </c>
      <c r="X669" s="150" t="s">
        <v>1381</v>
      </c>
      <c r="Y669" s="150" t="s">
        <v>620</v>
      </c>
      <c r="Z669" s="150">
        <v>22.0</v>
      </c>
    </row>
    <row r="670">
      <c r="B670" s="33"/>
      <c r="C670" s="33"/>
      <c r="D670" s="156"/>
      <c r="F670" s="157"/>
      <c r="H670" s="90"/>
      <c r="W670" s="151" t="s">
        <v>102</v>
      </c>
      <c r="X670" s="150" t="s">
        <v>1381</v>
      </c>
      <c r="Y670" s="150" t="s">
        <v>652</v>
      </c>
      <c r="Z670" s="150">
        <v>21.0</v>
      </c>
    </row>
    <row r="671">
      <c r="B671" s="33"/>
      <c r="C671" s="33"/>
      <c r="D671" s="156"/>
      <c r="F671" s="157"/>
      <c r="H671" s="90"/>
      <c r="W671" s="149" t="s">
        <v>504</v>
      </c>
      <c r="X671" s="150" t="s">
        <v>1381</v>
      </c>
      <c r="Y671" s="150" t="s">
        <v>964</v>
      </c>
      <c r="Z671" s="150">
        <v>1.0</v>
      </c>
    </row>
    <row r="672">
      <c r="B672" s="33"/>
      <c r="C672" s="33"/>
      <c r="D672" s="156"/>
      <c r="F672" s="157"/>
      <c r="H672" s="90"/>
      <c r="W672" s="151" t="s">
        <v>102</v>
      </c>
      <c r="X672" s="150" t="s">
        <v>1381</v>
      </c>
      <c r="Y672" s="150" t="s">
        <v>793</v>
      </c>
      <c r="Z672" s="150">
        <v>23.0</v>
      </c>
    </row>
    <row r="673">
      <c r="B673" s="33"/>
      <c r="C673" s="33"/>
      <c r="D673" s="156"/>
      <c r="F673" s="157"/>
      <c r="H673" s="90"/>
      <c r="W673" s="151" t="s">
        <v>102</v>
      </c>
      <c r="X673" s="150" t="s">
        <v>1381</v>
      </c>
      <c r="Y673" s="150" t="s">
        <v>846</v>
      </c>
      <c r="Z673" s="150">
        <v>9.0</v>
      </c>
    </row>
    <row r="674">
      <c r="B674" s="33"/>
      <c r="C674" s="33"/>
      <c r="D674" s="156"/>
      <c r="F674" s="157"/>
      <c r="H674" s="90"/>
      <c r="W674" s="151" t="s">
        <v>78</v>
      </c>
      <c r="X674" s="150" t="s">
        <v>1381</v>
      </c>
      <c r="Y674" s="150" t="s">
        <v>1003</v>
      </c>
      <c r="Z674" s="150">
        <v>1.0</v>
      </c>
    </row>
    <row r="675">
      <c r="B675" s="33"/>
      <c r="C675" s="33"/>
      <c r="D675" s="156"/>
      <c r="F675" s="157"/>
      <c r="H675" s="90"/>
      <c r="W675" s="151" t="s">
        <v>96</v>
      </c>
      <c r="X675" s="150" t="s">
        <v>1381</v>
      </c>
      <c r="Y675" s="150" t="s">
        <v>793</v>
      </c>
      <c r="Z675" s="150">
        <v>1.0</v>
      </c>
    </row>
    <row r="676">
      <c r="B676" s="33"/>
      <c r="C676" s="33"/>
      <c r="D676" s="156"/>
      <c r="F676" s="157"/>
      <c r="H676" s="90"/>
      <c r="W676" s="151" t="s">
        <v>169</v>
      </c>
      <c r="X676" s="150" t="s">
        <v>4149</v>
      </c>
      <c r="Y676" s="150" t="s">
        <v>4150</v>
      </c>
      <c r="Z676" s="150">
        <v>1.0</v>
      </c>
    </row>
    <row r="677">
      <c r="B677" s="33"/>
      <c r="C677" s="33"/>
      <c r="D677" s="156"/>
      <c r="F677" s="157"/>
      <c r="H677" s="90"/>
      <c r="W677" s="151" t="s">
        <v>102</v>
      </c>
      <c r="X677" s="150" t="s">
        <v>4151</v>
      </c>
      <c r="Y677" s="150" t="s">
        <v>4152</v>
      </c>
      <c r="Z677" s="150">
        <v>1.0</v>
      </c>
    </row>
    <row r="678">
      <c r="B678" s="33"/>
      <c r="C678" s="33"/>
      <c r="D678" s="156"/>
      <c r="F678" s="157"/>
      <c r="H678" s="90"/>
      <c r="W678" s="151" t="s">
        <v>102</v>
      </c>
      <c r="X678" s="150" t="s">
        <v>4153</v>
      </c>
      <c r="Y678" s="150" t="s">
        <v>4154</v>
      </c>
      <c r="Z678" s="150">
        <v>1.0</v>
      </c>
    </row>
    <row r="679">
      <c r="B679" s="33"/>
      <c r="C679" s="33"/>
      <c r="D679" s="156"/>
      <c r="F679" s="157"/>
      <c r="H679" s="90"/>
      <c r="W679" s="151" t="s">
        <v>102</v>
      </c>
      <c r="X679" s="150" t="s">
        <v>4155</v>
      </c>
      <c r="Y679" s="150" t="s">
        <v>4156</v>
      </c>
      <c r="Z679" s="150">
        <v>1.0</v>
      </c>
    </row>
    <row r="680">
      <c r="B680" s="33"/>
      <c r="C680" s="33"/>
      <c r="D680" s="156"/>
      <c r="F680" s="157"/>
      <c r="H680" s="90"/>
      <c r="W680" s="151" t="s">
        <v>147</v>
      </c>
      <c r="X680" s="150" t="s">
        <v>1575</v>
      </c>
      <c r="Y680" s="150" t="s">
        <v>550</v>
      </c>
      <c r="Z680" s="150">
        <v>34.0</v>
      </c>
    </row>
    <row r="681">
      <c r="B681" s="33"/>
      <c r="C681" s="33"/>
      <c r="D681" s="156"/>
      <c r="F681" s="157"/>
      <c r="H681" s="90"/>
      <c r="W681" s="149" t="s">
        <v>504</v>
      </c>
      <c r="X681" s="150" t="s">
        <v>1575</v>
      </c>
      <c r="Y681" s="150" t="s">
        <v>797</v>
      </c>
      <c r="Z681" s="150">
        <v>1.0</v>
      </c>
    </row>
    <row r="682">
      <c r="B682" s="33"/>
      <c r="C682" s="33"/>
      <c r="D682" s="156"/>
      <c r="F682" s="157"/>
      <c r="H682" s="90"/>
      <c r="W682" s="149" t="s">
        <v>504</v>
      </c>
      <c r="X682" s="150" t="s">
        <v>1575</v>
      </c>
      <c r="Y682" s="150" t="s">
        <v>550</v>
      </c>
      <c r="Z682" s="150">
        <v>1.0</v>
      </c>
    </row>
    <row r="683">
      <c r="B683" s="33"/>
      <c r="C683" s="33"/>
      <c r="D683" s="156"/>
      <c r="F683" s="157"/>
      <c r="H683" s="90"/>
      <c r="W683" s="151" t="s">
        <v>147</v>
      </c>
      <c r="X683" s="150" t="s">
        <v>1575</v>
      </c>
      <c r="Y683" s="150" t="s">
        <v>656</v>
      </c>
      <c r="Z683" s="150">
        <v>17.0</v>
      </c>
    </row>
    <row r="684">
      <c r="B684" s="33"/>
      <c r="C684" s="33"/>
      <c r="D684" s="156"/>
      <c r="F684" s="157"/>
      <c r="H684" s="90"/>
      <c r="W684" s="151" t="s">
        <v>147</v>
      </c>
      <c r="X684" s="150" t="s">
        <v>1575</v>
      </c>
      <c r="Y684" s="150" t="s">
        <v>524</v>
      </c>
      <c r="Z684" s="150">
        <v>137.0</v>
      </c>
    </row>
    <row r="685">
      <c r="B685" s="33"/>
      <c r="C685" s="33"/>
      <c r="D685" s="156"/>
      <c r="F685" s="157"/>
      <c r="H685" s="90"/>
      <c r="W685" s="149" t="s">
        <v>504</v>
      </c>
      <c r="X685" s="150" t="s">
        <v>1575</v>
      </c>
      <c r="Y685" s="150" t="s">
        <v>524</v>
      </c>
      <c r="Z685" s="150">
        <v>4.0</v>
      </c>
    </row>
    <row r="686">
      <c r="B686" s="33"/>
      <c r="C686" s="33"/>
      <c r="D686" s="156"/>
      <c r="F686" s="157"/>
      <c r="H686" s="90"/>
      <c r="W686" s="151" t="s">
        <v>147</v>
      </c>
      <c r="X686" s="150" t="s">
        <v>1575</v>
      </c>
      <c r="Y686" s="150" t="s">
        <v>797</v>
      </c>
      <c r="Z686" s="150">
        <v>35.0</v>
      </c>
    </row>
    <row r="687">
      <c r="B687" s="33"/>
      <c r="C687" s="33"/>
      <c r="D687" s="156"/>
      <c r="F687" s="157"/>
      <c r="H687" s="90"/>
      <c r="W687" s="151" t="s">
        <v>147</v>
      </c>
      <c r="X687" s="150" t="s">
        <v>4157</v>
      </c>
      <c r="Y687" s="150" t="s">
        <v>4158</v>
      </c>
      <c r="Z687" s="150">
        <v>1.0</v>
      </c>
    </row>
    <row r="688">
      <c r="B688" s="33"/>
      <c r="C688" s="33"/>
      <c r="D688" s="156"/>
      <c r="F688" s="157"/>
      <c r="H688" s="90"/>
      <c r="W688" s="151" t="s">
        <v>147</v>
      </c>
      <c r="X688" s="150" t="s">
        <v>4159</v>
      </c>
      <c r="Y688" s="150" t="s">
        <v>4160</v>
      </c>
      <c r="Z688" s="150">
        <v>2.0</v>
      </c>
    </row>
    <row r="689">
      <c r="B689" s="33"/>
      <c r="C689" s="33"/>
      <c r="D689" s="156"/>
      <c r="F689" s="157"/>
      <c r="H689" s="90"/>
      <c r="W689" s="151" t="s">
        <v>102</v>
      </c>
      <c r="X689" s="150" t="s">
        <v>1278</v>
      </c>
      <c r="Y689" s="150" t="s">
        <v>808</v>
      </c>
      <c r="Z689" s="150">
        <v>2.0</v>
      </c>
    </row>
    <row r="690">
      <c r="B690" s="33"/>
      <c r="C690" s="33"/>
      <c r="D690" s="156"/>
      <c r="F690" s="157"/>
      <c r="H690" s="90"/>
      <c r="W690" s="151" t="s">
        <v>102</v>
      </c>
      <c r="X690" s="150" t="s">
        <v>1278</v>
      </c>
      <c r="Y690" s="150" t="s">
        <v>701</v>
      </c>
      <c r="Z690" s="150">
        <v>2.0</v>
      </c>
    </row>
    <row r="691">
      <c r="B691" s="33"/>
      <c r="C691" s="33"/>
      <c r="D691" s="156"/>
      <c r="F691" s="157"/>
      <c r="H691" s="90"/>
      <c r="W691" s="151" t="s">
        <v>57</v>
      </c>
      <c r="X691" s="150" t="s">
        <v>1122</v>
      </c>
      <c r="Y691" s="150" t="s">
        <v>1004</v>
      </c>
      <c r="Z691" s="150">
        <v>34.0</v>
      </c>
    </row>
    <row r="692">
      <c r="B692" s="33"/>
      <c r="C692" s="33"/>
      <c r="D692" s="156"/>
      <c r="F692" s="157"/>
      <c r="H692" s="90"/>
      <c r="W692" s="149" t="s">
        <v>504</v>
      </c>
      <c r="X692" s="150" t="s">
        <v>1122</v>
      </c>
      <c r="Y692" s="150" t="s">
        <v>633</v>
      </c>
      <c r="Z692" s="150">
        <v>1.0</v>
      </c>
    </row>
    <row r="693">
      <c r="B693" s="33"/>
      <c r="C693" s="33"/>
      <c r="D693" s="156"/>
      <c r="F693" s="157"/>
      <c r="H693" s="90"/>
      <c r="W693" s="151" t="s">
        <v>57</v>
      </c>
      <c r="X693" s="150" t="s">
        <v>1122</v>
      </c>
      <c r="Y693" s="150" t="s">
        <v>1124</v>
      </c>
      <c r="Z693" s="150">
        <v>1.0</v>
      </c>
    </row>
    <row r="694">
      <c r="B694" s="33"/>
      <c r="C694" s="33"/>
      <c r="D694" s="156"/>
      <c r="F694" s="157"/>
      <c r="H694" s="90"/>
      <c r="W694" s="151" t="s">
        <v>57</v>
      </c>
      <c r="X694" s="150" t="s">
        <v>1122</v>
      </c>
      <c r="Y694" s="150" t="s">
        <v>972</v>
      </c>
      <c r="Z694" s="150">
        <v>13.0</v>
      </c>
    </row>
    <row r="695">
      <c r="B695" s="33"/>
      <c r="C695" s="33"/>
      <c r="D695" s="156"/>
      <c r="F695" s="157"/>
      <c r="H695" s="90"/>
      <c r="W695" s="149" t="s">
        <v>504</v>
      </c>
      <c r="X695" s="150" t="s">
        <v>1122</v>
      </c>
      <c r="Y695" s="150" t="s">
        <v>547</v>
      </c>
      <c r="Z695" s="150">
        <v>2.0</v>
      </c>
    </row>
    <row r="696">
      <c r="B696" s="33"/>
      <c r="C696" s="33"/>
      <c r="D696" s="156"/>
      <c r="F696" s="157"/>
      <c r="H696" s="90"/>
      <c r="W696" s="151" t="s">
        <v>57</v>
      </c>
      <c r="X696" s="150" t="s">
        <v>1122</v>
      </c>
      <c r="Y696" s="150" t="s">
        <v>582</v>
      </c>
      <c r="Z696" s="150">
        <v>24.0</v>
      </c>
    </row>
    <row r="697">
      <c r="B697" s="33"/>
      <c r="C697" s="33"/>
      <c r="D697" s="156"/>
      <c r="F697" s="157"/>
      <c r="H697" s="90"/>
      <c r="W697" s="151" t="s">
        <v>57</v>
      </c>
      <c r="X697" s="150" t="s">
        <v>1122</v>
      </c>
      <c r="Y697" s="150" t="s">
        <v>603</v>
      </c>
      <c r="Z697" s="150">
        <v>12.0</v>
      </c>
    </row>
    <row r="698">
      <c r="B698" s="33"/>
      <c r="C698" s="33"/>
      <c r="D698" s="156"/>
      <c r="F698" s="157"/>
      <c r="H698" s="90"/>
      <c r="W698" s="151" t="s">
        <v>57</v>
      </c>
      <c r="X698" s="150" t="s">
        <v>1122</v>
      </c>
      <c r="Y698" s="150" t="s">
        <v>789</v>
      </c>
      <c r="Z698" s="150">
        <v>3.0</v>
      </c>
    </row>
    <row r="699">
      <c r="B699" s="33"/>
      <c r="C699" s="33"/>
      <c r="D699" s="156"/>
      <c r="F699" s="157"/>
      <c r="H699" s="90"/>
      <c r="W699" s="151" t="s">
        <v>57</v>
      </c>
      <c r="X699" s="150" t="s">
        <v>1122</v>
      </c>
      <c r="Y699" s="150" t="s">
        <v>594</v>
      </c>
      <c r="Z699" s="150">
        <v>65.0</v>
      </c>
    </row>
    <row r="700">
      <c r="B700" s="33"/>
      <c r="C700" s="33"/>
      <c r="D700" s="156"/>
      <c r="F700" s="157"/>
      <c r="H700" s="90"/>
      <c r="W700" s="151" t="s">
        <v>57</v>
      </c>
      <c r="X700" s="150" t="s">
        <v>1122</v>
      </c>
      <c r="Y700" s="150" t="s">
        <v>798</v>
      </c>
      <c r="Z700" s="150">
        <v>10.0</v>
      </c>
    </row>
    <row r="701">
      <c r="B701" s="33"/>
      <c r="C701" s="33"/>
      <c r="D701" s="156"/>
      <c r="F701" s="157"/>
      <c r="H701" s="90"/>
      <c r="W701" s="151" t="s">
        <v>57</v>
      </c>
      <c r="X701" s="150" t="s">
        <v>1122</v>
      </c>
      <c r="Y701" s="150" t="s">
        <v>633</v>
      </c>
      <c r="Z701" s="150">
        <v>25.0</v>
      </c>
    </row>
    <row r="702">
      <c r="B702" s="33"/>
      <c r="C702" s="33"/>
      <c r="D702" s="156"/>
      <c r="F702" s="157"/>
      <c r="H702" s="90"/>
      <c r="W702" s="151" t="s">
        <v>57</v>
      </c>
      <c r="X702" s="150" t="s">
        <v>1122</v>
      </c>
      <c r="Y702" s="150" t="s">
        <v>758</v>
      </c>
      <c r="Z702" s="150">
        <v>4.0</v>
      </c>
    </row>
    <row r="703">
      <c r="B703" s="33"/>
      <c r="C703" s="33"/>
      <c r="D703" s="156"/>
      <c r="F703" s="157"/>
      <c r="H703" s="90"/>
      <c r="W703" s="151" t="s">
        <v>57</v>
      </c>
      <c r="X703" s="150" t="s">
        <v>1122</v>
      </c>
      <c r="Y703" s="150" t="s">
        <v>955</v>
      </c>
      <c r="Z703" s="150">
        <v>9.0</v>
      </c>
    </row>
    <row r="704">
      <c r="B704" s="33"/>
      <c r="C704" s="33"/>
      <c r="D704" s="156"/>
      <c r="F704" s="157"/>
      <c r="H704" s="90"/>
      <c r="W704" s="151" t="s">
        <v>57</v>
      </c>
      <c r="X704" s="150" t="s">
        <v>1122</v>
      </c>
      <c r="Y704" s="150" t="s">
        <v>547</v>
      </c>
      <c r="Z704" s="150">
        <v>122.0</v>
      </c>
    </row>
    <row r="705">
      <c r="B705" s="33"/>
      <c r="C705" s="33"/>
      <c r="D705" s="156"/>
      <c r="F705" s="157"/>
      <c r="H705" s="90"/>
      <c r="W705" s="151" t="s">
        <v>57</v>
      </c>
      <c r="X705" s="150" t="s">
        <v>4161</v>
      </c>
      <c r="Y705" s="150" t="s">
        <v>4162</v>
      </c>
      <c r="Z705" s="150">
        <v>1.0</v>
      </c>
    </row>
    <row r="706">
      <c r="B706" s="33"/>
      <c r="C706" s="33"/>
      <c r="D706" s="156"/>
      <c r="F706" s="157"/>
      <c r="H706" s="90"/>
      <c r="W706" s="151" t="s">
        <v>43</v>
      </c>
      <c r="X706" s="150" t="s">
        <v>1032</v>
      </c>
      <c r="Y706" s="150" t="s">
        <v>870</v>
      </c>
      <c r="Z706" s="150">
        <v>1.0</v>
      </c>
    </row>
    <row r="707">
      <c r="B707" s="33"/>
      <c r="C707" s="33"/>
      <c r="D707" s="156"/>
      <c r="F707" s="157"/>
      <c r="H707" s="90"/>
      <c r="W707" s="151" t="s">
        <v>43</v>
      </c>
      <c r="X707" s="150" t="s">
        <v>1032</v>
      </c>
      <c r="Y707" s="150" t="s">
        <v>759</v>
      </c>
      <c r="Z707" s="150">
        <v>7.0</v>
      </c>
    </row>
    <row r="708">
      <c r="B708" s="33"/>
      <c r="C708" s="33"/>
      <c r="D708" s="156"/>
      <c r="F708" s="157"/>
      <c r="H708" s="90"/>
      <c r="W708" s="151" t="s">
        <v>43</v>
      </c>
      <c r="X708" s="150" t="s">
        <v>1032</v>
      </c>
      <c r="Y708" s="150" t="s">
        <v>724</v>
      </c>
      <c r="Z708" s="150">
        <v>1.0</v>
      </c>
    </row>
    <row r="709">
      <c r="B709" s="33"/>
      <c r="C709" s="33"/>
      <c r="D709" s="156"/>
      <c r="F709" s="157"/>
      <c r="H709" s="90"/>
      <c r="W709" s="151" t="s">
        <v>43</v>
      </c>
      <c r="X709" s="150" t="s">
        <v>1036</v>
      </c>
      <c r="Y709" s="150" t="s">
        <v>711</v>
      </c>
      <c r="Z709" s="150">
        <v>1.0</v>
      </c>
    </row>
    <row r="710">
      <c r="B710" s="33"/>
      <c r="C710" s="33"/>
      <c r="D710" s="156"/>
      <c r="F710" s="157"/>
      <c r="H710" s="90"/>
      <c r="W710" s="151" t="s">
        <v>43</v>
      </c>
      <c r="X710" s="150" t="s">
        <v>1036</v>
      </c>
      <c r="Y710" s="150" t="s">
        <v>983</v>
      </c>
      <c r="Z710" s="150">
        <v>1.0</v>
      </c>
    </row>
    <row r="711">
      <c r="B711" s="33"/>
      <c r="C711" s="33"/>
      <c r="D711" s="156"/>
      <c r="F711" s="157"/>
      <c r="H711" s="90"/>
      <c r="W711" s="151" t="s">
        <v>43</v>
      </c>
      <c r="X711" s="150" t="s">
        <v>1036</v>
      </c>
      <c r="Y711" s="150" t="s">
        <v>626</v>
      </c>
      <c r="Z711" s="150">
        <v>18.0</v>
      </c>
    </row>
    <row r="712">
      <c r="B712" s="33"/>
      <c r="C712" s="33"/>
      <c r="D712" s="156"/>
      <c r="F712" s="157"/>
      <c r="H712" s="90"/>
      <c r="W712" s="151" t="s">
        <v>43</v>
      </c>
      <c r="X712" s="150" t="s">
        <v>1036</v>
      </c>
      <c r="Y712" s="150" t="s">
        <v>635</v>
      </c>
      <c r="Z712" s="150">
        <v>11.0</v>
      </c>
    </row>
    <row r="713">
      <c r="B713" s="33"/>
      <c r="C713" s="33"/>
      <c r="D713" s="156"/>
      <c r="F713" s="157"/>
      <c r="H713" s="90"/>
      <c r="W713" s="149" t="s">
        <v>504</v>
      </c>
      <c r="X713" s="150" t="s">
        <v>1036</v>
      </c>
      <c r="Y713" s="150" t="s">
        <v>626</v>
      </c>
      <c r="Z713" s="150">
        <v>1.0</v>
      </c>
    </row>
    <row r="714">
      <c r="B714" s="33"/>
      <c r="C714" s="33"/>
      <c r="D714" s="156"/>
      <c r="F714" s="157"/>
      <c r="H714" s="90"/>
      <c r="W714" s="151" t="s">
        <v>43</v>
      </c>
      <c r="X714" s="150" t="s">
        <v>1036</v>
      </c>
      <c r="Y714" s="150" t="s">
        <v>977</v>
      </c>
      <c r="Z714" s="150">
        <v>5.0</v>
      </c>
    </row>
    <row r="715">
      <c r="B715" s="33"/>
      <c r="C715" s="33"/>
      <c r="D715" s="156"/>
      <c r="F715" s="157"/>
      <c r="H715" s="90"/>
      <c r="W715" s="151" t="s">
        <v>102</v>
      </c>
      <c r="X715" s="150" t="s">
        <v>1186</v>
      </c>
      <c r="Y715" s="150" t="s">
        <v>887</v>
      </c>
      <c r="Z715" s="150">
        <v>4.0</v>
      </c>
    </row>
    <row r="716">
      <c r="B716" s="33"/>
      <c r="C716" s="33"/>
      <c r="D716" s="156"/>
      <c r="F716" s="157"/>
      <c r="H716" s="90"/>
      <c r="W716" s="151" t="s">
        <v>102</v>
      </c>
      <c r="X716" s="150" t="s">
        <v>1186</v>
      </c>
      <c r="Y716" s="150" t="s">
        <v>752</v>
      </c>
      <c r="Z716" s="150">
        <v>8.0</v>
      </c>
    </row>
    <row r="717">
      <c r="B717" s="33"/>
      <c r="C717" s="33"/>
      <c r="D717" s="156"/>
      <c r="F717" s="157"/>
      <c r="H717" s="90"/>
      <c r="W717" s="151" t="s">
        <v>102</v>
      </c>
      <c r="X717" s="150" t="s">
        <v>1186</v>
      </c>
      <c r="Y717" s="150" t="s">
        <v>914</v>
      </c>
      <c r="Z717" s="150">
        <v>2.0</v>
      </c>
    </row>
    <row r="718">
      <c r="B718" s="33"/>
      <c r="C718" s="33"/>
      <c r="D718" s="156"/>
      <c r="F718" s="157"/>
      <c r="H718" s="90"/>
      <c r="W718" s="151" t="s">
        <v>102</v>
      </c>
      <c r="X718" s="150" t="s">
        <v>1186</v>
      </c>
      <c r="Y718" s="150" t="s">
        <v>912</v>
      </c>
      <c r="Z718" s="150">
        <v>1.0</v>
      </c>
    </row>
    <row r="719">
      <c r="B719" s="33"/>
      <c r="C719" s="33"/>
      <c r="D719" s="156"/>
      <c r="F719" s="157"/>
      <c r="H719" s="90"/>
      <c r="W719" s="151" t="s">
        <v>102</v>
      </c>
      <c r="X719" s="150" t="s">
        <v>1186</v>
      </c>
      <c r="Y719" s="150" t="s">
        <v>936</v>
      </c>
      <c r="Z719" s="150">
        <v>9.0</v>
      </c>
    </row>
    <row r="720">
      <c r="B720" s="33"/>
      <c r="C720" s="33"/>
      <c r="D720" s="156"/>
      <c r="F720" s="157"/>
      <c r="H720" s="90"/>
      <c r="W720" s="151" t="s">
        <v>102</v>
      </c>
      <c r="X720" s="150" t="s">
        <v>1186</v>
      </c>
      <c r="Y720" s="150" t="s">
        <v>814</v>
      </c>
      <c r="Z720" s="150">
        <v>4.0</v>
      </c>
    </row>
    <row r="721">
      <c r="B721" s="33"/>
      <c r="C721" s="33"/>
      <c r="D721" s="156"/>
      <c r="F721" s="157"/>
      <c r="H721" s="90"/>
      <c r="W721" s="151" t="s">
        <v>102</v>
      </c>
      <c r="X721" s="150" t="s">
        <v>1186</v>
      </c>
      <c r="Y721" s="150" t="s">
        <v>830</v>
      </c>
      <c r="Z721" s="150">
        <v>14.0</v>
      </c>
    </row>
    <row r="722">
      <c r="B722" s="33"/>
      <c r="C722" s="33"/>
      <c r="D722" s="156"/>
      <c r="F722" s="157"/>
      <c r="H722" s="90"/>
      <c r="W722" s="151" t="s">
        <v>102</v>
      </c>
      <c r="X722" s="150" t="s">
        <v>1186</v>
      </c>
      <c r="Y722" s="150" t="s">
        <v>676</v>
      </c>
      <c r="Z722" s="150">
        <v>12.0</v>
      </c>
    </row>
    <row r="723">
      <c r="B723" s="33"/>
      <c r="C723" s="33"/>
      <c r="D723" s="156"/>
      <c r="F723" s="157"/>
      <c r="H723" s="90"/>
      <c r="W723" s="151" t="s">
        <v>102</v>
      </c>
      <c r="X723" s="150" t="s">
        <v>1186</v>
      </c>
      <c r="Y723" s="150" t="s">
        <v>738</v>
      </c>
      <c r="Z723" s="150">
        <v>4.0</v>
      </c>
    </row>
    <row r="724">
      <c r="B724" s="33"/>
      <c r="C724" s="33"/>
      <c r="D724" s="156"/>
      <c r="F724" s="157"/>
      <c r="H724" s="90"/>
      <c r="W724" s="151" t="s">
        <v>159</v>
      </c>
      <c r="X724" s="150" t="s">
        <v>1427</v>
      </c>
      <c r="Y724" s="150" t="s">
        <v>769</v>
      </c>
      <c r="Z724" s="150">
        <v>8.0</v>
      </c>
    </row>
    <row r="725">
      <c r="B725" s="33"/>
      <c r="C725" s="33"/>
      <c r="D725" s="156"/>
      <c r="F725" s="157"/>
      <c r="H725" s="90"/>
      <c r="W725" s="151" t="s">
        <v>159</v>
      </c>
      <c r="X725" s="150" t="s">
        <v>1427</v>
      </c>
      <c r="Y725" s="150" t="s">
        <v>948</v>
      </c>
      <c r="Z725" s="150">
        <v>14.0</v>
      </c>
    </row>
    <row r="726">
      <c r="B726" s="33"/>
      <c r="C726" s="33"/>
      <c r="D726" s="156"/>
      <c r="F726" s="157"/>
      <c r="H726" s="90"/>
      <c r="W726" s="151" t="s">
        <v>159</v>
      </c>
      <c r="X726" s="150" t="s">
        <v>1427</v>
      </c>
      <c r="Y726" s="150" t="s">
        <v>570</v>
      </c>
      <c r="Z726" s="150">
        <v>93.0</v>
      </c>
    </row>
    <row r="727">
      <c r="B727" s="33"/>
      <c r="C727" s="33"/>
      <c r="D727" s="156"/>
      <c r="F727" s="157"/>
      <c r="H727" s="90"/>
      <c r="W727" s="151" t="s">
        <v>159</v>
      </c>
      <c r="X727" s="150" t="s">
        <v>1427</v>
      </c>
      <c r="Y727" s="150" t="s">
        <v>1009</v>
      </c>
      <c r="Z727" s="150">
        <v>5.0</v>
      </c>
    </row>
    <row r="728">
      <c r="B728" s="33"/>
      <c r="C728" s="33"/>
      <c r="D728" s="156"/>
      <c r="F728" s="157"/>
      <c r="H728" s="90"/>
      <c r="W728" s="151" t="s">
        <v>159</v>
      </c>
      <c r="X728" s="150" t="s">
        <v>1427</v>
      </c>
      <c r="Y728" s="150" t="s">
        <v>969</v>
      </c>
      <c r="Z728" s="150">
        <v>71.0</v>
      </c>
    </row>
    <row r="729">
      <c r="B729" s="33"/>
      <c r="C729" s="33"/>
      <c r="D729" s="156"/>
      <c r="F729" s="157"/>
      <c r="H729" s="90"/>
      <c r="W729" s="151" t="s">
        <v>108</v>
      </c>
      <c r="X729" s="150" t="s">
        <v>1447</v>
      </c>
      <c r="Y729" s="150" t="s">
        <v>627</v>
      </c>
      <c r="Z729" s="150">
        <v>6.0</v>
      </c>
    </row>
    <row r="730">
      <c r="B730" s="33"/>
      <c r="C730" s="33"/>
      <c r="D730" s="156"/>
      <c r="F730" s="157"/>
      <c r="H730" s="90"/>
      <c r="W730" s="151" t="s">
        <v>108</v>
      </c>
      <c r="X730" s="150" t="s">
        <v>1447</v>
      </c>
      <c r="Y730" s="150" t="s">
        <v>1005</v>
      </c>
      <c r="Z730" s="150">
        <v>10.0</v>
      </c>
    </row>
    <row r="731">
      <c r="B731" s="33"/>
      <c r="C731" s="33"/>
      <c r="D731" s="156"/>
      <c r="F731" s="157"/>
      <c r="H731" s="90"/>
      <c r="W731" s="151" t="s">
        <v>147</v>
      </c>
      <c r="X731" s="150" t="s">
        <v>1412</v>
      </c>
      <c r="Y731" s="150" t="s">
        <v>708</v>
      </c>
      <c r="Z731" s="150">
        <v>5.0</v>
      </c>
    </row>
    <row r="732">
      <c r="B732" s="33"/>
      <c r="C732" s="33"/>
      <c r="D732" s="156"/>
      <c r="F732" s="157"/>
      <c r="H732" s="90"/>
      <c r="W732" s="149" t="s">
        <v>504</v>
      </c>
      <c r="X732" s="150" t="s">
        <v>1412</v>
      </c>
      <c r="Y732" s="150" t="s">
        <v>953</v>
      </c>
      <c r="Z732" s="150">
        <v>1.0</v>
      </c>
    </row>
    <row r="733">
      <c r="B733" s="33"/>
      <c r="C733" s="33"/>
      <c r="D733" s="156"/>
      <c r="F733" s="157"/>
      <c r="H733" s="90"/>
      <c r="W733" s="151" t="s">
        <v>147</v>
      </c>
      <c r="X733" s="150" t="s">
        <v>1412</v>
      </c>
      <c r="Y733" s="150" t="s">
        <v>863</v>
      </c>
      <c r="Z733" s="150">
        <v>18.0</v>
      </c>
    </row>
    <row r="734">
      <c r="B734" s="33"/>
      <c r="C734" s="33"/>
      <c r="D734" s="156"/>
      <c r="F734" s="157"/>
      <c r="H734" s="90"/>
      <c r="W734" s="151" t="s">
        <v>147</v>
      </c>
      <c r="X734" s="150" t="s">
        <v>1412</v>
      </c>
      <c r="Y734" s="150" t="s">
        <v>986</v>
      </c>
      <c r="Z734" s="150">
        <v>8.0</v>
      </c>
    </row>
    <row r="735">
      <c r="B735" s="33"/>
      <c r="C735" s="33"/>
      <c r="D735" s="156"/>
      <c r="F735" s="157"/>
      <c r="H735" s="90"/>
      <c r="W735" s="151" t="s">
        <v>147</v>
      </c>
      <c r="X735" s="150" t="s">
        <v>1412</v>
      </c>
      <c r="Y735" s="150" t="s">
        <v>953</v>
      </c>
      <c r="Z735" s="150">
        <v>41.0</v>
      </c>
    </row>
    <row r="736">
      <c r="B736" s="33"/>
      <c r="C736" s="33"/>
      <c r="D736" s="156"/>
      <c r="F736" s="157"/>
      <c r="H736" s="90"/>
      <c r="W736" s="151" t="s">
        <v>1140</v>
      </c>
      <c r="X736" s="150" t="s">
        <v>125</v>
      </c>
      <c r="Y736" s="150" t="s">
        <v>598</v>
      </c>
      <c r="Z736" s="150">
        <v>1.0</v>
      </c>
    </row>
    <row r="737">
      <c r="B737" s="33"/>
      <c r="C737" s="33"/>
      <c r="D737" s="156"/>
      <c r="F737" s="157"/>
      <c r="H737" s="90"/>
      <c r="W737" s="151" t="s">
        <v>1140</v>
      </c>
      <c r="X737" s="150" t="s">
        <v>125</v>
      </c>
      <c r="Y737" s="150" t="s">
        <v>505</v>
      </c>
      <c r="Z737" s="150">
        <v>1.0</v>
      </c>
    </row>
    <row r="738">
      <c r="B738" s="33"/>
      <c r="C738" s="33"/>
      <c r="D738" s="156"/>
      <c r="F738" s="157"/>
      <c r="H738" s="90"/>
      <c r="W738" s="151" t="s">
        <v>125</v>
      </c>
      <c r="X738" s="150" t="s">
        <v>1224</v>
      </c>
      <c r="Y738" s="150" t="s">
        <v>806</v>
      </c>
      <c r="Z738" s="150">
        <v>2.0</v>
      </c>
    </row>
    <row r="739">
      <c r="B739" s="33"/>
      <c r="C739" s="33"/>
      <c r="D739" s="156"/>
      <c r="F739" s="157"/>
      <c r="H739" s="90"/>
      <c r="W739" s="151" t="s">
        <v>125</v>
      </c>
      <c r="X739" s="150" t="s">
        <v>1224</v>
      </c>
      <c r="Y739" s="150" t="s">
        <v>992</v>
      </c>
      <c r="Z739" s="150">
        <v>5.0</v>
      </c>
    </row>
    <row r="740">
      <c r="B740" s="33"/>
      <c r="C740" s="33"/>
      <c r="D740" s="156"/>
      <c r="F740" s="157"/>
      <c r="H740" s="90"/>
      <c r="W740" s="151" t="s">
        <v>125</v>
      </c>
      <c r="X740" s="150" t="s">
        <v>1224</v>
      </c>
      <c r="Y740" s="150" t="s">
        <v>927</v>
      </c>
      <c r="Z740" s="150">
        <v>2.0</v>
      </c>
    </row>
    <row r="741">
      <c r="B741" s="33"/>
      <c r="C741" s="33"/>
      <c r="D741" s="156"/>
      <c r="F741" s="157"/>
      <c r="H741" s="90"/>
      <c r="W741" s="151" t="s">
        <v>125</v>
      </c>
      <c r="X741" s="150" t="s">
        <v>1224</v>
      </c>
      <c r="Y741" s="150" t="s">
        <v>736</v>
      </c>
      <c r="Z741" s="150">
        <v>3.0</v>
      </c>
    </row>
    <row r="742">
      <c r="B742" s="33"/>
      <c r="C742" s="33"/>
      <c r="D742" s="156"/>
      <c r="F742" s="157"/>
      <c r="H742" s="90"/>
      <c r="W742" s="151" t="s">
        <v>125</v>
      </c>
      <c r="X742" s="150" t="s">
        <v>1224</v>
      </c>
      <c r="Y742" s="150" t="s">
        <v>933</v>
      </c>
      <c r="Z742" s="150">
        <v>3.0</v>
      </c>
    </row>
    <row r="743">
      <c r="B743" s="33"/>
      <c r="C743" s="33"/>
      <c r="D743" s="156"/>
      <c r="F743" s="157"/>
      <c r="H743" s="90"/>
      <c r="W743" s="151" t="s">
        <v>53</v>
      </c>
      <c r="X743" s="150" t="s">
        <v>1224</v>
      </c>
      <c r="Y743" s="150" t="s">
        <v>992</v>
      </c>
      <c r="Z743" s="150">
        <v>2.0</v>
      </c>
    </row>
    <row r="744">
      <c r="B744" s="33"/>
      <c r="C744" s="33"/>
      <c r="D744" s="156"/>
      <c r="F744" s="157"/>
      <c r="H744" s="90"/>
      <c r="W744" s="151" t="s">
        <v>43</v>
      </c>
      <c r="X744" s="150" t="s">
        <v>1331</v>
      </c>
      <c r="Y744" s="150" t="s">
        <v>853</v>
      </c>
      <c r="Z744" s="150">
        <v>4.0</v>
      </c>
    </row>
    <row r="745">
      <c r="B745" s="33"/>
      <c r="C745" s="33"/>
      <c r="D745" s="156"/>
      <c r="F745" s="157"/>
      <c r="H745" s="90"/>
      <c r="W745" s="151" t="s">
        <v>43</v>
      </c>
      <c r="X745" s="150" t="s">
        <v>1331</v>
      </c>
      <c r="Y745" s="150" t="s">
        <v>571</v>
      </c>
      <c r="Z745" s="150">
        <v>9.0</v>
      </c>
    </row>
    <row r="746">
      <c r="B746" s="33"/>
      <c r="C746" s="33"/>
      <c r="D746" s="156"/>
      <c r="F746" s="157"/>
      <c r="H746" s="90"/>
      <c r="W746" s="151" t="s">
        <v>43</v>
      </c>
      <c r="X746" s="150" t="s">
        <v>1331</v>
      </c>
      <c r="Y746" s="150" t="s">
        <v>943</v>
      </c>
      <c r="Z746" s="150">
        <v>9.0</v>
      </c>
    </row>
    <row r="747">
      <c r="B747" s="33"/>
      <c r="C747" s="33"/>
      <c r="D747" s="156"/>
      <c r="F747" s="157"/>
      <c r="H747" s="90"/>
      <c r="W747" s="151" t="s">
        <v>43</v>
      </c>
      <c r="X747" s="150" t="s">
        <v>1331</v>
      </c>
      <c r="Y747" s="150" t="s">
        <v>725</v>
      </c>
      <c r="Z747" s="150">
        <v>6.0</v>
      </c>
    </row>
    <row r="748">
      <c r="B748" s="33"/>
      <c r="C748" s="33"/>
      <c r="D748" s="156"/>
      <c r="F748" s="157"/>
      <c r="H748" s="90"/>
      <c r="W748" s="151" t="s">
        <v>43</v>
      </c>
      <c r="X748" s="150" t="s">
        <v>1331</v>
      </c>
      <c r="Y748" s="150" t="s">
        <v>896</v>
      </c>
      <c r="Z748" s="150">
        <v>5.0</v>
      </c>
    </row>
    <row r="749">
      <c r="B749" s="33"/>
      <c r="C749" s="33"/>
      <c r="D749" s="156"/>
      <c r="F749" s="157"/>
      <c r="H749" s="90"/>
      <c r="W749" s="151" t="s">
        <v>78</v>
      </c>
      <c r="X749" s="150" t="s">
        <v>1136</v>
      </c>
      <c r="Y749" s="150" t="s">
        <v>709</v>
      </c>
      <c r="Z749" s="150">
        <v>3.0</v>
      </c>
    </row>
    <row r="750">
      <c r="B750" s="33"/>
      <c r="C750" s="33"/>
      <c r="D750" s="156"/>
      <c r="F750" s="157"/>
      <c r="H750" s="90"/>
      <c r="W750" s="151" t="s">
        <v>78</v>
      </c>
      <c r="X750" s="150" t="s">
        <v>1136</v>
      </c>
      <c r="Y750" s="150" t="s">
        <v>815</v>
      </c>
      <c r="Z750" s="150">
        <v>2.0</v>
      </c>
    </row>
    <row r="751">
      <c r="B751" s="33"/>
      <c r="C751" s="33"/>
      <c r="D751" s="156"/>
      <c r="F751" s="157"/>
      <c r="H751" s="90"/>
      <c r="W751" s="151" t="s">
        <v>78</v>
      </c>
      <c r="X751" s="150" t="s">
        <v>1136</v>
      </c>
      <c r="Y751" s="150" t="s">
        <v>750</v>
      </c>
      <c r="Z751" s="150">
        <v>3.0</v>
      </c>
    </row>
    <row r="752">
      <c r="B752" s="33"/>
      <c r="C752" s="33"/>
      <c r="D752" s="156"/>
      <c r="F752" s="157"/>
      <c r="H752" s="90"/>
      <c r="W752" s="151" t="s">
        <v>78</v>
      </c>
      <c r="X752" s="150" t="s">
        <v>1136</v>
      </c>
      <c r="Y752" s="150" t="s">
        <v>916</v>
      </c>
      <c r="Z752" s="150">
        <v>1.0</v>
      </c>
    </row>
    <row r="753">
      <c r="B753" s="33"/>
      <c r="C753" s="33"/>
      <c r="D753" s="156"/>
      <c r="F753" s="157"/>
      <c r="H753" s="90"/>
      <c r="W753" s="151" t="s">
        <v>78</v>
      </c>
      <c r="X753" s="150" t="s">
        <v>1136</v>
      </c>
      <c r="Y753" s="150" t="s">
        <v>834</v>
      </c>
      <c r="Z753" s="150">
        <v>2.0</v>
      </c>
    </row>
    <row r="754">
      <c r="B754" s="33"/>
      <c r="C754" s="33"/>
      <c r="D754" s="156"/>
      <c r="F754" s="157"/>
      <c r="H754" s="90"/>
      <c r="W754" s="151" t="s">
        <v>78</v>
      </c>
      <c r="X754" s="150" t="s">
        <v>1136</v>
      </c>
      <c r="Y754" s="150" t="s">
        <v>674</v>
      </c>
      <c r="Z754" s="150">
        <v>4.0</v>
      </c>
    </row>
    <row r="755">
      <c r="B755" s="33"/>
      <c r="C755" s="33"/>
      <c r="D755" s="156"/>
      <c r="F755" s="157"/>
      <c r="H755" s="90"/>
      <c r="W755" s="151" t="s">
        <v>78</v>
      </c>
      <c r="X755" s="150" t="s">
        <v>1136</v>
      </c>
      <c r="Y755" s="150" t="s">
        <v>941</v>
      </c>
      <c r="Z755" s="150">
        <v>7.0</v>
      </c>
    </row>
    <row r="756">
      <c r="B756" s="33"/>
      <c r="C756" s="33"/>
      <c r="D756" s="156"/>
      <c r="F756" s="157"/>
      <c r="H756" s="90"/>
      <c r="W756" s="151" t="s">
        <v>43</v>
      </c>
      <c r="X756" s="150" t="s">
        <v>1194</v>
      </c>
      <c r="Y756" s="150" t="s">
        <v>780</v>
      </c>
      <c r="Z756" s="150">
        <v>6.0</v>
      </c>
    </row>
    <row r="757">
      <c r="B757" s="33"/>
      <c r="C757" s="33"/>
      <c r="D757" s="156"/>
      <c r="F757" s="157"/>
      <c r="H757" s="90"/>
      <c r="W757" s="151" t="s">
        <v>43</v>
      </c>
      <c r="X757" s="150" t="s">
        <v>1194</v>
      </c>
      <c r="Y757" s="150" t="s">
        <v>716</v>
      </c>
      <c r="Z757" s="150">
        <v>6.0</v>
      </c>
    </row>
    <row r="758">
      <c r="B758" s="33"/>
      <c r="C758" s="33"/>
      <c r="D758" s="156"/>
      <c r="F758" s="157"/>
      <c r="H758" s="90"/>
      <c r="W758" s="151" t="s">
        <v>43</v>
      </c>
      <c r="X758" s="150" t="s">
        <v>1194</v>
      </c>
      <c r="Y758" s="150" t="s">
        <v>747</v>
      </c>
      <c r="Z758" s="150">
        <v>2.0</v>
      </c>
    </row>
    <row r="759">
      <c r="B759" s="33"/>
      <c r="C759" s="33"/>
      <c r="D759" s="156"/>
      <c r="F759" s="157"/>
      <c r="H759" s="90"/>
      <c r="W759" s="151" t="s">
        <v>43</v>
      </c>
      <c r="X759" s="150" t="s">
        <v>1194</v>
      </c>
      <c r="Y759" s="150" t="s">
        <v>928</v>
      </c>
      <c r="Z759" s="150">
        <v>3.0</v>
      </c>
    </row>
    <row r="760">
      <c r="B760" s="33"/>
      <c r="C760" s="33"/>
      <c r="D760" s="156"/>
      <c r="F760" s="157"/>
      <c r="H760" s="90"/>
      <c r="W760" s="149" t="s">
        <v>504</v>
      </c>
      <c r="X760" s="150" t="s">
        <v>1194</v>
      </c>
      <c r="Y760" s="150" t="s">
        <v>716</v>
      </c>
      <c r="Z760" s="150">
        <v>1.0</v>
      </c>
    </row>
    <row r="761">
      <c r="B761" s="33"/>
      <c r="C761" s="33"/>
      <c r="D761" s="156"/>
      <c r="F761" s="157"/>
      <c r="H761" s="90"/>
      <c r="W761" s="151" t="s">
        <v>43</v>
      </c>
      <c r="X761" s="150" t="s">
        <v>1194</v>
      </c>
      <c r="Y761" s="150" t="s">
        <v>963</v>
      </c>
      <c r="Z761" s="150">
        <v>3.0</v>
      </c>
    </row>
    <row r="762">
      <c r="B762" s="33"/>
      <c r="C762" s="33"/>
      <c r="D762" s="156"/>
      <c r="F762" s="157"/>
      <c r="H762" s="90"/>
      <c r="W762" s="149" t="s">
        <v>504</v>
      </c>
      <c r="X762" s="150" t="s">
        <v>1194</v>
      </c>
      <c r="Y762" s="150" t="s">
        <v>761</v>
      </c>
      <c r="Z762" s="150">
        <v>3.0</v>
      </c>
    </row>
    <row r="763">
      <c r="B763" s="33"/>
      <c r="C763" s="33"/>
      <c r="D763" s="156"/>
      <c r="F763" s="157"/>
      <c r="H763" s="90"/>
      <c r="W763" s="151" t="s">
        <v>43</v>
      </c>
      <c r="X763" s="150" t="s">
        <v>1194</v>
      </c>
      <c r="Y763" s="150" t="s">
        <v>761</v>
      </c>
      <c r="Z763" s="150">
        <v>20.0</v>
      </c>
    </row>
    <row r="764">
      <c r="B764" s="33"/>
      <c r="C764" s="33"/>
      <c r="D764" s="156"/>
      <c r="F764" s="157"/>
      <c r="H764" s="90"/>
      <c r="W764" s="151" t="s">
        <v>43</v>
      </c>
      <c r="X764" s="150" t="s">
        <v>1194</v>
      </c>
      <c r="Y764" s="150" t="s">
        <v>978</v>
      </c>
      <c r="Z764" s="150">
        <v>3.0</v>
      </c>
    </row>
    <row r="765">
      <c r="B765" s="33"/>
      <c r="C765" s="33"/>
      <c r="D765" s="156"/>
      <c r="F765" s="157"/>
      <c r="H765" s="90"/>
      <c r="W765" s="151" t="s">
        <v>43</v>
      </c>
      <c r="X765" s="150" t="s">
        <v>1194</v>
      </c>
      <c r="Y765" s="150" t="s">
        <v>952</v>
      </c>
      <c r="Z765" s="150">
        <v>16.0</v>
      </c>
    </row>
    <row r="766">
      <c r="B766" s="33"/>
      <c r="C766" s="33"/>
      <c r="D766" s="156"/>
      <c r="F766" s="157"/>
      <c r="H766" s="90"/>
      <c r="W766" s="149" t="s">
        <v>504</v>
      </c>
      <c r="X766" s="150" t="s">
        <v>1194</v>
      </c>
      <c r="Y766" s="150" t="s">
        <v>952</v>
      </c>
      <c r="Z766" s="150">
        <v>2.0</v>
      </c>
    </row>
    <row r="767">
      <c r="B767" s="33"/>
      <c r="C767" s="33"/>
      <c r="D767" s="156"/>
      <c r="F767" s="157"/>
      <c r="H767" s="90"/>
      <c r="W767" s="151" t="s">
        <v>125</v>
      </c>
      <c r="X767" s="150" t="s">
        <v>1140</v>
      </c>
      <c r="Y767" s="150" t="s">
        <v>4163</v>
      </c>
      <c r="Z767" s="150">
        <v>1.0</v>
      </c>
    </row>
    <row r="768">
      <c r="B768" s="33"/>
      <c r="C768" s="33"/>
      <c r="D768" s="156"/>
      <c r="F768" s="157"/>
      <c r="H768" s="90"/>
      <c r="W768" s="149" t="s">
        <v>504</v>
      </c>
      <c r="X768" s="150" t="s">
        <v>1140</v>
      </c>
      <c r="Y768" s="150" t="s">
        <v>505</v>
      </c>
      <c r="Z768" s="150">
        <v>19.0</v>
      </c>
    </row>
    <row r="769">
      <c r="B769" s="33"/>
      <c r="C769" s="33"/>
      <c r="D769" s="156"/>
      <c r="F769" s="157"/>
      <c r="H769" s="90"/>
      <c r="W769" s="151" t="s">
        <v>159</v>
      </c>
      <c r="X769" s="150" t="s">
        <v>1140</v>
      </c>
      <c r="Y769" s="150" t="s">
        <v>1001</v>
      </c>
      <c r="Z769" s="150">
        <v>1.0</v>
      </c>
    </row>
    <row r="770">
      <c r="B770" s="33"/>
      <c r="C770" s="33"/>
      <c r="D770" s="156"/>
      <c r="F770" s="157"/>
      <c r="H770" s="90"/>
      <c r="W770" s="149" t="s">
        <v>504</v>
      </c>
      <c r="X770" s="150" t="s">
        <v>1140</v>
      </c>
      <c r="Y770" s="150" t="s">
        <v>516</v>
      </c>
      <c r="Z770" s="150">
        <v>6.0</v>
      </c>
    </row>
    <row r="771">
      <c r="B771" s="33"/>
      <c r="C771" s="33"/>
      <c r="D771" s="156"/>
      <c r="F771" s="157"/>
      <c r="H771" s="90"/>
      <c r="W771" s="151" t="s">
        <v>125</v>
      </c>
      <c r="X771" s="150" t="s">
        <v>1140</v>
      </c>
      <c r="Y771" s="150" t="s">
        <v>555</v>
      </c>
      <c r="Z771" s="150">
        <v>30.0</v>
      </c>
    </row>
    <row r="772">
      <c r="B772" s="33"/>
      <c r="C772" s="33"/>
      <c r="D772" s="156"/>
      <c r="F772" s="157"/>
      <c r="H772" s="90"/>
      <c r="W772" s="151" t="s">
        <v>125</v>
      </c>
      <c r="X772" s="150" t="s">
        <v>1140</v>
      </c>
      <c r="Y772" s="150" t="s">
        <v>4164</v>
      </c>
      <c r="Z772" s="150">
        <v>1.0</v>
      </c>
    </row>
    <row r="773">
      <c r="B773" s="33"/>
      <c r="C773" s="33"/>
      <c r="D773" s="156"/>
      <c r="F773" s="157"/>
      <c r="H773" s="90"/>
      <c r="W773" s="151" t="s">
        <v>125</v>
      </c>
      <c r="X773" s="150" t="s">
        <v>1140</v>
      </c>
      <c r="Y773" s="150" t="s">
        <v>4165</v>
      </c>
      <c r="Z773" s="150">
        <v>5.0</v>
      </c>
    </row>
    <row r="774">
      <c r="B774" s="33"/>
      <c r="C774" s="33"/>
      <c r="D774" s="156"/>
      <c r="F774" s="157"/>
      <c r="H774" s="90"/>
      <c r="W774" s="151" t="s">
        <v>125</v>
      </c>
      <c r="X774" s="150" t="s">
        <v>1140</v>
      </c>
      <c r="Y774" s="150" t="s">
        <v>4166</v>
      </c>
      <c r="Z774" s="150">
        <v>4.0</v>
      </c>
    </row>
    <row r="775">
      <c r="B775" s="33"/>
      <c r="C775" s="33"/>
      <c r="D775" s="156"/>
      <c r="F775" s="157"/>
      <c r="H775" s="90"/>
      <c r="W775" s="151" t="s">
        <v>1140</v>
      </c>
      <c r="X775" s="150" t="s">
        <v>1140</v>
      </c>
      <c r="Y775" s="150" t="s">
        <v>555</v>
      </c>
      <c r="Z775" s="150">
        <v>1.0</v>
      </c>
    </row>
    <row r="776">
      <c r="B776" s="33"/>
      <c r="C776" s="33"/>
      <c r="D776" s="156"/>
      <c r="F776" s="157"/>
      <c r="H776" s="90"/>
      <c r="W776" s="149" t="s">
        <v>504</v>
      </c>
      <c r="X776" s="150" t="s">
        <v>1140</v>
      </c>
      <c r="Y776" s="150" t="s">
        <v>4164</v>
      </c>
      <c r="Z776" s="150">
        <v>1.0</v>
      </c>
    </row>
    <row r="777">
      <c r="B777" s="33"/>
      <c r="C777" s="33"/>
      <c r="D777" s="156"/>
      <c r="F777" s="157"/>
      <c r="H777" s="90"/>
      <c r="W777" s="149" t="s">
        <v>504</v>
      </c>
      <c r="X777" s="150" t="s">
        <v>1140</v>
      </c>
      <c r="Y777" s="150" t="s">
        <v>4166</v>
      </c>
      <c r="Z777" s="150">
        <v>1.0</v>
      </c>
    </row>
    <row r="778">
      <c r="B778" s="33"/>
      <c r="C778" s="33"/>
      <c r="D778" s="156"/>
      <c r="F778" s="157"/>
      <c r="H778" s="90"/>
      <c r="W778" s="151" t="s">
        <v>125</v>
      </c>
      <c r="X778" s="150" t="s">
        <v>1140</v>
      </c>
      <c r="Y778" s="150" t="s">
        <v>505</v>
      </c>
      <c r="Z778" s="150">
        <v>6465.0</v>
      </c>
    </row>
    <row r="779">
      <c r="B779" s="33"/>
      <c r="C779" s="33"/>
      <c r="D779" s="156"/>
      <c r="F779" s="157"/>
      <c r="H779" s="90"/>
      <c r="W779" s="151" t="s">
        <v>125</v>
      </c>
      <c r="X779" s="150" t="s">
        <v>1140</v>
      </c>
      <c r="Y779" s="150" t="s">
        <v>975</v>
      </c>
      <c r="Z779" s="150">
        <v>39.0</v>
      </c>
    </row>
    <row r="780">
      <c r="B780" s="33"/>
      <c r="C780" s="33"/>
      <c r="D780" s="156"/>
      <c r="F780" s="157"/>
      <c r="H780" s="90"/>
      <c r="W780" s="151" t="s">
        <v>177</v>
      </c>
      <c r="X780" s="150" t="s">
        <v>1140</v>
      </c>
      <c r="Y780" s="150" t="s">
        <v>505</v>
      </c>
      <c r="Z780" s="150">
        <v>1.0</v>
      </c>
    </row>
    <row r="781">
      <c r="B781" s="33"/>
      <c r="C781" s="33"/>
      <c r="D781" s="156"/>
      <c r="F781" s="157"/>
      <c r="H781" s="90"/>
      <c r="W781" s="151" t="s">
        <v>125</v>
      </c>
      <c r="X781" s="150" t="s">
        <v>1140</v>
      </c>
      <c r="Y781" s="150" t="s">
        <v>546</v>
      </c>
      <c r="Z781" s="150">
        <v>345.0</v>
      </c>
    </row>
    <row r="782">
      <c r="B782" s="33"/>
      <c r="C782" s="33"/>
      <c r="D782" s="156"/>
      <c r="F782" s="157"/>
      <c r="H782" s="90"/>
      <c r="W782" s="151" t="s">
        <v>125</v>
      </c>
      <c r="X782" s="150" t="s">
        <v>1140</v>
      </c>
      <c r="Y782" s="150" t="s">
        <v>516</v>
      </c>
      <c r="Z782" s="150">
        <v>738.0</v>
      </c>
    </row>
    <row r="783">
      <c r="B783" s="33"/>
      <c r="C783" s="33"/>
      <c r="D783" s="156"/>
      <c r="F783" s="157"/>
      <c r="H783" s="90"/>
      <c r="W783" s="151" t="s">
        <v>125</v>
      </c>
      <c r="X783" s="150" t="s">
        <v>1140</v>
      </c>
      <c r="Y783" s="150" t="s">
        <v>4167</v>
      </c>
      <c r="Z783" s="150">
        <v>4.0</v>
      </c>
    </row>
    <row r="784">
      <c r="B784" s="33"/>
      <c r="C784" s="33"/>
      <c r="D784" s="156"/>
      <c r="F784" s="157"/>
      <c r="H784" s="90"/>
      <c r="W784" s="151" t="s">
        <v>125</v>
      </c>
      <c r="X784" s="150" t="s">
        <v>1140</v>
      </c>
      <c r="Y784" s="150" t="s">
        <v>1140</v>
      </c>
      <c r="Z784" s="150">
        <v>1.0</v>
      </c>
    </row>
    <row r="785">
      <c r="B785" s="33"/>
      <c r="C785" s="33"/>
      <c r="D785" s="156"/>
      <c r="F785" s="157"/>
      <c r="H785" s="90"/>
      <c r="W785" s="151" t="s">
        <v>125</v>
      </c>
      <c r="X785" s="150" t="s">
        <v>1140</v>
      </c>
      <c r="Y785" s="150" t="s">
        <v>1001</v>
      </c>
      <c r="Z785" s="150">
        <v>21.0</v>
      </c>
    </row>
    <row r="786">
      <c r="B786" s="33"/>
      <c r="C786" s="33"/>
      <c r="D786" s="156"/>
      <c r="F786" s="157"/>
      <c r="H786" s="90"/>
      <c r="W786" s="151" t="s">
        <v>147</v>
      </c>
      <c r="X786" s="150" t="s">
        <v>1140</v>
      </c>
      <c r="Y786" s="150" t="s">
        <v>505</v>
      </c>
      <c r="Z786" s="150">
        <v>1.0</v>
      </c>
    </row>
    <row r="787">
      <c r="B787" s="33"/>
      <c r="C787" s="33"/>
      <c r="D787" s="156"/>
      <c r="F787" s="157"/>
      <c r="H787" s="90"/>
      <c r="W787" s="149" t="s">
        <v>504</v>
      </c>
      <c r="X787" s="150" t="s">
        <v>1140</v>
      </c>
      <c r="Y787" s="150" t="s">
        <v>546</v>
      </c>
      <c r="Z787" s="150">
        <v>4.0</v>
      </c>
    </row>
    <row r="788">
      <c r="B788" s="33"/>
      <c r="C788" s="33"/>
      <c r="D788" s="156"/>
      <c r="F788" s="157"/>
      <c r="H788" s="90"/>
      <c r="W788" s="151" t="s">
        <v>43</v>
      </c>
      <c r="X788" s="150" t="s">
        <v>1140</v>
      </c>
      <c r="Y788" s="150" t="s">
        <v>505</v>
      </c>
      <c r="Z788" s="150">
        <v>1.0</v>
      </c>
    </row>
    <row r="789">
      <c r="B789" s="33"/>
      <c r="C789" s="33"/>
      <c r="D789" s="156"/>
      <c r="F789" s="157"/>
      <c r="H789" s="90"/>
      <c r="W789" s="151" t="s">
        <v>125</v>
      </c>
      <c r="X789" s="150" t="s">
        <v>1140</v>
      </c>
      <c r="Y789" s="150" t="s">
        <v>678</v>
      </c>
      <c r="Z789" s="150">
        <v>132.0</v>
      </c>
    </row>
    <row r="790">
      <c r="B790" s="33"/>
      <c r="C790" s="33"/>
      <c r="D790" s="156"/>
      <c r="F790" s="157"/>
      <c r="H790" s="90"/>
      <c r="W790" s="149" t="s">
        <v>504</v>
      </c>
      <c r="X790" s="150" t="s">
        <v>1140</v>
      </c>
      <c r="Y790" s="150" t="s">
        <v>678</v>
      </c>
      <c r="Z790" s="150">
        <v>1.0</v>
      </c>
    </row>
    <row r="791">
      <c r="B791" s="33"/>
      <c r="C791" s="33"/>
      <c r="D791" s="156"/>
      <c r="F791" s="157"/>
      <c r="H791" s="90"/>
      <c r="W791" s="151" t="s">
        <v>125</v>
      </c>
      <c r="X791" s="150" t="s">
        <v>1140</v>
      </c>
      <c r="Y791" s="150" t="s">
        <v>4168</v>
      </c>
      <c r="Z791" s="150">
        <v>1.0</v>
      </c>
    </row>
    <row r="792">
      <c r="B792" s="33"/>
      <c r="C792" s="33"/>
      <c r="D792" s="156"/>
      <c r="F792" s="157"/>
      <c r="H792" s="90"/>
      <c r="W792" s="151" t="s">
        <v>125</v>
      </c>
      <c r="X792" s="150" t="s">
        <v>1140</v>
      </c>
      <c r="Y792" s="150" t="s">
        <v>598</v>
      </c>
      <c r="Z792" s="150">
        <v>118.0</v>
      </c>
    </row>
    <row r="793">
      <c r="B793" s="33"/>
      <c r="C793" s="33"/>
      <c r="D793" s="156"/>
      <c r="F793" s="157"/>
      <c r="H793" s="90"/>
      <c r="W793" s="151" t="s">
        <v>125</v>
      </c>
      <c r="X793" s="150" t="s">
        <v>1140</v>
      </c>
      <c r="Y793" s="150" t="s">
        <v>4169</v>
      </c>
      <c r="Z793" s="150">
        <v>6.0</v>
      </c>
    </row>
    <row r="794">
      <c r="B794" s="33"/>
      <c r="C794" s="33"/>
      <c r="D794" s="156"/>
      <c r="F794" s="157"/>
      <c r="H794" s="90"/>
      <c r="W794" s="151" t="s">
        <v>125</v>
      </c>
      <c r="X794" s="150" t="s">
        <v>1140</v>
      </c>
      <c r="Y794" s="150" t="s">
        <v>598</v>
      </c>
      <c r="Z794" s="150">
        <v>1.0</v>
      </c>
    </row>
    <row r="795">
      <c r="B795" s="33"/>
      <c r="C795" s="33"/>
      <c r="D795" s="156"/>
      <c r="F795" s="157"/>
      <c r="H795" s="90"/>
      <c r="W795" s="151" t="s">
        <v>125</v>
      </c>
      <c r="X795" s="150" t="s">
        <v>4170</v>
      </c>
      <c r="Y795" s="150" t="s">
        <v>4171</v>
      </c>
      <c r="Z795" s="150">
        <v>1.0</v>
      </c>
    </row>
    <row r="796">
      <c r="B796" s="33"/>
      <c r="C796" s="33"/>
      <c r="D796" s="156"/>
      <c r="F796" s="157"/>
      <c r="H796" s="90"/>
      <c r="W796" s="151" t="s">
        <v>125</v>
      </c>
      <c r="X796" s="150" t="s">
        <v>4172</v>
      </c>
      <c r="Y796" s="150" t="s">
        <v>4173</v>
      </c>
      <c r="Z796" s="150">
        <v>1.0</v>
      </c>
    </row>
    <row r="797">
      <c r="B797" s="33"/>
      <c r="C797" s="33"/>
      <c r="D797" s="156"/>
      <c r="F797" s="157"/>
      <c r="H797" s="90"/>
      <c r="W797" s="151" t="s">
        <v>125</v>
      </c>
      <c r="X797" s="150" t="s">
        <v>4174</v>
      </c>
      <c r="Y797" s="150" t="s">
        <v>4175</v>
      </c>
      <c r="Z797" s="150">
        <v>1.0</v>
      </c>
    </row>
    <row r="798">
      <c r="B798" s="33"/>
      <c r="C798" s="33"/>
      <c r="D798" s="156"/>
      <c r="F798" s="157"/>
      <c r="H798" s="90"/>
      <c r="W798" s="151" t="s">
        <v>182</v>
      </c>
      <c r="X798" s="150" t="s">
        <v>4174</v>
      </c>
      <c r="Y798" s="150" t="s">
        <v>4176</v>
      </c>
      <c r="Z798" s="150">
        <v>1.0</v>
      </c>
    </row>
    <row r="799">
      <c r="B799" s="33"/>
      <c r="C799" s="33"/>
      <c r="D799" s="156"/>
      <c r="F799" s="157"/>
      <c r="H799" s="90"/>
      <c r="W799" s="151" t="s">
        <v>125</v>
      </c>
      <c r="X799" s="150" t="s">
        <v>4177</v>
      </c>
      <c r="Y799" s="150" t="s">
        <v>4178</v>
      </c>
      <c r="Z799" s="150">
        <v>1.0</v>
      </c>
    </row>
    <row r="800">
      <c r="B800" s="33"/>
      <c r="C800" s="33"/>
      <c r="D800" s="156"/>
      <c r="F800" s="157"/>
      <c r="H800" s="90"/>
      <c r="W800" s="151" t="s">
        <v>125</v>
      </c>
      <c r="X800" s="150" t="s">
        <v>4179</v>
      </c>
      <c r="Y800" s="150" t="s">
        <v>4180</v>
      </c>
      <c r="Z800" s="150">
        <v>1.0</v>
      </c>
    </row>
    <row r="801">
      <c r="B801" s="33"/>
      <c r="C801" s="33"/>
      <c r="D801" s="156"/>
      <c r="F801" s="157"/>
      <c r="H801" s="90"/>
      <c r="W801" s="149" t="s">
        <v>504</v>
      </c>
      <c r="X801" s="150" t="s">
        <v>4179</v>
      </c>
      <c r="Y801" s="150" t="s">
        <v>4181</v>
      </c>
      <c r="Z801" s="150">
        <v>1.0</v>
      </c>
    </row>
    <row r="802">
      <c r="B802" s="33"/>
      <c r="C802" s="33"/>
      <c r="D802" s="156"/>
      <c r="F802" s="157"/>
      <c r="H802" s="90"/>
      <c r="W802" s="151" t="s">
        <v>125</v>
      </c>
      <c r="X802" s="150" t="s">
        <v>4179</v>
      </c>
      <c r="Y802" s="150" t="s">
        <v>4182</v>
      </c>
      <c r="Z802" s="150">
        <v>1.0</v>
      </c>
    </row>
    <row r="803">
      <c r="B803" s="33"/>
      <c r="C803" s="33"/>
      <c r="D803" s="156"/>
      <c r="F803" s="157"/>
      <c r="H803" s="90"/>
      <c r="W803" s="151" t="s">
        <v>125</v>
      </c>
      <c r="X803" s="150" t="s">
        <v>4179</v>
      </c>
      <c r="Y803" s="150" t="s">
        <v>4181</v>
      </c>
      <c r="Z803" s="150">
        <v>7.0</v>
      </c>
    </row>
    <row r="804">
      <c r="B804" s="33"/>
      <c r="C804" s="33"/>
      <c r="D804" s="156"/>
      <c r="F804" s="157"/>
      <c r="H804" s="90"/>
      <c r="W804" s="151" t="s">
        <v>125</v>
      </c>
      <c r="X804" s="150" t="s">
        <v>4183</v>
      </c>
      <c r="Y804" s="150" t="s">
        <v>4184</v>
      </c>
      <c r="Z804" s="150">
        <v>1.0</v>
      </c>
    </row>
    <row r="805">
      <c r="B805" s="33"/>
      <c r="C805" s="33"/>
      <c r="D805" s="156"/>
      <c r="F805" s="157"/>
      <c r="H805" s="90"/>
      <c r="W805" s="151" t="s">
        <v>125</v>
      </c>
      <c r="X805" s="150" t="s">
        <v>4185</v>
      </c>
      <c r="Y805" s="150" t="s">
        <v>4186</v>
      </c>
      <c r="Z805" s="150">
        <v>1.0</v>
      </c>
    </row>
    <row r="806">
      <c r="B806" s="33"/>
      <c r="C806" s="33"/>
      <c r="D806" s="156"/>
      <c r="F806" s="157"/>
      <c r="H806" s="90"/>
      <c r="W806" s="151" t="s">
        <v>125</v>
      </c>
      <c r="X806" s="150" t="s">
        <v>4187</v>
      </c>
      <c r="Y806" s="150" t="s">
        <v>505</v>
      </c>
      <c r="Z806" s="150">
        <v>1.0</v>
      </c>
    </row>
    <row r="807">
      <c r="B807" s="33"/>
      <c r="C807" s="33"/>
      <c r="D807" s="156"/>
      <c r="F807" s="157"/>
      <c r="H807" s="90"/>
      <c r="W807" s="151" t="s">
        <v>125</v>
      </c>
      <c r="X807" s="150" t="s">
        <v>4187</v>
      </c>
      <c r="Y807" s="150" t="s">
        <v>598</v>
      </c>
      <c r="Z807" s="150">
        <v>1.0</v>
      </c>
    </row>
    <row r="808">
      <c r="B808" s="33"/>
      <c r="C808" s="33"/>
      <c r="D808" s="156"/>
      <c r="F808" s="157"/>
      <c r="H808" s="90"/>
      <c r="W808" s="151" t="s">
        <v>125</v>
      </c>
      <c r="X808" s="150" t="s">
        <v>1083</v>
      </c>
      <c r="Y808" s="150" t="s">
        <v>1002</v>
      </c>
      <c r="Z808" s="150">
        <v>10.0</v>
      </c>
    </row>
    <row r="809">
      <c r="B809" s="33"/>
      <c r="C809" s="33"/>
      <c r="D809" s="156"/>
      <c r="F809" s="157"/>
      <c r="H809" s="90"/>
      <c r="W809" s="151" t="s">
        <v>125</v>
      </c>
      <c r="X809" s="150" t="s">
        <v>1083</v>
      </c>
      <c r="Y809" s="150" t="s">
        <v>973</v>
      </c>
      <c r="Z809" s="150">
        <v>1.0</v>
      </c>
    </row>
    <row r="810">
      <c r="B810" s="33"/>
      <c r="C810" s="33"/>
      <c r="D810" s="156"/>
      <c r="F810" s="157"/>
      <c r="H810" s="90"/>
      <c r="W810" s="151" t="s">
        <v>125</v>
      </c>
      <c r="X810" s="150" t="s">
        <v>1083</v>
      </c>
      <c r="Y810" s="150" t="s">
        <v>949</v>
      </c>
      <c r="Z810" s="150">
        <v>23.0</v>
      </c>
    </row>
    <row r="811">
      <c r="B811" s="33"/>
      <c r="C811" s="33"/>
      <c r="D811" s="156"/>
      <c r="F811" s="157"/>
      <c r="H811" s="90"/>
      <c r="W811" s="151" t="s">
        <v>125</v>
      </c>
      <c r="X811" s="150" t="s">
        <v>1083</v>
      </c>
      <c r="Y811" s="150" t="s">
        <v>827</v>
      </c>
      <c r="Z811" s="150">
        <v>1.0</v>
      </c>
    </row>
    <row r="812">
      <c r="B812" s="33"/>
      <c r="C812" s="33"/>
      <c r="D812" s="156"/>
      <c r="F812" s="157"/>
      <c r="H812" s="90"/>
      <c r="W812" s="151" t="s">
        <v>53</v>
      </c>
      <c r="X812" s="150" t="s">
        <v>1083</v>
      </c>
      <c r="Y812" s="150" t="s">
        <v>662</v>
      </c>
      <c r="Z812" s="150">
        <v>1.0</v>
      </c>
    </row>
    <row r="813">
      <c r="B813" s="33"/>
      <c r="C813" s="33"/>
      <c r="D813" s="156"/>
      <c r="F813" s="157"/>
      <c r="H813" s="90"/>
      <c r="W813" s="149" t="s">
        <v>504</v>
      </c>
      <c r="X813" s="150" t="s">
        <v>1083</v>
      </c>
      <c r="Y813" s="150" t="s">
        <v>728</v>
      </c>
      <c r="Z813" s="150">
        <v>1.0</v>
      </c>
    </row>
    <row r="814">
      <c r="B814" s="33"/>
      <c r="C814" s="33"/>
      <c r="D814" s="156"/>
      <c r="F814" s="157"/>
      <c r="H814" s="90"/>
      <c r="W814" s="151" t="s">
        <v>125</v>
      </c>
      <c r="X814" s="150" t="s">
        <v>1083</v>
      </c>
      <c r="Y814" s="150" t="s">
        <v>934</v>
      </c>
      <c r="Z814" s="150">
        <v>2.0</v>
      </c>
    </row>
    <row r="815">
      <c r="B815" s="33"/>
      <c r="C815" s="33"/>
      <c r="D815" s="156"/>
      <c r="F815" s="157"/>
      <c r="H815" s="90"/>
      <c r="W815" s="151" t="s">
        <v>125</v>
      </c>
      <c r="X815" s="150" t="s">
        <v>1083</v>
      </c>
      <c r="Y815" s="150" t="s">
        <v>728</v>
      </c>
      <c r="Z815" s="150">
        <v>6.0</v>
      </c>
    </row>
    <row r="816">
      <c r="B816" s="33"/>
      <c r="C816" s="33"/>
      <c r="D816" s="156"/>
      <c r="F816" s="157"/>
      <c r="H816" s="90"/>
      <c r="W816" s="151" t="s">
        <v>125</v>
      </c>
      <c r="X816" s="150" t="s">
        <v>1083</v>
      </c>
      <c r="Y816" s="150" t="s">
        <v>662</v>
      </c>
      <c r="Z816" s="150">
        <v>8.0</v>
      </c>
    </row>
    <row r="817">
      <c r="B817" s="33"/>
      <c r="C817" s="33"/>
      <c r="D817" s="156"/>
      <c r="F817" s="157"/>
      <c r="H817" s="90"/>
      <c r="W817" s="151" t="s">
        <v>125</v>
      </c>
      <c r="X817" s="150" t="s">
        <v>1083</v>
      </c>
      <c r="Y817" s="150" t="s">
        <v>921</v>
      </c>
      <c r="Z817" s="150">
        <v>4.0</v>
      </c>
    </row>
    <row r="818">
      <c r="B818" s="33"/>
      <c r="C818" s="33"/>
      <c r="D818" s="156"/>
      <c r="F818" s="157"/>
      <c r="H818" s="90"/>
      <c r="W818" s="151" t="s">
        <v>53</v>
      </c>
      <c r="X818" s="150" t="s">
        <v>1083</v>
      </c>
      <c r="Y818" s="150" t="s">
        <v>949</v>
      </c>
      <c r="Z818" s="150">
        <v>1.0</v>
      </c>
    </row>
    <row r="819">
      <c r="B819" s="33"/>
      <c r="C819" s="33"/>
      <c r="D819" s="156"/>
      <c r="F819" s="157"/>
      <c r="H819" s="90"/>
      <c r="W819" s="151" t="s">
        <v>125</v>
      </c>
      <c r="X819" s="150" t="s">
        <v>1083</v>
      </c>
      <c r="Y819" s="150" t="s">
        <v>757</v>
      </c>
      <c r="Z819" s="150">
        <v>4.0</v>
      </c>
    </row>
    <row r="820">
      <c r="B820" s="33"/>
      <c r="C820" s="33"/>
      <c r="D820" s="156"/>
      <c r="F820" s="157"/>
      <c r="H820" s="90"/>
      <c r="W820" s="151" t="s">
        <v>125</v>
      </c>
      <c r="X820" s="150" t="s">
        <v>1083</v>
      </c>
      <c r="Y820" s="150" t="s">
        <v>873</v>
      </c>
      <c r="Z820" s="150">
        <v>1.0</v>
      </c>
    </row>
    <row r="821">
      <c r="B821" s="33"/>
      <c r="C821" s="33"/>
      <c r="D821" s="156"/>
      <c r="F821" s="157"/>
      <c r="H821" s="90"/>
      <c r="W821" s="151" t="s">
        <v>125</v>
      </c>
      <c r="X821" s="150" t="s">
        <v>1083</v>
      </c>
      <c r="Y821" s="150" t="s">
        <v>810</v>
      </c>
      <c r="Z821" s="150">
        <v>1.0</v>
      </c>
    </row>
    <row r="822">
      <c r="B822" s="33"/>
      <c r="C822" s="33"/>
      <c r="D822" s="156"/>
      <c r="F822" s="157"/>
      <c r="H822" s="90"/>
      <c r="W822" s="149" t="s">
        <v>504</v>
      </c>
      <c r="X822" s="150" t="s">
        <v>1083</v>
      </c>
      <c r="Y822" s="150" t="s">
        <v>949</v>
      </c>
      <c r="Z822" s="150">
        <v>1.0</v>
      </c>
    </row>
    <row r="823">
      <c r="B823" s="33"/>
      <c r="C823" s="33"/>
      <c r="D823" s="156"/>
      <c r="F823" s="157"/>
      <c r="H823" s="90"/>
      <c r="W823" s="151" t="s">
        <v>125</v>
      </c>
      <c r="X823" s="150" t="s">
        <v>1083</v>
      </c>
      <c r="Y823" s="150" t="s">
        <v>756</v>
      </c>
      <c r="Z823" s="150">
        <v>1.0</v>
      </c>
    </row>
    <row r="824">
      <c r="B824" s="33"/>
      <c r="C824" s="33"/>
      <c r="D824" s="156"/>
      <c r="F824" s="157"/>
      <c r="H824" s="90"/>
      <c r="W824" s="151" t="s">
        <v>125</v>
      </c>
      <c r="X824" s="150" t="s">
        <v>1083</v>
      </c>
      <c r="Y824" s="150" t="s">
        <v>840</v>
      </c>
      <c r="Z824" s="150">
        <v>4.0</v>
      </c>
    </row>
    <row r="825">
      <c r="B825" s="33"/>
      <c r="C825" s="33"/>
      <c r="D825" s="156"/>
      <c r="F825" s="157"/>
      <c r="H825" s="90"/>
      <c r="W825" s="151" t="s">
        <v>53</v>
      </c>
      <c r="X825" s="150" t="s">
        <v>1083</v>
      </c>
      <c r="Y825" s="150" t="s">
        <v>827</v>
      </c>
      <c r="Z825" s="150">
        <v>1.0</v>
      </c>
    </row>
    <row r="826">
      <c r="B826" s="33"/>
      <c r="C826" s="33"/>
      <c r="D826" s="156"/>
      <c r="F826" s="157"/>
      <c r="H826" s="90"/>
      <c r="W826" s="151" t="s">
        <v>125</v>
      </c>
      <c r="X826" s="150" t="s">
        <v>1083</v>
      </c>
      <c r="Y826" s="150" t="s">
        <v>919</v>
      </c>
      <c r="Z826" s="150">
        <v>4.0</v>
      </c>
    </row>
    <row r="827">
      <c r="B827" s="33"/>
      <c r="C827" s="33"/>
      <c r="D827" s="156"/>
      <c r="F827" s="157"/>
      <c r="H827" s="90"/>
      <c r="W827" s="151" t="s">
        <v>84</v>
      </c>
      <c r="X827" s="150" t="s">
        <v>1454</v>
      </c>
      <c r="Y827" s="150" t="s">
        <v>867</v>
      </c>
      <c r="Z827" s="150">
        <v>5.0</v>
      </c>
    </row>
    <row r="828">
      <c r="B828" s="33"/>
      <c r="C828" s="33"/>
      <c r="D828" s="156"/>
      <c r="F828" s="157"/>
      <c r="H828" s="90"/>
      <c r="W828" s="151" t="s">
        <v>84</v>
      </c>
      <c r="X828" s="150" t="s">
        <v>1454</v>
      </c>
      <c r="Y828" s="150" t="s">
        <v>565</v>
      </c>
      <c r="Z828" s="150">
        <v>96.0</v>
      </c>
    </row>
    <row r="829">
      <c r="B829" s="33"/>
      <c r="C829" s="33"/>
      <c r="D829" s="156"/>
      <c r="F829" s="157"/>
      <c r="H829" s="90"/>
      <c r="W829" s="151" t="s">
        <v>84</v>
      </c>
      <c r="X829" s="150" t="s">
        <v>1454</v>
      </c>
      <c r="Y829" s="150" t="s">
        <v>929</v>
      </c>
      <c r="Z829" s="150">
        <v>6.0</v>
      </c>
    </row>
    <row r="830">
      <c r="B830" s="33"/>
      <c r="C830" s="33"/>
      <c r="D830" s="156"/>
      <c r="F830" s="157"/>
      <c r="H830" s="90"/>
      <c r="W830" s="149" t="s">
        <v>504</v>
      </c>
      <c r="X830" s="150" t="s">
        <v>1454</v>
      </c>
      <c r="Y830" s="150" t="s">
        <v>706</v>
      </c>
      <c r="Z830" s="150">
        <v>1.0</v>
      </c>
    </row>
    <row r="831">
      <c r="B831" s="33"/>
      <c r="C831" s="33"/>
      <c r="D831" s="156"/>
      <c r="F831" s="157"/>
      <c r="H831" s="90"/>
      <c r="W831" s="151" t="s">
        <v>84</v>
      </c>
      <c r="X831" s="150" t="s">
        <v>1454</v>
      </c>
      <c r="Y831" s="150" t="s">
        <v>706</v>
      </c>
      <c r="Z831" s="150">
        <v>23.0</v>
      </c>
    </row>
    <row r="832">
      <c r="B832" s="33"/>
      <c r="C832" s="33"/>
      <c r="D832" s="156"/>
      <c r="F832" s="157"/>
      <c r="H832" s="90"/>
      <c r="W832" s="151" t="s">
        <v>84</v>
      </c>
      <c r="X832" s="150" t="s">
        <v>1454</v>
      </c>
      <c r="Y832" s="150" t="s">
        <v>903</v>
      </c>
      <c r="Z832" s="150">
        <v>59.0</v>
      </c>
    </row>
    <row r="833">
      <c r="B833" s="33"/>
      <c r="C833" s="33"/>
      <c r="D833" s="156"/>
      <c r="F833" s="157"/>
      <c r="H833" s="90"/>
      <c r="W833" s="149" t="s">
        <v>504</v>
      </c>
      <c r="X833" s="150" t="s">
        <v>1454</v>
      </c>
      <c r="Y833" s="150" t="s">
        <v>929</v>
      </c>
      <c r="Z833" s="150">
        <v>1.0</v>
      </c>
    </row>
    <row r="834">
      <c r="B834" s="33"/>
      <c r="C834" s="33"/>
      <c r="D834" s="156"/>
      <c r="F834" s="157"/>
      <c r="H834" s="90"/>
      <c r="W834" s="149" t="s">
        <v>504</v>
      </c>
      <c r="X834" s="150" t="s">
        <v>1454</v>
      </c>
      <c r="Y834" s="150" t="s">
        <v>565</v>
      </c>
      <c r="Z834" s="150">
        <v>4.0</v>
      </c>
    </row>
    <row r="835">
      <c r="B835" s="33"/>
      <c r="C835" s="33"/>
      <c r="D835" s="156"/>
      <c r="F835" s="157"/>
      <c r="H835" s="90"/>
      <c r="W835" s="151" t="s">
        <v>84</v>
      </c>
      <c r="X835" s="150" t="s">
        <v>1454</v>
      </c>
      <c r="Y835" s="150" t="s">
        <v>792</v>
      </c>
      <c r="Z835" s="150">
        <v>7.0</v>
      </c>
    </row>
    <row r="836">
      <c r="B836" s="33"/>
      <c r="C836" s="33"/>
      <c r="D836" s="156"/>
      <c r="F836" s="157"/>
      <c r="H836" s="90"/>
      <c r="W836" s="149" t="s">
        <v>504</v>
      </c>
      <c r="X836" s="150" t="s">
        <v>1454</v>
      </c>
      <c r="Y836" s="150" t="s">
        <v>903</v>
      </c>
      <c r="Z836" s="150">
        <v>1.0</v>
      </c>
    </row>
    <row r="837">
      <c r="B837" s="33"/>
      <c r="C837" s="33"/>
      <c r="D837" s="156"/>
      <c r="F837" s="157"/>
      <c r="H837" s="90"/>
      <c r="W837" s="151" t="s">
        <v>60</v>
      </c>
      <c r="X837" s="150" t="s">
        <v>1535</v>
      </c>
      <c r="Y837" s="150" t="s">
        <v>906</v>
      </c>
      <c r="Z837" s="150">
        <v>7.0</v>
      </c>
    </row>
    <row r="838">
      <c r="B838" s="33"/>
      <c r="C838" s="33"/>
      <c r="D838" s="156"/>
      <c r="F838" s="157"/>
      <c r="H838" s="90"/>
      <c r="W838" s="151" t="s">
        <v>78</v>
      </c>
      <c r="X838" s="150" t="s">
        <v>1143</v>
      </c>
      <c r="Y838" s="150" t="s">
        <v>917</v>
      </c>
      <c r="Z838" s="150">
        <v>1.0</v>
      </c>
    </row>
    <row r="839">
      <c r="B839" s="33"/>
      <c r="C839" s="33"/>
      <c r="D839" s="156"/>
      <c r="F839" s="157"/>
      <c r="H839" s="90"/>
      <c r="W839" s="151" t="s">
        <v>78</v>
      </c>
      <c r="X839" s="150" t="s">
        <v>1143</v>
      </c>
      <c r="Y839" s="150" t="s">
        <v>658</v>
      </c>
      <c r="Z839" s="150">
        <v>24.0</v>
      </c>
    </row>
    <row r="840">
      <c r="B840" s="33"/>
      <c r="C840" s="33"/>
      <c r="D840" s="156"/>
      <c r="F840" s="157"/>
      <c r="H840" s="90"/>
      <c r="W840" s="151" t="s">
        <v>78</v>
      </c>
      <c r="X840" s="150" t="s">
        <v>1143</v>
      </c>
      <c r="Y840" s="150" t="s">
        <v>746</v>
      </c>
      <c r="Z840" s="150">
        <v>5.0</v>
      </c>
    </row>
    <row r="841">
      <c r="B841" s="33"/>
      <c r="C841" s="33"/>
      <c r="D841" s="156"/>
      <c r="F841" s="157"/>
      <c r="H841" s="90"/>
      <c r="W841" s="151" t="s">
        <v>78</v>
      </c>
      <c r="X841" s="150" t="s">
        <v>1143</v>
      </c>
      <c r="Y841" s="150" t="s">
        <v>862</v>
      </c>
      <c r="Z841" s="150">
        <v>2.0</v>
      </c>
    </row>
    <row r="842">
      <c r="B842" s="33"/>
      <c r="C842" s="33"/>
      <c r="D842" s="156"/>
      <c r="F842" s="157"/>
      <c r="H842" s="90"/>
      <c r="W842" s="151" t="s">
        <v>78</v>
      </c>
      <c r="X842" s="150" t="s">
        <v>1143</v>
      </c>
      <c r="Y842" s="150" t="s">
        <v>959</v>
      </c>
      <c r="Z842" s="150">
        <v>11.0</v>
      </c>
    </row>
    <row r="843">
      <c r="B843" s="33"/>
      <c r="C843" s="33"/>
      <c r="D843" s="156"/>
      <c r="F843" s="157"/>
      <c r="H843" s="90"/>
      <c r="W843" s="151" t="s">
        <v>78</v>
      </c>
      <c r="X843" s="150" t="s">
        <v>1143</v>
      </c>
      <c r="Y843" s="150" t="s">
        <v>855</v>
      </c>
      <c r="Z843" s="150">
        <v>1.0</v>
      </c>
    </row>
    <row r="844">
      <c r="B844" s="33"/>
      <c r="C844" s="33"/>
      <c r="D844" s="156"/>
      <c r="F844" s="157"/>
      <c r="H844" s="90"/>
      <c r="W844" s="151" t="s">
        <v>78</v>
      </c>
      <c r="X844" s="150" t="s">
        <v>1143</v>
      </c>
      <c r="Y844" s="150" t="s">
        <v>715</v>
      </c>
      <c r="Z844" s="150">
        <v>15.0</v>
      </c>
    </row>
    <row r="845">
      <c r="B845" s="33"/>
      <c r="C845" s="33"/>
      <c r="D845" s="156"/>
      <c r="F845" s="157"/>
      <c r="H845" s="90"/>
      <c r="W845" s="151" t="s">
        <v>159</v>
      </c>
      <c r="X845" s="150" t="s">
        <v>1637</v>
      </c>
      <c r="Y845" s="150" t="s">
        <v>4188</v>
      </c>
      <c r="Z845" s="150">
        <v>1.0</v>
      </c>
    </row>
    <row r="846">
      <c r="B846" s="33"/>
      <c r="C846" s="33"/>
      <c r="D846" s="156"/>
      <c r="F846" s="157"/>
      <c r="H846" s="90"/>
      <c r="W846" s="149" t="s">
        <v>504</v>
      </c>
      <c r="X846" s="150" t="s">
        <v>1637</v>
      </c>
      <c r="Y846" s="150" t="s">
        <v>542</v>
      </c>
      <c r="Z846" s="150">
        <v>2.0</v>
      </c>
    </row>
    <row r="847">
      <c r="B847" s="33"/>
      <c r="C847" s="33"/>
      <c r="D847" s="156"/>
      <c r="F847" s="157"/>
      <c r="H847" s="90"/>
      <c r="W847" s="149" t="s">
        <v>504</v>
      </c>
      <c r="X847" s="150" t="s">
        <v>1637</v>
      </c>
      <c r="Y847" s="150" t="s">
        <v>554</v>
      </c>
      <c r="Z847" s="150">
        <v>2.0</v>
      </c>
    </row>
    <row r="848">
      <c r="B848" s="33"/>
      <c r="C848" s="33"/>
      <c r="D848" s="156"/>
      <c r="F848" s="157"/>
      <c r="H848" s="90"/>
      <c r="W848" s="151" t="s">
        <v>159</v>
      </c>
      <c r="X848" s="150" t="s">
        <v>1637</v>
      </c>
      <c r="Y848" s="150" t="s">
        <v>4189</v>
      </c>
      <c r="Z848" s="150">
        <v>1.0</v>
      </c>
    </row>
    <row r="849">
      <c r="B849" s="33"/>
      <c r="C849" s="33"/>
      <c r="D849" s="156"/>
      <c r="F849" s="157"/>
      <c r="H849" s="90"/>
      <c r="W849" s="151" t="s">
        <v>159</v>
      </c>
      <c r="X849" s="150" t="s">
        <v>1637</v>
      </c>
      <c r="Y849" s="150" t="s">
        <v>526</v>
      </c>
      <c r="Z849" s="150">
        <v>138.0</v>
      </c>
    </row>
    <row r="850">
      <c r="B850" s="33"/>
      <c r="C850" s="33"/>
      <c r="D850" s="156"/>
      <c r="F850" s="157"/>
      <c r="H850" s="90"/>
      <c r="W850" s="149" t="s">
        <v>504</v>
      </c>
      <c r="X850" s="150" t="s">
        <v>1637</v>
      </c>
      <c r="Y850" s="150" t="s">
        <v>556</v>
      </c>
      <c r="Z850" s="150">
        <v>1.0</v>
      </c>
    </row>
    <row r="851">
      <c r="B851" s="33"/>
      <c r="C851" s="33"/>
      <c r="D851" s="156"/>
      <c r="F851" s="157"/>
      <c r="H851" s="90"/>
      <c r="W851" s="151" t="s">
        <v>159</v>
      </c>
      <c r="X851" s="150" t="s">
        <v>1637</v>
      </c>
      <c r="Y851" s="150" t="s">
        <v>556</v>
      </c>
      <c r="Z851" s="150">
        <v>63.0</v>
      </c>
    </row>
    <row r="852">
      <c r="B852" s="33"/>
      <c r="C852" s="33"/>
      <c r="D852" s="156"/>
      <c r="F852" s="157"/>
      <c r="H852" s="90"/>
      <c r="W852" s="151" t="s">
        <v>159</v>
      </c>
      <c r="X852" s="150" t="s">
        <v>1637</v>
      </c>
      <c r="Y852" s="150" t="s">
        <v>660</v>
      </c>
      <c r="Z852" s="150">
        <v>9.0</v>
      </c>
    </row>
    <row r="853">
      <c r="B853" s="33"/>
      <c r="C853" s="33"/>
      <c r="D853" s="156"/>
      <c r="F853" s="157"/>
      <c r="H853" s="90"/>
      <c r="W853" s="149" t="s">
        <v>504</v>
      </c>
      <c r="X853" s="150" t="s">
        <v>1637</v>
      </c>
      <c r="Y853" s="150" t="s">
        <v>558</v>
      </c>
      <c r="Z853" s="150">
        <v>1.0</v>
      </c>
    </row>
    <row r="854">
      <c r="B854" s="33"/>
      <c r="C854" s="33"/>
      <c r="D854" s="156"/>
      <c r="F854" s="157"/>
      <c r="H854" s="90"/>
      <c r="W854" s="151" t="s">
        <v>159</v>
      </c>
      <c r="X854" s="150" t="s">
        <v>1637</v>
      </c>
      <c r="Y854" s="150" t="s">
        <v>542</v>
      </c>
      <c r="Z854" s="150">
        <v>69.0</v>
      </c>
    </row>
    <row r="855">
      <c r="B855" s="33"/>
      <c r="C855" s="33"/>
      <c r="D855" s="156"/>
      <c r="F855" s="157"/>
      <c r="H855" s="90"/>
      <c r="W855" s="149" t="s">
        <v>504</v>
      </c>
      <c r="X855" s="150" t="s">
        <v>1637</v>
      </c>
      <c r="Y855" s="150" t="s">
        <v>607</v>
      </c>
      <c r="Z855" s="150">
        <v>3.0</v>
      </c>
    </row>
    <row r="856">
      <c r="B856" s="33"/>
      <c r="C856" s="33"/>
      <c r="D856" s="156"/>
      <c r="F856" s="157"/>
      <c r="H856" s="90"/>
      <c r="W856" s="149" t="s">
        <v>504</v>
      </c>
      <c r="X856" s="150" t="s">
        <v>1637</v>
      </c>
      <c r="Y856" s="150" t="s">
        <v>663</v>
      </c>
      <c r="Z856" s="150">
        <v>9.0</v>
      </c>
    </row>
    <row r="857">
      <c r="B857" s="33"/>
      <c r="C857" s="33"/>
      <c r="D857" s="156"/>
      <c r="F857" s="157"/>
      <c r="H857" s="90"/>
      <c r="W857" s="151" t="s">
        <v>159</v>
      </c>
      <c r="X857" s="150" t="s">
        <v>1637</v>
      </c>
      <c r="Y857" s="150" t="s">
        <v>782</v>
      </c>
      <c r="Z857" s="150">
        <v>13.0</v>
      </c>
    </row>
    <row r="858">
      <c r="B858" s="33"/>
      <c r="C858" s="33"/>
      <c r="D858" s="156"/>
      <c r="F858" s="157"/>
      <c r="H858" s="90"/>
      <c r="W858" s="151" t="s">
        <v>159</v>
      </c>
      <c r="X858" s="150" t="s">
        <v>1637</v>
      </c>
      <c r="Y858" s="150" t="s">
        <v>4190</v>
      </c>
      <c r="Z858" s="150">
        <v>1.0</v>
      </c>
    </row>
    <row r="859">
      <c r="B859" s="33"/>
      <c r="C859" s="33"/>
      <c r="D859" s="156"/>
      <c r="F859" s="157"/>
      <c r="H859" s="90"/>
      <c r="W859" s="151" t="s">
        <v>159</v>
      </c>
      <c r="X859" s="150" t="s">
        <v>1637</v>
      </c>
      <c r="Y859" s="150" t="s">
        <v>4191</v>
      </c>
      <c r="Z859" s="150">
        <v>1.0</v>
      </c>
    </row>
    <row r="860">
      <c r="B860" s="33"/>
      <c r="C860" s="33"/>
      <c r="D860" s="156"/>
      <c r="F860" s="157"/>
      <c r="H860" s="90"/>
      <c r="W860" s="151" t="s">
        <v>159</v>
      </c>
      <c r="X860" s="150" t="s">
        <v>1637</v>
      </c>
      <c r="Y860" s="150" t="s">
        <v>667</v>
      </c>
      <c r="Z860" s="150">
        <v>55.0</v>
      </c>
    </row>
    <row r="861">
      <c r="B861" s="33"/>
      <c r="C861" s="33"/>
      <c r="D861" s="156"/>
      <c r="F861" s="157"/>
      <c r="H861" s="90"/>
      <c r="W861" s="151" t="s">
        <v>159</v>
      </c>
      <c r="X861" s="150" t="s">
        <v>1637</v>
      </c>
      <c r="Y861" s="150" t="s">
        <v>663</v>
      </c>
      <c r="Z861" s="150">
        <v>145.0</v>
      </c>
    </row>
    <row r="862">
      <c r="B862" s="33"/>
      <c r="C862" s="33"/>
      <c r="D862" s="156"/>
      <c r="F862" s="157"/>
      <c r="H862" s="90"/>
      <c r="W862" s="151" t="s">
        <v>159</v>
      </c>
      <c r="X862" s="150" t="s">
        <v>1637</v>
      </c>
      <c r="Y862" s="150" t="s">
        <v>4192</v>
      </c>
      <c r="Z862" s="150">
        <v>1.0</v>
      </c>
    </row>
    <row r="863">
      <c r="B863" s="33"/>
      <c r="C863" s="33"/>
      <c r="D863" s="156"/>
      <c r="F863" s="157"/>
      <c r="H863" s="90"/>
      <c r="W863" s="151" t="s">
        <v>159</v>
      </c>
      <c r="X863" s="150" t="s">
        <v>1637</v>
      </c>
      <c r="Y863" s="150" t="s">
        <v>607</v>
      </c>
      <c r="Z863" s="150">
        <v>64.0</v>
      </c>
    </row>
    <row r="864">
      <c r="B864" s="33"/>
      <c r="C864" s="33"/>
      <c r="D864" s="156"/>
      <c r="F864" s="157"/>
      <c r="H864" s="90"/>
      <c r="W864" s="151" t="s">
        <v>159</v>
      </c>
      <c r="X864" s="150" t="s">
        <v>1637</v>
      </c>
      <c r="Y864" s="150" t="s">
        <v>554</v>
      </c>
      <c r="Z864" s="150">
        <v>47.0</v>
      </c>
    </row>
    <row r="865">
      <c r="B865" s="33"/>
      <c r="C865" s="33"/>
      <c r="D865" s="156"/>
      <c r="F865" s="157"/>
      <c r="H865" s="90"/>
      <c r="W865" s="149" t="s">
        <v>504</v>
      </c>
      <c r="X865" s="150" t="s">
        <v>1637</v>
      </c>
      <c r="Y865" s="150" t="s">
        <v>575</v>
      </c>
      <c r="Z865" s="150">
        <v>2.0</v>
      </c>
    </row>
    <row r="866">
      <c r="B866" s="33"/>
      <c r="C866" s="33"/>
      <c r="D866" s="156"/>
      <c r="F866" s="157"/>
      <c r="H866" s="90"/>
      <c r="W866" s="151" t="s">
        <v>159</v>
      </c>
      <c r="X866" s="150" t="s">
        <v>1637</v>
      </c>
      <c r="Y866" s="150" t="s">
        <v>558</v>
      </c>
      <c r="Z866" s="150">
        <v>58.0</v>
      </c>
    </row>
    <row r="867">
      <c r="B867" s="33"/>
      <c r="C867" s="33"/>
      <c r="D867" s="156"/>
      <c r="F867" s="157"/>
      <c r="H867" s="90"/>
      <c r="W867" s="151" t="s">
        <v>159</v>
      </c>
      <c r="X867" s="150" t="s">
        <v>1637</v>
      </c>
      <c r="Y867" s="150" t="s">
        <v>687</v>
      </c>
      <c r="Z867" s="150">
        <v>34.0</v>
      </c>
    </row>
    <row r="868">
      <c r="B868" s="33"/>
      <c r="C868" s="33"/>
      <c r="D868" s="156"/>
      <c r="F868" s="157"/>
      <c r="H868" s="90"/>
      <c r="W868" s="151" t="s">
        <v>159</v>
      </c>
      <c r="X868" s="150" t="s">
        <v>1637</v>
      </c>
      <c r="Y868" s="150" t="s">
        <v>905</v>
      </c>
      <c r="Z868" s="150">
        <v>8.0</v>
      </c>
    </row>
    <row r="869">
      <c r="B869" s="33"/>
      <c r="C869" s="33"/>
      <c r="D869" s="156"/>
      <c r="F869" s="157"/>
      <c r="H869" s="90"/>
      <c r="W869" s="151" t="s">
        <v>4193</v>
      </c>
      <c r="X869" s="150" t="s">
        <v>1637</v>
      </c>
      <c r="Y869" s="150" t="s">
        <v>526</v>
      </c>
      <c r="Z869" s="150">
        <v>1.0</v>
      </c>
    </row>
    <row r="870">
      <c r="B870" s="33"/>
      <c r="C870" s="33"/>
      <c r="D870" s="156"/>
      <c r="F870" s="157"/>
      <c r="H870" s="90"/>
      <c r="W870" s="151" t="s">
        <v>159</v>
      </c>
      <c r="X870" s="150" t="s">
        <v>1637</v>
      </c>
      <c r="Y870" s="150" t="s">
        <v>4194</v>
      </c>
      <c r="Z870" s="150">
        <v>2.0</v>
      </c>
    </row>
    <row r="871">
      <c r="B871" s="33"/>
      <c r="C871" s="33"/>
      <c r="D871" s="156"/>
      <c r="F871" s="157"/>
      <c r="H871" s="90"/>
      <c r="W871" s="149" t="s">
        <v>504</v>
      </c>
      <c r="X871" s="150" t="s">
        <v>1637</v>
      </c>
      <c r="Y871" s="150" t="s">
        <v>572</v>
      </c>
      <c r="Z871" s="150">
        <v>1.0</v>
      </c>
    </row>
    <row r="872">
      <c r="B872" s="33"/>
      <c r="C872" s="33"/>
      <c r="D872" s="156"/>
      <c r="F872" s="157"/>
      <c r="H872" s="90"/>
      <c r="W872" s="151" t="s">
        <v>159</v>
      </c>
      <c r="X872" s="150" t="s">
        <v>1637</v>
      </c>
      <c r="Y872" s="150" t="s">
        <v>525</v>
      </c>
      <c r="Z872" s="150">
        <v>416.0</v>
      </c>
    </row>
    <row r="873">
      <c r="B873" s="33"/>
      <c r="C873" s="33"/>
      <c r="D873" s="156"/>
      <c r="F873" s="157"/>
      <c r="H873" s="90"/>
      <c r="W873" s="149" t="s">
        <v>504</v>
      </c>
      <c r="X873" s="150" t="s">
        <v>1637</v>
      </c>
      <c r="Y873" s="150" t="s">
        <v>525</v>
      </c>
      <c r="Z873" s="150">
        <v>5.0</v>
      </c>
    </row>
    <row r="874">
      <c r="B874" s="33"/>
      <c r="C874" s="33"/>
      <c r="D874" s="156"/>
      <c r="F874" s="157"/>
      <c r="H874" s="90"/>
      <c r="W874" s="151" t="s">
        <v>159</v>
      </c>
      <c r="X874" s="150" t="s">
        <v>1637</v>
      </c>
      <c r="Y874" s="150" t="s">
        <v>4195</v>
      </c>
      <c r="Z874" s="150">
        <v>3.0</v>
      </c>
    </row>
    <row r="875">
      <c r="B875" s="33"/>
      <c r="C875" s="33"/>
      <c r="D875" s="156"/>
      <c r="F875" s="157"/>
      <c r="H875" s="90"/>
      <c r="W875" s="151" t="s">
        <v>159</v>
      </c>
      <c r="X875" s="150" t="s">
        <v>1637</v>
      </c>
      <c r="Y875" s="150" t="s">
        <v>575</v>
      </c>
      <c r="Z875" s="150">
        <v>106.0</v>
      </c>
    </row>
    <row r="876">
      <c r="B876" s="33"/>
      <c r="C876" s="33"/>
      <c r="D876" s="156"/>
      <c r="F876" s="157"/>
      <c r="H876" s="90"/>
      <c r="W876" s="151" t="s">
        <v>159</v>
      </c>
      <c r="X876" s="150" t="s">
        <v>1637</v>
      </c>
      <c r="Y876" s="150" t="s">
        <v>961</v>
      </c>
      <c r="Z876" s="150">
        <v>24.0</v>
      </c>
    </row>
    <row r="877">
      <c r="B877" s="33"/>
      <c r="C877" s="33"/>
      <c r="D877" s="156"/>
      <c r="F877" s="157"/>
      <c r="H877" s="90"/>
      <c r="W877" s="151" t="s">
        <v>182</v>
      </c>
      <c r="X877" s="150" t="s">
        <v>1637</v>
      </c>
      <c r="Y877" s="150" t="s">
        <v>687</v>
      </c>
      <c r="Z877" s="150">
        <v>1.0</v>
      </c>
    </row>
    <row r="878">
      <c r="B878" s="33"/>
      <c r="C878" s="33"/>
      <c r="D878" s="156"/>
      <c r="F878" s="157"/>
      <c r="H878" s="90"/>
      <c r="W878" s="149" t="s">
        <v>504</v>
      </c>
      <c r="X878" s="150" t="s">
        <v>1637</v>
      </c>
      <c r="Y878" s="150" t="s">
        <v>526</v>
      </c>
      <c r="Z878" s="150">
        <v>2.0</v>
      </c>
    </row>
    <row r="879">
      <c r="B879" s="33"/>
      <c r="C879" s="33"/>
      <c r="D879" s="156"/>
      <c r="F879" s="157"/>
      <c r="H879" s="90"/>
      <c r="W879" s="151" t="s">
        <v>159</v>
      </c>
      <c r="X879" s="150" t="s">
        <v>1637</v>
      </c>
      <c r="Y879" s="150" t="s">
        <v>572</v>
      </c>
      <c r="Z879" s="150">
        <v>18.0</v>
      </c>
    </row>
    <row r="880">
      <c r="B880" s="33"/>
      <c r="C880" s="33"/>
      <c r="D880" s="156"/>
      <c r="F880" s="157"/>
      <c r="H880" s="90"/>
      <c r="W880" s="151" t="s">
        <v>159</v>
      </c>
      <c r="X880" s="150" t="s">
        <v>1637</v>
      </c>
      <c r="Y880" s="150" t="s">
        <v>575</v>
      </c>
      <c r="Z880" s="150">
        <v>1.0</v>
      </c>
    </row>
    <row r="881">
      <c r="B881" s="33"/>
      <c r="C881" s="33"/>
      <c r="D881" s="156"/>
      <c r="F881" s="157"/>
      <c r="H881" s="90"/>
      <c r="W881" s="151" t="s">
        <v>159</v>
      </c>
      <c r="X881" s="150" t="s">
        <v>4196</v>
      </c>
      <c r="Y881" s="150" t="s">
        <v>4197</v>
      </c>
      <c r="Z881" s="150">
        <v>1.0</v>
      </c>
    </row>
    <row r="882">
      <c r="B882" s="33"/>
      <c r="C882" s="33"/>
      <c r="D882" s="156"/>
      <c r="F882" s="157"/>
      <c r="H882" s="90"/>
      <c r="W882" s="151" t="s">
        <v>159</v>
      </c>
      <c r="X882" s="150" t="s">
        <v>4198</v>
      </c>
      <c r="Y882" s="150" t="s">
        <v>945</v>
      </c>
      <c r="Z882" s="150">
        <v>1.0</v>
      </c>
    </row>
    <row r="883">
      <c r="B883" s="33"/>
      <c r="C883" s="33"/>
      <c r="D883" s="156"/>
      <c r="F883" s="157"/>
      <c r="H883" s="90"/>
      <c r="W883" s="151" t="s">
        <v>159</v>
      </c>
      <c r="X883" s="150" t="s">
        <v>4199</v>
      </c>
      <c r="Y883" s="150" t="s">
        <v>4200</v>
      </c>
      <c r="Z883" s="150">
        <v>1.0</v>
      </c>
    </row>
    <row r="884">
      <c r="B884" s="33"/>
      <c r="C884" s="33"/>
      <c r="D884" s="156"/>
      <c r="F884" s="157"/>
      <c r="H884" s="90"/>
      <c r="W884" s="151" t="s">
        <v>159</v>
      </c>
      <c r="X884" s="150" t="s">
        <v>4199</v>
      </c>
      <c r="Y884" s="150" t="s">
        <v>4201</v>
      </c>
      <c r="Z884" s="150">
        <v>1.0</v>
      </c>
    </row>
    <row r="885">
      <c r="B885" s="33"/>
      <c r="C885" s="33"/>
      <c r="D885" s="156"/>
      <c r="F885" s="157"/>
      <c r="H885" s="90"/>
      <c r="W885" s="149" t="s">
        <v>504</v>
      </c>
      <c r="X885" s="150" t="s">
        <v>2420</v>
      </c>
      <c r="Y885" s="150" t="s">
        <v>512</v>
      </c>
      <c r="Z885" s="150">
        <v>5.0</v>
      </c>
    </row>
    <row r="886">
      <c r="B886" s="33"/>
      <c r="C886" s="33"/>
      <c r="D886" s="156"/>
      <c r="F886" s="157"/>
      <c r="H886" s="90"/>
      <c r="W886" s="151" t="s">
        <v>84</v>
      </c>
      <c r="X886" s="150" t="s">
        <v>2420</v>
      </c>
      <c r="Y886" s="150" t="s">
        <v>512</v>
      </c>
      <c r="Z886" s="150">
        <v>219.0</v>
      </c>
    </row>
    <row r="887">
      <c r="B887" s="33"/>
      <c r="C887" s="33"/>
      <c r="D887" s="156"/>
      <c r="F887" s="157"/>
      <c r="H887" s="90"/>
      <c r="W887" s="149" t="s">
        <v>504</v>
      </c>
      <c r="X887" s="150" t="s">
        <v>2420</v>
      </c>
      <c r="Y887" s="150" t="s">
        <v>562</v>
      </c>
      <c r="Z887" s="150">
        <v>5.0</v>
      </c>
    </row>
    <row r="888">
      <c r="B888" s="33"/>
      <c r="C888" s="33"/>
      <c r="D888" s="156"/>
      <c r="F888" s="157"/>
      <c r="H888" s="90"/>
      <c r="W888" s="151" t="s">
        <v>84</v>
      </c>
      <c r="X888" s="150" t="s">
        <v>2420</v>
      </c>
      <c r="Y888" s="150" t="s">
        <v>622</v>
      </c>
      <c r="Z888" s="150">
        <v>22.0</v>
      </c>
    </row>
    <row r="889">
      <c r="B889" s="33"/>
      <c r="C889" s="33"/>
      <c r="D889" s="156"/>
      <c r="F889" s="157"/>
      <c r="H889" s="90"/>
      <c r="W889" s="149" t="s">
        <v>504</v>
      </c>
      <c r="X889" s="150" t="s">
        <v>2420</v>
      </c>
      <c r="Y889" s="150" t="s">
        <v>561</v>
      </c>
      <c r="Z889" s="150">
        <v>2.0</v>
      </c>
    </row>
    <row r="890">
      <c r="B890" s="33"/>
      <c r="C890" s="33"/>
      <c r="D890" s="156"/>
      <c r="F890" s="157"/>
      <c r="H890" s="90"/>
      <c r="W890" s="151" t="s">
        <v>84</v>
      </c>
      <c r="X890" s="150" t="s">
        <v>2420</v>
      </c>
      <c r="Y890" s="150" t="s">
        <v>608</v>
      </c>
      <c r="Z890" s="150">
        <v>47.0</v>
      </c>
    </row>
    <row r="891">
      <c r="B891" s="33"/>
      <c r="C891" s="33"/>
      <c r="D891" s="156"/>
      <c r="F891" s="157"/>
      <c r="H891" s="90"/>
      <c r="W891" s="151" t="s">
        <v>84</v>
      </c>
      <c r="X891" s="150" t="s">
        <v>2420</v>
      </c>
      <c r="Y891" s="150" t="s">
        <v>561</v>
      </c>
      <c r="Z891" s="150">
        <v>103.0</v>
      </c>
    </row>
    <row r="892">
      <c r="B892" s="33"/>
      <c r="C892" s="33"/>
      <c r="D892" s="156"/>
      <c r="F892" s="157"/>
      <c r="H892" s="90"/>
      <c r="W892" s="151" t="s">
        <v>84</v>
      </c>
      <c r="X892" s="150" t="s">
        <v>2420</v>
      </c>
      <c r="Y892" s="150" t="s">
        <v>562</v>
      </c>
      <c r="Z892" s="150">
        <v>180.0</v>
      </c>
    </row>
    <row r="893">
      <c r="B893" s="33"/>
      <c r="C893" s="33"/>
      <c r="D893" s="156"/>
      <c r="F893" s="157"/>
      <c r="H893" s="90"/>
      <c r="W893" s="149" t="s">
        <v>504</v>
      </c>
      <c r="X893" s="150" t="s">
        <v>2420</v>
      </c>
      <c r="Y893" s="150" t="s">
        <v>622</v>
      </c>
      <c r="Z893" s="150">
        <v>1.0</v>
      </c>
    </row>
    <row r="894">
      <c r="B894" s="33"/>
      <c r="C894" s="33"/>
      <c r="D894" s="156"/>
      <c r="F894" s="157"/>
      <c r="H894" s="90"/>
      <c r="W894" s="151" t="s">
        <v>84</v>
      </c>
      <c r="X894" s="150" t="s">
        <v>2420</v>
      </c>
      <c r="Y894" s="150" t="s">
        <v>608</v>
      </c>
      <c r="Z894" s="150">
        <v>1.0</v>
      </c>
    </row>
    <row r="895">
      <c r="B895" s="33"/>
      <c r="C895" s="33"/>
      <c r="D895" s="156"/>
      <c r="F895" s="157"/>
      <c r="H895" s="90"/>
      <c r="W895" s="151" t="s">
        <v>84</v>
      </c>
      <c r="X895" s="150" t="s">
        <v>4202</v>
      </c>
      <c r="Y895" s="150" t="s">
        <v>4203</v>
      </c>
      <c r="Z895" s="150">
        <v>1.0</v>
      </c>
    </row>
    <row r="896">
      <c r="B896" s="33"/>
      <c r="C896" s="33"/>
      <c r="D896" s="156"/>
      <c r="F896" s="157"/>
      <c r="H896" s="90"/>
      <c r="W896" s="151" t="s">
        <v>159</v>
      </c>
      <c r="X896" s="150" t="s">
        <v>1503</v>
      </c>
      <c r="Y896" s="150" t="s">
        <v>788</v>
      </c>
      <c r="Z896" s="150">
        <v>22.0</v>
      </c>
    </row>
    <row r="897">
      <c r="B897" s="33"/>
      <c r="C897" s="33"/>
      <c r="D897" s="156"/>
      <c r="F897" s="157"/>
      <c r="H897" s="90"/>
      <c r="W897" s="149" t="s">
        <v>504</v>
      </c>
      <c r="X897" s="150" t="s">
        <v>1503</v>
      </c>
      <c r="Y897" s="150" t="s">
        <v>907</v>
      </c>
      <c r="Z897" s="150">
        <v>1.0</v>
      </c>
    </row>
    <row r="898">
      <c r="B898" s="33"/>
      <c r="C898" s="33"/>
      <c r="D898" s="156"/>
      <c r="F898" s="157"/>
      <c r="H898" s="90"/>
      <c r="W898" s="151" t="s">
        <v>159</v>
      </c>
      <c r="X898" s="150" t="s">
        <v>1503</v>
      </c>
      <c r="Y898" s="150" t="s">
        <v>712</v>
      </c>
      <c r="Z898" s="150">
        <v>13.0</v>
      </c>
    </row>
    <row r="899">
      <c r="B899" s="33"/>
      <c r="C899" s="33"/>
      <c r="D899" s="156"/>
      <c r="F899" s="157"/>
      <c r="H899" s="90"/>
      <c r="W899" s="151" t="s">
        <v>159</v>
      </c>
      <c r="X899" s="150" t="s">
        <v>1503</v>
      </c>
      <c r="Y899" s="150" t="s">
        <v>807</v>
      </c>
      <c r="Z899" s="150">
        <v>6.0</v>
      </c>
    </row>
    <row r="900">
      <c r="B900" s="33"/>
      <c r="C900" s="33"/>
      <c r="D900" s="156"/>
      <c r="F900" s="157"/>
      <c r="H900" s="90"/>
      <c r="W900" s="151" t="s">
        <v>159</v>
      </c>
      <c r="X900" s="150" t="s">
        <v>1503</v>
      </c>
      <c r="Y900" s="150" t="s">
        <v>734</v>
      </c>
      <c r="Z900" s="150">
        <v>91.0</v>
      </c>
    </row>
    <row r="901">
      <c r="B901" s="33"/>
      <c r="C901" s="33"/>
      <c r="D901" s="156"/>
      <c r="F901" s="157"/>
      <c r="H901" s="90"/>
      <c r="W901" s="149" t="s">
        <v>504</v>
      </c>
      <c r="X901" s="150" t="s">
        <v>1503</v>
      </c>
      <c r="Y901" s="150" t="s">
        <v>734</v>
      </c>
      <c r="Z901" s="150">
        <v>1.0</v>
      </c>
    </row>
    <row r="902">
      <c r="B902" s="33"/>
      <c r="C902" s="33"/>
      <c r="D902" s="156"/>
      <c r="F902" s="157"/>
      <c r="H902" s="90"/>
      <c r="W902" s="151" t="s">
        <v>159</v>
      </c>
      <c r="X902" s="150" t="s">
        <v>1503</v>
      </c>
      <c r="Y902" s="150" t="s">
        <v>907</v>
      </c>
      <c r="Z902" s="150">
        <v>17.0</v>
      </c>
    </row>
    <row r="903">
      <c r="B903" s="33"/>
      <c r="C903" s="33"/>
      <c r="D903" s="156"/>
      <c r="F903" s="157"/>
      <c r="H903" s="90"/>
      <c r="W903" s="151" t="s">
        <v>182</v>
      </c>
      <c r="X903" s="150" t="s">
        <v>4204</v>
      </c>
      <c r="Y903" s="150" t="s">
        <v>4205</v>
      </c>
      <c r="Z903" s="150">
        <v>2.0</v>
      </c>
    </row>
    <row r="904">
      <c r="B904" s="33"/>
      <c r="C904" s="33"/>
      <c r="D904" s="156"/>
      <c r="F904" s="157"/>
      <c r="H904" s="90"/>
      <c r="W904" s="151" t="s">
        <v>182</v>
      </c>
      <c r="X904" s="150" t="s">
        <v>1116</v>
      </c>
      <c r="Y904" s="150" t="s">
        <v>513</v>
      </c>
      <c r="Z904" s="150">
        <v>1.0</v>
      </c>
    </row>
    <row r="905">
      <c r="B905" s="33"/>
      <c r="C905" s="33"/>
      <c r="D905" s="156"/>
      <c r="F905" s="157"/>
      <c r="H905" s="90"/>
      <c r="W905" s="151" t="s">
        <v>182</v>
      </c>
      <c r="X905" s="150" t="s">
        <v>1116</v>
      </c>
      <c r="Y905" s="150" t="s">
        <v>35</v>
      </c>
      <c r="Z905" s="150">
        <v>6.0</v>
      </c>
    </row>
    <row r="906">
      <c r="B906" s="33"/>
      <c r="C906" s="33"/>
      <c r="D906" s="156"/>
      <c r="F906" s="157"/>
      <c r="H906" s="90"/>
      <c r="W906" s="151" t="s">
        <v>182</v>
      </c>
      <c r="X906" s="150" t="s">
        <v>1116</v>
      </c>
      <c r="Y906" s="150" t="s">
        <v>4206</v>
      </c>
      <c r="Z906" s="150">
        <v>1.0</v>
      </c>
    </row>
    <row r="907">
      <c r="B907" s="33"/>
      <c r="C907" s="33"/>
      <c r="D907" s="156"/>
      <c r="F907" s="157"/>
      <c r="H907" s="90"/>
      <c r="W907" s="151" t="s">
        <v>182</v>
      </c>
      <c r="X907" s="150" t="s">
        <v>1116</v>
      </c>
      <c r="Y907" s="150" t="s">
        <v>543</v>
      </c>
      <c r="Z907" s="150">
        <v>377.0</v>
      </c>
    </row>
    <row r="908">
      <c r="B908" s="33"/>
      <c r="C908" s="33"/>
      <c r="D908" s="156"/>
      <c r="F908" s="157"/>
      <c r="H908" s="90"/>
      <c r="W908" s="151" t="s">
        <v>182</v>
      </c>
      <c r="X908" s="150" t="s">
        <v>1116</v>
      </c>
      <c r="Y908" s="150" t="s">
        <v>4207</v>
      </c>
      <c r="Z908" s="150">
        <v>1.0</v>
      </c>
    </row>
    <row r="909">
      <c r="B909" s="33"/>
      <c r="C909" s="33"/>
      <c r="D909" s="156"/>
      <c r="F909" s="157"/>
      <c r="H909" s="90"/>
      <c r="W909" s="151" t="s">
        <v>182</v>
      </c>
      <c r="X909" s="150" t="s">
        <v>1116</v>
      </c>
      <c r="Y909" s="150" t="s">
        <v>4208</v>
      </c>
      <c r="Z909" s="150">
        <v>1.0</v>
      </c>
    </row>
    <row r="910">
      <c r="B910" s="33"/>
      <c r="C910" s="33"/>
      <c r="D910" s="156"/>
      <c r="F910" s="157"/>
      <c r="H910" s="90"/>
      <c r="W910" s="151" t="s">
        <v>182</v>
      </c>
      <c r="X910" s="150" t="s">
        <v>1116</v>
      </c>
      <c r="Y910" s="150" t="s">
        <v>4209</v>
      </c>
      <c r="Z910" s="150">
        <v>5.0</v>
      </c>
    </row>
    <row r="911">
      <c r="B911" s="33"/>
      <c r="C911" s="33"/>
      <c r="D911" s="156"/>
      <c r="F911" s="157"/>
      <c r="H911" s="90"/>
      <c r="W911" s="151" t="s">
        <v>182</v>
      </c>
      <c r="X911" s="150" t="s">
        <v>1116</v>
      </c>
      <c r="Y911" s="150" t="s">
        <v>506</v>
      </c>
      <c r="Z911" s="150">
        <v>1975.0</v>
      </c>
    </row>
    <row r="912">
      <c r="B912" s="33"/>
      <c r="C912" s="33"/>
      <c r="D912" s="156"/>
      <c r="F912" s="157"/>
      <c r="H912" s="90"/>
      <c r="W912" s="151" t="s">
        <v>147</v>
      </c>
      <c r="X912" s="150" t="s">
        <v>1116</v>
      </c>
      <c r="Y912" s="150" t="s">
        <v>4210</v>
      </c>
      <c r="Z912" s="150">
        <v>1.0</v>
      </c>
    </row>
    <row r="913">
      <c r="B913" s="33"/>
      <c r="C913" s="33"/>
      <c r="D913" s="156"/>
      <c r="F913" s="157"/>
      <c r="H913" s="90"/>
      <c r="W913" s="151" t="s">
        <v>182</v>
      </c>
      <c r="X913" s="150" t="s">
        <v>1116</v>
      </c>
      <c r="Y913" s="150" t="s">
        <v>4211</v>
      </c>
      <c r="Z913" s="150">
        <v>1.0</v>
      </c>
    </row>
    <row r="914">
      <c r="B914" s="33"/>
      <c r="C914" s="33"/>
      <c r="D914" s="156"/>
      <c r="F914" s="157"/>
      <c r="H914" s="90"/>
      <c r="W914" s="151" t="s">
        <v>147</v>
      </c>
      <c r="X914" s="150" t="s">
        <v>1116</v>
      </c>
      <c r="Y914" s="150" t="s">
        <v>4212</v>
      </c>
      <c r="Z914" s="150">
        <v>1.0</v>
      </c>
    </row>
    <row r="915">
      <c r="B915" s="33"/>
      <c r="C915" s="33"/>
      <c r="D915" s="156"/>
      <c r="F915" s="157"/>
      <c r="H915" s="90"/>
      <c r="W915" s="151" t="s">
        <v>182</v>
      </c>
      <c r="X915" s="150" t="s">
        <v>1116</v>
      </c>
      <c r="Y915" s="150" t="s">
        <v>4213</v>
      </c>
      <c r="Z915" s="150">
        <v>1.0</v>
      </c>
    </row>
    <row r="916">
      <c r="B916" s="33"/>
      <c r="C916" s="33"/>
      <c r="D916" s="156"/>
      <c r="F916" s="157"/>
      <c r="H916" s="90"/>
      <c r="W916" s="151" t="s">
        <v>182</v>
      </c>
      <c r="X916" s="150" t="s">
        <v>1116</v>
      </c>
      <c r="Y916" s="150" t="s">
        <v>548</v>
      </c>
      <c r="Z916" s="150">
        <v>164.0</v>
      </c>
    </row>
    <row r="917">
      <c r="B917" s="33"/>
      <c r="C917" s="33"/>
      <c r="D917" s="156"/>
      <c r="F917" s="157"/>
      <c r="H917" s="90"/>
      <c r="W917" s="149" t="s">
        <v>504</v>
      </c>
      <c r="X917" s="150" t="s">
        <v>1116</v>
      </c>
      <c r="Y917" s="150" t="s">
        <v>548</v>
      </c>
      <c r="Z917" s="150">
        <v>2.0</v>
      </c>
    </row>
    <row r="918">
      <c r="B918" s="33"/>
      <c r="C918" s="33"/>
      <c r="D918" s="156"/>
      <c r="F918" s="157"/>
      <c r="H918" s="90"/>
      <c r="W918" s="151" t="s">
        <v>182</v>
      </c>
      <c r="X918" s="150" t="s">
        <v>1116</v>
      </c>
      <c r="Y918" s="150" t="s">
        <v>4214</v>
      </c>
      <c r="Z918" s="150">
        <v>1.0</v>
      </c>
    </row>
    <row r="919">
      <c r="B919" s="33"/>
      <c r="C919" s="33"/>
      <c r="D919" s="156"/>
      <c r="F919" s="157"/>
      <c r="H919" s="90"/>
      <c r="W919" s="151" t="s">
        <v>4215</v>
      </c>
      <c r="X919" s="150" t="s">
        <v>1116</v>
      </c>
      <c r="Y919" s="150" t="s">
        <v>519</v>
      </c>
      <c r="Z919" s="150">
        <v>1.0</v>
      </c>
    </row>
    <row r="920">
      <c r="B920" s="33"/>
      <c r="C920" s="33"/>
      <c r="D920" s="156"/>
      <c r="F920" s="157"/>
      <c r="H920" s="90"/>
      <c r="W920" s="149" t="s">
        <v>504</v>
      </c>
      <c r="X920" s="150" t="s">
        <v>1116</v>
      </c>
      <c r="Y920" s="150" t="s">
        <v>507</v>
      </c>
      <c r="Z920" s="150">
        <v>6.0</v>
      </c>
    </row>
    <row r="921">
      <c r="B921" s="33"/>
      <c r="C921" s="33"/>
      <c r="D921" s="156"/>
      <c r="F921" s="157"/>
      <c r="H921" s="90"/>
      <c r="W921" s="151" t="s">
        <v>182</v>
      </c>
      <c r="X921" s="150" t="s">
        <v>1116</v>
      </c>
      <c r="Y921" s="150" t="s">
        <v>4216</v>
      </c>
      <c r="Z921" s="150">
        <v>1.0</v>
      </c>
    </row>
    <row r="922">
      <c r="B922" s="33"/>
      <c r="C922" s="33"/>
      <c r="D922" s="156"/>
      <c r="F922" s="157"/>
      <c r="H922" s="90"/>
      <c r="W922" s="151" t="s">
        <v>182</v>
      </c>
      <c r="X922" s="150" t="s">
        <v>1116</v>
      </c>
      <c r="Y922" s="150" t="s">
        <v>577</v>
      </c>
      <c r="Z922" s="150">
        <v>185.0</v>
      </c>
    </row>
    <row r="923">
      <c r="B923" s="33"/>
      <c r="C923" s="33"/>
      <c r="D923" s="156"/>
      <c r="F923" s="157"/>
      <c r="H923" s="90"/>
      <c r="W923" s="151" t="s">
        <v>506</v>
      </c>
      <c r="X923" s="150" t="s">
        <v>1116</v>
      </c>
      <c r="Y923" s="150" t="s">
        <v>507</v>
      </c>
      <c r="Z923" s="150">
        <v>1.0</v>
      </c>
    </row>
    <row r="924">
      <c r="B924" s="33"/>
      <c r="C924" s="33"/>
      <c r="D924" s="156"/>
      <c r="F924" s="157"/>
      <c r="H924" s="90"/>
      <c r="W924" s="149" t="s">
        <v>504</v>
      </c>
      <c r="X924" s="150" t="s">
        <v>1116</v>
      </c>
      <c r="Y924" s="150" t="s">
        <v>543</v>
      </c>
      <c r="Z924" s="150">
        <v>3.0</v>
      </c>
    </row>
    <row r="925">
      <c r="B925" s="33"/>
      <c r="C925" s="33"/>
      <c r="D925" s="156"/>
      <c r="F925" s="157"/>
      <c r="H925" s="90"/>
      <c r="W925" s="151" t="s">
        <v>182</v>
      </c>
      <c r="X925" s="150" t="s">
        <v>1116</v>
      </c>
      <c r="Y925" s="150" t="s">
        <v>559</v>
      </c>
      <c r="Z925" s="150">
        <v>343.0</v>
      </c>
    </row>
    <row r="926">
      <c r="B926" s="33"/>
      <c r="C926" s="33"/>
      <c r="D926" s="156"/>
      <c r="F926" s="157"/>
      <c r="H926" s="90"/>
      <c r="W926" s="149" t="s">
        <v>504</v>
      </c>
      <c r="X926" s="150" t="s">
        <v>1116</v>
      </c>
      <c r="Y926" s="150" t="s">
        <v>530</v>
      </c>
      <c r="Z926" s="150">
        <v>1.0</v>
      </c>
    </row>
    <row r="927">
      <c r="B927" s="33"/>
      <c r="C927" s="33"/>
      <c r="D927" s="156"/>
      <c r="F927" s="157"/>
      <c r="H927" s="90"/>
      <c r="W927" s="151" t="s">
        <v>182</v>
      </c>
      <c r="X927" s="150" t="s">
        <v>1116</v>
      </c>
      <c r="Y927" s="150" t="s">
        <v>577</v>
      </c>
      <c r="Z927" s="150">
        <v>1.0</v>
      </c>
    </row>
    <row r="928">
      <c r="B928" s="33"/>
      <c r="C928" s="33"/>
      <c r="D928" s="156"/>
      <c r="F928" s="157"/>
      <c r="H928" s="90"/>
      <c r="W928" s="151" t="s">
        <v>182</v>
      </c>
      <c r="X928" s="150" t="s">
        <v>1116</v>
      </c>
      <c r="Y928" s="150" t="s">
        <v>519</v>
      </c>
      <c r="Z928" s="150">
        <v>425.0</v>
      </c>
    </row>
    <row r="929">
      <c r="B929" s="33"/>
      <c r="C929" s="33"/>
      <c r="D929" s="156"/>
      <c r="F929" s="157"/>
      <c r="H929" s="90"/>
      <c r="W929" s="149" t="s">
        <v>504</v>
      </c>
      <c r="X929" s="150" t="s">
        <v>1116</v>
      </c>
      <c r="Y929" s="150" t="s">
        <v>506</v>
      </c>
      <c r="Z929" s="150">
        <v>7.0</v>
      </c>
    </row>
    <row r="930">
      <c r="B930" s="33"/>
      <c r="C930" s="33"/>
      <c r="D930" s="156"/>
      <c r="F930" s="157"/>
      <c r="H930" s="90"/>
      <c r="W930" s="149" t="s">
        <v>504</v>
      </c>
      <c r="X930" s="150" t="s">
        <v>1116</v>
      </c>
      <c r="Y930" s="150" t="s">
        <v>4217</v>
      </c>
      <c r="Z930" s="150">
        <v>1.0</v>
      </c>
    </row>
    <row r="931">
      <c r="B931" s="33"/>
      <c r="C931" s="33"/>
      <c r="D931" s="156"/>
      <c r="F931" s="157"/>
      <c r="H931" s="90"/>
      <c r="W931" s="151" t="s">
        <v>1116</v>
      </c>
      <c r="X931" s="150" t="s">
        <v>1116</v>
      </c>
      <c r="Y931" s="150" t="s">
        <v>506</v>
      </c>
      <c r="Z931" s="150">
        <v>2.0</v>
      </c>
    </row>
    <row r="932">
      <c r="B932" s="33"/>
      <c r="C932" s="33"/>
      <c r="D932" s="156"/>
      <c r="F932" s="157"/>
      <c r="H932" s="90"/>
      <c r="W932" s="151" t="s">
        <v>4215</v>
      </c>
      <c r="X932" s="150" t="s">
        <v>1116</v>
      </c>
      <c r="Y932" s="150" t="s">
        <v>506</v>
      </c>
      <c r="Z932" s="150">
        <v>1.0</v>
      </c>
    </row>
    <row r="933">
      <c r="B933" s="33"/>
      <c r="C933" s="33"/>
      <c r="D933" s="156"/>
      <c r="F933" s="157"/>
      <c r="H933" s="90"/>
      <c r="W933" s="151" t="s">
        <v>182</v>
      </c>
      <c r="X933" s="150" t="s">
        <v>1116</v>
      </c>
      <c r="Y933" s="150" t="s">
        <v>1116</v>
      </c>
      <c r="Z933" s="150">
        <v>1.0</v>
      </c>
    </row>
    <row r="934">
      <c r="B934" s="33"/>
      <c r="C934" s="33"/>
      <c r="D934" s="156"/>
      <c r="F934" s="157"/>
      <c r="H934" s="90"/>
      <c r="W934" s="151" t="s">
        <v>182</v>
      </c>
      <c r="X934" s="150" t="s">
        <v>1116</v>
      </c>
      <c r="Y934" s="150" t="s">
        <v>624</v>
      </c>
      <c r="Z934" s="150">
        <v>271.0</v>
      </c>
    </row>
    <row r="935">
      <c r="B935" s="33"/>
      <c r="C935" s="33"/>
      <c r="D935" s="156"/>
      <c r="F935" s="157"/>
      <c r="H935" s="90"/>
      <c r="W935" s="151" t="s">
        <v>182</v>
      </c>
      <c r="X935" s="150" t="s">
        <v>1116</v>
      </c>
      <c r="Y935" s="150" t="s">
        <v>530</v>
      </c>
      <c r="Z935" s="150">
        <v>465.0</v>
      </c>
    </row>
    <row r="936">
      <c r="B936" s="33"/>
      <c r="C936" s="33"/>
      <c r="D936" s="156"/>
      <c r="F936" s="157"/>
      <c r="H936" s="90"/>
      <c r="W936" s="151" t="s">
        <v>182</v>
      </c>
      <c r="X936" s="150" t="s">
        <v>1116</v>
      </c>
      <c r="Y936" s="150" t="s">
        <v>4218</v>
      </c>
      <c r="Z936" s="150">
        <v>4.0</v>
      </c>
    </row>
    <row r="937">
      <c r="B937" s="33"/>
      <c r="C937" s="33"/>
      <c r="D937" s="156"/>
      <c r="F937" s="157"/>
      <c r="H937" s="90"/>
      <c r="W937" s="149" t="s">
        <v>504</v>
      </c>
      <c r="X937" s="150" t="s">
        <v>1116</v>
      </c>
      <c r="Y937" s="150" t="s">
        <v>519</v>
      </c>
      <c r="Z937" s="150">
        <v>5.0</v>
      </c>
    </row>
    <row r="938">
      <c r="B938" s="33"/>
      <c r="C938" s="33"/>
      <c r="D938" s="156"/>
      <c r="F938" s="157"/>
      <c r="H938" s="90"/>
      <c r="W938" s="151" t="s">
        <v>182</v>
      </c>
      <c r="X938" s="150" t="s">
        <v>1116</v>
      </c>
      <c r="Y938" s="150" t="s">
        <v>4219</v>
      </c>
      <c r="Z938" s="150">
        <v>16.0</v>
      </c>
    </row>
    <row r="939">
      <c r="B939" s="33"/>
      <c r="C939" s="33"/>
      <c r="D939" s="156"/>
      <c r="F939" s="157"/>
      <c r="H939" s="90"/>
      <c r="W939" s="149" t="s">
        <v>504</v>
      </c>
      <c r="X939" s="150" t="s">
        <v>1116</v>
      </c>
      <c r="Y939" s="150" t="s">
        <v>4220</v>
      </c>
      <c r="Z939" s="150">
        <v>1.0</v>
      </c>
    </row>
    <row r="940">
      <c r="B940" s="33"/>
      <c r="C940" s="33"/>
      <c r="D940" s="156"/>
      <c r="F940" s="157"/>
      <c r="H940" s="90"/>
      <c r="W940" s="151" t="s">
        <v>182</v>
      </c>
      <c r="X940" s="150" t="s">
        <v>1116</v>
      </c>
      <c r="Y940" s="150" t="s">
        <v>507</v>
      </c>
      <c r="Z940" s="150">
        <v>1882.0</v>
      </c>
    </row>
    <row r="941">
      <c r="B941" s="33"/>
      <c r="C941" s="33"/>
      <c r="D941" s="156"/>
      <c r="F941" s="157"/>
      <c r="H941" s="90"/>
      <c r="W941" s="151" t="s">
        <v>182</v>
      </c>
      <c r="X941" s="150" t="s">
        <v>1116</v>
      </c>
      <c r="Y941" s="150" t="s">
        <v>530</v>
      </c>
      <c r="Z941" s="150">
        <v>1.0</v>
      </c>
    </row>
    <row r="942">
      <c r="B942" s="33"/>
      <c r="C942" s="33"/>
      <c r="D942" s="156"/>
      <c r="F942" s="157"/>
      <c r="H942" s="90"/>
      <c r="W942" s="151" t="s">
        <v>182</v>
      </c>
      <c r="X942" s="150" t="s">
        <v>1116</v>
      </c>
      <c r="Y942" s="150" t="s">
        <v>507</v>
      </c>
      <c r="Z942" s="150">
        <v>2.0</v>
      </c>
    </row>
    <row r="943">
      <c r="B943" s="33"/>
      <c r="C943" s="33"/>
      <c r="D943" s="156"/>
      <c r="F943" s="157"/>
      <c r="H943" s="90"/>
      <c r="W943" s="151" t="s">
        <v>182</v>
      </c>
      <c r="X943" s="150" t="s">
        <v>4221</v>
      </c>
      <c r="Y943" s="150" t="s">
        <v>4222</v>
      </c>
      <c r="Z943" s="150">
        <v>1.0</v>
      </c>
    </row>
    <row r="944">
      <c r="B944" s="33"/>
      <c r="C944" s="33"/>
      <c r="D944" s="156"/>
      <c r="F944" s="157"/>
      <c r="H944" s="90"/>
      <c r="W944" s="151" t="s">
        <v>182</v>
      </c>
      <c r="X944" s="150" t="s">
        <v>4223</v>
      </c>
      <c r="Y944" s="150" t="s">
        <v>4224</v>
      </c>
      <c r="Z944" s="150">
        <v>1.0</v>
      </c>
    </row>
    <row r="945">
      <c r="B945" s="33"/>
      <c r="C945" s="33"/>
      <c r="D945" s="156"/>
      <c r="F945" s="157"/>
      <c r="H945" s="90"/>
      <c r="W945" s="149" t="s">
        <v>504</v>
      </c>
      <c r="X945" s="150" t="s">
        <v>4225</v>
      </c>
      <c r="Y945" s="150" t="s">
        <v>4226</v>
      </c>
      <c r="Z945" s="150">
        <v>1.0</v>
      </c>
    </row>
    <row r="946">
      <c r="B946" s="33"/>
      <c r="C946" s="33"/>
      <c r="D946" s="156"/>
      <c r="F946" s="157"/>
      <c r="H946" s="90"/>
      <c r="W946" s="149" t="s">
        <v>504</v>
      </c>
      <c r="X946" s="150" t="s">
        <v>4227</v>
      </c>
      <c r="Y946" s="150" t="s">
        <v>4228</v>
      </c>
      <c r="Z946" s="150">
        <v>1.0</v>
      </c>
    </row>
    <row r="947">
      <c r="B947" s="33"/>
      <c r="C947" s="33"/>
      <c r="D947" s="156"/>
      <c r="F947" s="157"/>
      <c r="H947" s="90"/>
      <c r="W947" s="151" t="s">
        <v>182</v>
      </c>
      <c r="X947" s="150" t="s">
        <v>4229</v>
      </c>
      <c r="Y947" s="150" t="s">
        <v>920</v>
      </c>
      <c r="Z947" s="150">
        <v>1.0</v>
      </c>
    </row>
    <row r="948">
      <c r="B948" s="33"/>
      <c r="C948" s="33"/>
      <c r="D948" s="156"/>
      <c r="F948" s="157"/>
      <c r="H948" s="90"/>
      <c r="W948" s="151" t="s">
        <v>182</v>
      </c>
      <c r="X948" s="150" t="s">
        <v>4230</v>
      </c>
      <c r="Y948" s="150" t="s">
        <v>4231</v>
      </c>
      <c r="Z948" s="150">
        <v>1.0</v>
      </c>
    </row>
    <row r="949">
      <c r="B949" s="33"/>
      <c r="C949" s="33"/>
      <c r="D949" s="156"/>
      <c r="F949" s="157"/>
      <c r="H949" s="90"/>
      <c r="W949" s="151" t="s">
        <v>182</v>
      </c>
      <c r="X949" s="150" t="s">
        <v>4232</v>
      </c>
      <c r="Y949" s="150" t="s">
        <v>4233</v>
      </c>
      <c r="Z949" s="150">
        <v>1.0</v>
      </c>
    </row>
    <row r="950">
      <c r="B950" s="33"/>
      <c r="C950" s="33"/>
      <c r="D950" s="156"/>
      <c r="F950" s="157"/>
      <c r="H950" s="90"/>
      <c r="W950" s="151" t="s">
        <v>182</v>
      </c>
      <c r="X950" s="150" t="s">
        <v>4234</v>
      </c>
      <c r="Y950" s="150" t="s">
        <v>4235</v>
      </c>
      <c r="Z950" s="150">
        <v>1.0</v>
      </c>
    </row>
    <row r="951">
      <c r="B951" s="33"/>
      <c r="C951" s="33"/>
      <c r="D951" s="156"/>
      <c r="F951" s="157"/>
      <c r="H951" s="90"/>
      <c r="W951" s="149" t="s">
        <v>504</v>
      </c>
      <c r="X951" s="150" t="s">
        <v>4234</v>
      </c>
      <c r="Y951" s="150" t="s">
        <v>4236</v>
      </c>
      <c r="Z951" s="150">
        <v>1.0</v>
      </c>
    </row>
    <row r="952">
      <c r="B952" s="33"/>
      <c r="C952" s="33"/>
      <c r="D952" s="156"/>
      <c r="F952" s="157"/>
      <c r="H952" s="90"/>
      <c r="W952" s="151" t="s">
        <v>125</v>
      </c>
      <c r="X952" s="150" t="s">
        <v>4237</v>
      </c>
      <c r="Y952" s="150" t="s">
        <v>4238</v>
      </c>
      <c r="Z952" s="150">
        <v>1.0</v>
      </c>
    </row>
    <row r="953">
      <c r="B953" s="33"/>
      <c r="C953" s="33"/>
      <c r="D953" s="156"/>
      <c r="F953" s="157"/>
      <c r="H953" s="90"/>
      <c r="W953" s="151" t="s">
        <v>147</v>
      </c>
      <c r="X953" s="150" t="s">
        <v>4239</v>
      </c>
      <c r="Y953" s="150" t="s">
        <v>4240</v>
      </c>
      <c r="Z953" s="150">
        <v>1.0</v>
      </c>
    </row>
    <row r="954">
      <c r="B954" s="33"/>
      <c r="C954" s="33"/>
      <c r="D954" s="156"/>
      <c r="F954" s="157"/>
      <c r="H954" s="90"/>
      <c r="W954" s="151" t="s">
        <v>182</v>
      </c>
      <c r="X954" s="150" t="s">
        <v>4241</v>
      </c>
      <c r="Y954" s="150" t="s">
        <v>4242</v>
      </c>
      <c r="Z954" s="150">
        <v>1.0</v>
      </c>
    </row>
    <row r="955">
      <c r="B955" s="33"/>
      <c r="C955" s="33"/>
      <c r="D955" s="156"/>
      <c r="F955" s="157"/>
      <c r="H955" s="90"/>
      <c r="W955" s="151" t="s">
        <v>182</v>
      </c>
      <c r="X955" s="150" t="s">
        <v>4243</v>
      </c>
      <c r="Y955" s="150" t="s">
        <v>4244</v>
      </c>
      <c r="Z955" s="150">
        <v>1.0</v>
      </c>
    </row>
    <row r="956">
      <c r="B956" s="33"/>
      <c r="C956" s="33"/>
      <c r="D956" s="156"/>
      <c r="F956" s="157"/>
      <c r="H956" s="90"/>
      <c r="W956" s="149" t="s">
        <v>504</v>
      </c>
      <c r="X956" s="150" t="s">
        <v>4243</v>
      </c>
      <c r="Y956" s="150" t="s">
        <v>4245</v>
      </c>
      <c r="Z956" s="150">
        <v>1.0</v>
      </c>
    </row>
    <row r="957">
      <c r="B957" s="33"/>
      <c r="C957" s="33"/>
      <c r="D957" s="156"/>
      <c r="F957" s="157"/>
      <c r="H957" s="90"/>
    </row>
    <row r="958">
      <c r="B958" s="33"/>
      <c r="C958" s="33"/>
      <c r="D958" s="156"/>
      <c r="F958" s="157"/>
      <c r="H958" s="90"/>
    </row>
    <row r="959">
      <c r="B959" s="33"/>
      <c r="C959" s="33"/>
      <c r="D959" s="156"/>
      <c r="F959" s="157"/>
      <c r="H959" s="90"/>
    </row>
    <row r="960">
      <c r="B960" s="33"/>
      <c r="C960" s="33"/>
      <c r="D960" s="156"/>
      <c r="F960" s="157"/>
      <c r="H960" s="90"/>
    </row>
    <row r="961">
      <c r="B961" s="33"/>
      <c r="C961" s="33"/>
      <c r="D961" s="156"/>
      <c r="F961" s="157"/>
      <c r="H961" s="90"/>
    </row>
    <row r="962">
      <c r="B962" s="33"/>
      <c r="C962" s="33"/>
      <c r="D962" s="156"/>
      <c r="F962" s="157"/>
      <c r="H962" s="90"/>
    </row>
    <row r="963">
      <c r="B963" s="33"/>
      <c r="C963" s="33"/>
      <c r="D963" s="156"/>
      <c r="F963" s="157"/>
      <c r="H963" s="90"/>
    </row>
    <row r="964">
      <c r="B964" s="33"/>
      <c r="C964" s="33"/>
      <c r="D964" s="156"/>
      <c r="F964" s="157"/>
      <c r="H964" s="90"/>
    </row>
    <row r="965">
      <c r="B965" s="33"/>
      <c r="C965" s="33"/>
      <c r="D965" s="156"/>
      <c r="F965" s="157"/>
      <c r="H965" s="90"/>
    </row>
    <row r="966">
      <c r="B966" s="33"/>
      <c r="C966" s="33"/>
      <c r="D966" s="156"/>
      <c r="F966" s="157"/>
      <c r="H966" s="90"/>
    </row>
    <row r="967">
      <c r="B967" s="33"/>
      <c r="C967" s="33"/>
      <c r="D967" s="156"/>
      <c r="F967" s="157"/>
      <c r="H967" s="90"/>
    </row>
    <row r="968">
      <c r="B968" s="33"/>
      <c r="C968" s="33"/>
      <c r="D968" s="156"/>
      <c r="F968" s="157"/>
      <c r="H968" s="90"/>
    </row>
    <row r="969">
      <c r="B969" s="33"/>
      <c r="C969" s="33"/>
      <c r="D969" s="156"/>
      <c r="F969" s="157"/>
      <c r="H969" s="90"/>
    </row>
    <row r="970">
      <c r="B970" s="33"/>
      <c r="C970" s="33"/>
      <c r="D970" s="156"/>
      <c r="F970" s="157"/>
      <c r="H970" s="90"/>
    </row>
    <row r="971">
      <c r="B971" s="33"/>
      <c r="C971" s="33"/>
      <c r="D971" s="156"/>
      <c r="F971" s="157"/>
      <c r="H971" s="90"/>
    </row>
    <row r="972">
      <c r="B972" s="33"/>
      <c r="C972" s="33"/>
      <c r="D972" s="156"/>
      <c r="F972" s="157"/>
      <c r="H972" s="90"/>
    </row>
    <row r="973">
      <c r="B973" s="33"/>
      <c r="C973" s="33"/>
      <c r="D973" s="156"/>
      <c r="F973" s="157"/>
      <c r="H973" s="90"/>
    </row>
    <row r="974">
      <c r="B974" s="33"/>
      <c r="C974" s="33"/>
      <c r="D974" s="156"/>
      <c r="F974" s="157"/>
      <c r="H974" s="90"/>
    </row>
    <row r="975">
      <c r="B975" s="33"/>
      <c r="C975" s="33"/>
      <c r="D975" s="156"/>
      <c r="F975" s="157"/>
      <c r="H975" s="90"/>
    </row>
    <row r="976">
      <c r="B976" s="33"/>
      <c r="C976" s="33"/>
      <c r="D976" s="156"/>
      <c r="F976" s="157"/>
      <c r="H976" s="90"/>
    </row>
    <row r="977">
      <c r="B977" s="33"/>
      <c r="C977" s="33"/>
      <c r="D977" s="156"/>
      <c r="F977" s="157"/>
      <c r="H977" s="90"/>
    </row>
    <row r="978">
      <c r="B978" s="33"/>
      <c r="C978" s="33"/>
      <c r="D978" s="156"/>
      <c r="F978" s="157"/>
      <c r="H978" s="90"/>
    </row>
    <row r="979">
      <c r="B979" s="33"/>
      <c r="C979" s="33"/>
      <c r="D979" s="156"/>
      <c r="F979" s="157"/>
      <c r="H979" s="90"/>
    </row>
    <row r="980">
      <c r="B980" s="33"/>
      <c r="C980" s="33"/>
      <c r="D980" s="156"/>
      <c r="F980" s="157"/>
      <c r="H980" s="90"/>
    </row>
    <row r="981">
      <c r="B981" s="33"/>
      <c r="C981" s="33"/>
      <c r="D981" s="156"/>
      <c r="F981" s="157"/>
      <c r="H981" s="90"/>
    </row>
    <row r="982">
      <c r="B982" s="33"/>
      <c r="C982" s="33"/>
      <c r="D982" s="156"/>
      <c r="F982" s="157"/>
      <c r="H982" s="90"/>
    </row>
    <row r="983">
      <c r="B983" s="33"/>
      <c r="C983" s="33"/>
      <c r="D983" s="156"/>
      <c r="F983" s="157"/>
      <c r="H983" s="90"/>
    </row>
    <row r="984">
      <c r="B984" s="33"/>
      <c r="C984" s="33"/>
      <c r="D984" s="156"/>
      <c r="F984" s="157"/>
      <c r="H984" s="90"/>
    </row>
    <row r="985">
      <c r="B985" s="33"/>
      <c r="C985" s="33"/>
      <c r="D985" s="156"/>
      <c r="F985" s="157"/>
      <c r="H985" s="90"/>
    </row>
    <row r="986">
      <c r="B986" s="33"/>
      <c r="C986" s="33"/>
      <c r="D986" s="156"/>
      <c r="F986" s="157"/>
      <c r="H986" s="90"/>
    </row>
    <row r="987">
      <c r="B987" s="33"/>
      <c r="C987" s="33"/>
      <c r="D987" s="156"/>
      <c r="F987" s="157"/>
      <c r="H987" s="90"/>
    </row>
    <row r="988">
      <c r="B988" s="33"/>
      <c r="C988" s="33"/>
      <c r="D988" s="156"/>
      <c r="F988" s="157"/>
      <c r="H988" s="90"/>
    </row>
    <row r="989">
      <c r="B989" s="33"/>
      <c r="C989" s="33"/>
      <c r="D989" s="156"/>
      <c r="F989" s="157"/>
      <c r="H989" s="90"/>
    </row>
    <row r="990">
      <c r="B990" s="33"/>
      <c r="C990" s="33"/>
      <c r="D990" s="156"/>
      <c r="F990" s="157"/>
      <c r="H990" s="90"/>
    </row>
    <row r="991">
      <c r="B991" s="33"/>
      <c r="C991" s="33"/>
      <c r="D991" s="156"/>
      <c r="F991" s="157"/>
      <c r="H991" s="90"/>
    </row>
    <row r="992">
      <c r="B992" s="33"/>
      <c r="C992" s="33"/>
      <c r="D992" s="156"/>
      <c r="F992" s="157"/>
      <c r="H992" s="90"/>
    </row>
    <row r="993">
      <c r="B993" s="33"/>
      <c r="C993" s="33"/>
      <c r="D993" s="156"/>
      <c r="F993" s="157"/>
      <c r="H993" s="90"/>
    </row>
    <row r="994">
      <c r="B994" s="33"/>
      <c r="C994" s="33"/>
      <c r="D994" s="156"/>
      <c r="F994" s="157"/>
      <c r="H994" s="90"/>
    </row>
    <row r="995">
      <c r="B995" s="33"/>
      <c r="C995" s="33"/>
      <c r="D995" s="156"/>
      <c r="F995" s="157"/>
      <c r="H995" s="90"/>
    </row>
    <row r="996">
      <c r="B996" s="33"/>
      <c r="C996" s="33"/>
      <c r="D996" s="156"/>
      <c r="F996" s="157"/>
      <c r="H996" s="90"/>
    </row>
    <row r="997">
      <c r="B997" s="33"/>
      <c r="C997" s="33"/>
      <c r="D997" s="156"/>
      <c r="F997" s="157"/>
      <c r="H997" s="90"/>
    </row>
    <row r="998">
      <c r="B998" s="33"/>
      <c r="C998" s="33"/>
      <c r="D998" s="156"/>
      <c r="F998" s="157"/>
      <c r="H998" s="90"/>
    </row>
    <row r="999">
      <c r="B999" s="33"/>
      <c r="C999" s="33"/>
      <c r="D999" s="156"/>
      <c r="F999" s="157"/>
      <c r="H999" s="90"/>
    </row>
    <row r="1000">
      <c r="B1000" s="33"/>
      <c r="C1000" s="33"/>
      <c r="D1000" s="156"/>
      <c r="F1000" s="157"/>
      <c r="H1000" s="90"/>
    </row>
    <row r="1001">
      <c r="B1001" s="33"/>
      <c r="C1001" s="33"/>
      <c r="D1001" s="156"/>
      <c r="F1001" s="157"/>
      <c r="H1001" s="90"/>
    </row>
    <row r="1002">
      <c r="B1002" s="33"/>
      <c r="C1002" s="33"/>
      <c r="D1002" s="156"/>
      <c r="F1002" s="157"/>
      <c r="H1002" s="90"/>
    </row>
    <row r="1003">
      <c r="B1003" s="33"/>
      <c r="C1003" s="33"/>
      <c r="D1003" s="156"/>
      <c r="F1003" s="157"/>
      <c r="H1003" s="90"/>
    </row>
    <row r="1004">
      <c r="B1004" s="33"/>
      <c r="C1004" s="33"/>
      <c r="D1004" s="156"/>
      <c r="F1004" s="157"/>
      <c r="H1004" s="90"/>
    </row>
  </sheetData>
  <autoFilter ref="$A$5:$Z$956">
    <sortState ref="A5:Z956">
      <sortCondition ref="A5:A956"/>
    </sortState>
  </autoFilter>
  <conditionalFormatting sqref="C1:C1004">
    <cfRule type="cellIs" dxfId="0" priority="1" operator="equal">
      <formula>"NG"</formula>
    </cfRule>
  </conditionalFormatting>
  <conditionalFormatting sqref="C1:C1004">
    <cfRule type="cellIs" dxfId="1" priority="2" operator="equal">
      <formula>"フード"</formula>
    </cfRule>
  </conditionalFormatting>
  <conditionalFormatting sqref="C1:C1004">
    <cfRule type="cellIs" dxfId="2" priority="3" operator="equal">
      <formula>"リテール"</formula>
    </cfRule>
  </conditionalFormatting>
  <conditionalFormatting sqref="C1:C1004">
    <cfRule type="cellIs" dxfId="3" priority="4" operator="equal">
      <formula>"ロジ"</formula>
    </cfRule>
  </conditionalFormatting>
  <conditionalFormatting sqref="B1:B1004">
    <cfRule type="cellIs" dxfId="0" priority="5" operator="equal">
      <formula>"掲載不可"</formula>
    </cfRule>
  </conditionalFormatting>
  <conditionalFormatting sqref="B1:B1004">
    <cfRule type="cellIs" dxfId="4" priority="6" operator="equal">
      <formula>"過去掲載有"</formula>
    </cfRule>
  </conditionalFormatting>
  <conditionalFormatting sqref="B1:B1004">
    <cfRule type="cellIs" dxfId="5" priority="7" operator="equal">
      <formula>"事前確認必須"</formula>
    </cfRule>
  </conditionalFormatting>
  <conditionalFormatting sqref="B1:B1004">
    <cfRule type="cellIs" dxfId="6" priority="8" operator="equal">
      <formula>"過去掲載無"</formula>
    </cfRule>
  </conditionalFormatting>
  <dataValidations>
    <dataValidation type="list" allowBlank="1" sqref="C559:C1004">
      <formula1>"リテール,ロジスティクス,フード,NG"</formula1>
    </dataValidation>
    <dataValidation type="list" allowBlank="1" sqref="C6:C558">
      <formula1>"リテール,ロジ,フード,NG"</formula1>
    </dataValidation>
    <dataValidation type="list" allowBlank="1" sqref="B6:B1004">
      <formula1>"過去掲載有,過去掲載無,掲載不可"</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sheetData>
    <row r="1">
      <c r="A1" s="158" t="s">
        <v>1017</v>
      </c>
      <c r="B1" s="158" t="s">
        <v>31</v>
      </c>
      <c r="C1" s="158" t="s">
        <v>1018</v>
      </c>
      <c r="D1" s="158" t="s">
        <v>1019</v>
      </c>
      <c r="E1" s="158" t="s">
        <v>1018</v>
      </c>
      <c r="F1" s="158" t="s">
        <v>1020</v>
      </c>
      <c r="G1" s="158" t="s">
        <v>1018</v>
      </c>
    </row>
    <row r="2">
      <c r="A2" s="159" t="s">
        <v>1031</v>
      </c>
      <c r="B2" s="160" t="s">
        <v>46</v>
      </c>
      <c r="C2" s="161" t="s">
        <v>1025</v>
      </c>
      <c r="D2" s="162" t="s">
        <v>1039</v>
      </c>
      <c r="E2" s="161" t="s">
        <v>1042</v>
      </c>
      <c r="F2" s="163" t="s">
        <v>606</v>
      </c>
      <c r="G2" s="161" t="s">
        <v>1043</v>
      </c>
    </row>
    <row r="3">
      <c r="A3" s="165" t="s">
        <v>1044</v>
      </c>
      <c r="B3" s="160" t="s">
        <v>46</v>
      </c>
      <c r="C3" s="161" t="s">
        <v>1025</v>
      </c>
      <c r="D3" s="162" t="s">
        <v>1039</v>
      </c>
      <c r="E3" s="161" t="s">
        <v>1042</v>
      </c>
      <c r="F3" s="163" t="s">
        <v>909</v>
      </c>
      <c r="G3" s="161" t="s">
        <v>1047</v>
      </c>
    </row>
    <row r="4">
      <c r="A4" s="165" t="s">
        <v>1044</v>
      </c>
      <c r="B4" s="160" t="s">
        <v>46</v>
      </c>
      <c r="C4" s="161" t="s">
        <v>1025</v>
      </c>
      <c r="D4" s="162" t="s">
        <v>1039</v>
      </c>
      <c r="E4" s="161" t="s">
        <v>1042</v>
      </c>
      <c r="F4" s="163" t="s">
        <v>1049</v>
      </c>
      <c r="G4" s="161" t="s">
        <v>1051</v>
      </c>
    </row>
    <row r="5">
      <c r="A5" s="165" t="s">
        <v>1044</v>
      </c>
      <c r="B5" s="160" t="s">
        <v>46</v>
      </c>
      <c r="C5" s="161" t="s">
        <v>1025</v>
      </c>
      <c r="D5" s="162" t="s">
        <v>1039</v>
      </c>
      <c r="E5" s="161" t="s">
        <v>1042</v>
      </c>
      <c r="F5" s="163" t="s">
        <v>925</v>
      </c>
      <c r="G5" s="161" t="s">
        <v>1053</v>
      </c>
    </row>
    <row r="6">
      <c r="A6" s="165" t="s">
        <v>1044</v>
      </c>
      <c r="B6" s="160" t="s">
        <v>46</v>
      </c>
      <c r="C6" s="161" t="s">
        <v>1025</v>
      </c>
      <c r="D6" s="162" t="s">
        <v>1039</v>
      </c>
      <c r="E6" s="161" t="s">
        <v>1042</v>
      </c>
      <c r="F6" s="163" t="s">
        <v>1054</v>
      </c>
      <c r="G6" s="161" t="s">
        <v>1057</v>
      </c>
    </row>
    <row r="7">
      <c r="A7" s="165" t="s">
        <v>1044</v>
      </c>
      <c r="B7" s="160" t="s">
        <v>46</v>
      </c>
      <c r="C7" s="161" t="s">
        <v>1025</v>
      </c>
      <c r="D7" s="162" t="s">
        <v>1039</v>
      </c>
      <c r="E7" s="161" t="s">
        <v>1042</v>
      </c>
      <c r="F7" s="163" t="s">
        <v>722</v>
      </c>
      <c r="G7" s="161" t="s">
        <v>1059</v>
      </c>
    </row>
    <row r="8">
      <c r="A8" s="165" t="s">
        <v>1044</v>
      </c>
      <c r="B8" s="160" t="s">
        <v>46</v>
      </c>
      <c r="C8" s="161" t="s">
        <v>1025</v>
      </c>
      <c r="D8" s="162" t="s">
        <v>1039</v>
      </c>
      <c r="E8" s="161" t="s">
        <v>1042</v>
      </c>
      <c r="F8" s="163" t="s">
        <v>999</v>
      </c>
      <c r="G8" s="161" t="s">
        <v>1045</v>
      </c>
    </row>
    <row r="9">
      <c r="A9" s="165" t="s">
        <v>1044</v>
      </c>
      <c r="B9" s="160" t="s">
        <v>46</v>
      </c>
      <c r="C9" s="161" t="s">
        <v>1025</v>
      </c>
      <c r="D9" s="162" t="s">
        <v>1039</v>
      </c>
      <c r="E9" s="161" t="s">
        <v>1042</v>
      </c>
      <c r="F9" s="163" t="s">
        <v>532</v>
      </c>
      <c r="G9" s="161" t="s">
        <v>1063</v>
      </c>
    </row>
    <row r="10">
      <c r="A10" s="165" t="s">
        <v>1044</v>
      </c>
      <c r="B10" s="160" t="s">
        <v>46</v>
      </c>
      <c r="C10" s="161" t="s">
        <v>1025</v>
      </c>
      <c r="D10" s="162" t="s">
        <v>1048</v>
      </c>
      <c r="E10" s="161" t="s">
        <v>1050</v>
      </c>
      <c r="F10" s="163" t="s">
        <v>765</v>
      </c>
      <c r="G10" s="161" t="s">
        <v>1052</v>
      </c>
    </row>
    <row r="11">
      <c r="A11" s="159" t="s">
        <v>1031</v>
      </c>
      <c r="B11" s="160" t="s">
        <v>50</v>
      </c>
      <c r="C11" s="161" t="s">
        <v>1025</v>
      </c>
      <c r="D11" s="162" t="s">
        <v>1067</v>
      </c>
      <c r="E11" s="161" t="s">
        <v>1068</v>
      </c>
      <c r="F11" s="163" t="s">
        <v>729</v>
      </c>
      <c r="G11" s="161" t="s">
        <v>1069</v>
      </c>
    </row>
    <row r="12">
      <c r="A12" s="159" t="s">
        <v>1031</v>
      </c>
      <c r="B12" s="160" t="s">
        <v>50</v>
      </c>
      <c r="C12" s="161" t="s">
        <v>1025</v>
      </c>
      <c r="D12" s="162" t="s">
        <v>1067</v>
      </c>
      <c r="E12" s="161" t="s">
        <v>1068</v>
      </c>
      <c r="F12" s="163" t="s">
        <v>564</v>
      </c>
      <c r="G12" s="161" t="s">
        <v>1073</v>
      </c>
    </row>
    <row r="13">
      <c r="A13" s="159" t="s">
        <v>1031</v>
      </c>
      <c r="B13" s="160" t="s">
        <v>50</v>
      </c>
      <c r="C13" s="161" t="s">
        <v>1025</v>
      </c>
      <c r="D13" s="162" t="s">
        <v>1067</v>
      </c>
      <c r="E13" s="161" t="s">
        <v>1068</v>
      </c>
      <c r="F13" s="163" t="s">
        <v>1075</v>
      </c>
      <c r="G13" s="161" t="s">
        <v>1076</v>
      </c>
    </row>
    <row r="14">
      <c r="A14" s="159" t="s">
        <v>1031</v>
      </c>
      <c r="B14" s="160" t="s">
        <v>50</v>
      </c>
      <c r="C14" s="161" t="s">
        <v>1025</v>
      </c>
      <c r="D14" s="162" t="s">
        <v>1067</v>
      </c>
      <c r="E14" s="161" t="s">
        <v>1068</v>
      </c>
      <c r="F14" s="163" t="s">
        <v>699</v>
      </c>
      <c r="G14" s="161" t="s">
        <v>1079</v>
      </c>
    </row>
    <row r="15">
      <c r="A15" s="159" t="s">
        <v>1031</v>
      </c>
      <c r="B15" s="160" t="s">
        <v>50</v>
      </c>
      <c r="C15" s="161" t="s">
        <v>1025</v>
      </c>
      <c r="D15" s="162" t="s">
        <v>1067</v>
      </c>
      <c r="E15" s="161" t="s">
        <v>1068</v>
      </c>
      <c r="F15" s="163" t="s">
        <v>861</v>
      </c>
      <c r="G15" s="161" t="s">
        <v>1082</v>
      </c>
    </row>
    <row r="16">
      <c r="A16" s="159" t="s">
        <v>1031</v>
      </c>
      <c r="B16" s="160" t="s">
        <v>50</v>
      </c>
      <c r="C16" s="161" t="s">
        <v>1025</v>
      </c>
      <c r="D16" s="162" t="s">
        <v>1067</v>
      </c>
      <c r="E16" s="161" t="s">
        <v>1068</v>
      </c>
      <c r="F16" s="163" t="s">
        <v>508</v>
      </c>
      <c r="G16" s="161" t="s">
        <v>1086</v>
      </c>
    </row>
    <row r="17">
      <c r="A17" s="165" t="s">
        <v>1044</v>
      </c>
      <c r="B17" s="160" t="s">
        <v>50</v>
      </c>
      <c r="C17" s="161" t="s">
        <v>1025</v>
      </c>
      <c r="D17" s="162" t="s">
        <v>1055</v>
      </c>
      <c r="E17" s="161" t="s">
        <v>1056</v>
      </c>
      <c r="F17" s="163" t="s">
        <v>997</v>
      </c>
      <c r="G17" s="161" t="s">
        <v>1087</v>
      </c>
    </row>
    <row r="18">
      <c r="A18" s="165" t="s">
        <v>1044</v>
      </c>
      <c r="B18" s="160" t="s">
        <v>50</v>
      </c>
      <c r="C18" s="161" t="s">
        <v>1025</v>
      </c>
      <c r="D18" s="162" t="s">
        <v>1055</v>
      </c>
      <c r="E18" s="161" t="s">
        <v>1056</v>
      </c>
      <c r="F18" s="163" t="s">
        <v>735</v>
      </c>
      <c r="G18" s="161" t="s">
        <v>1090</v>
      </c>
    </row>
    <row r="19">
      <c r="A19" s="165" t="s">
        <v>1044</v>
      </c>
      <c r="B19" s="160" t="s">
        <v>50</v>
      </c>
      <c r="C19" s="161" t="s">
        <v>1025</v>
      </c>
      <c r="D19" s="162" t="s">
        <v>1055</v>
      </c>
      <c r="E19" s="161" t="s">
        <v>1056</v>
      </c>
      <c r="F19" s="163" t="s">
        <v>900</v>
      </c>
      <c r="G19" s="161" t="s">
        <v>1092</v>
      </c>
    </row>
    <row r="20">
      <c r="A20" s="165" t="s">
        <v>1044</v>
      </c>
      <c r="B20" s="160" t="s">
        <v>50</v>
      </c>
      <c r="C20" s="161" t="s">
        <v>1025</v>
      </c>
      <c r="D20" s="162" t="s">
        <v>1055</v>
      </c>
      <c r="E20" s="161" t="s">
        <v>1056</v>
      </c>
      <c r="F20" s="163" t="s">
        <v>940</v>
      </c>
      <c r="G20" s="161" t="s">
        <v>1093</v>
      </c>
    </row>
    <row r="21">
      <c r="A21" s="165" t="s">
        <v>1044</v>
      </c>
      <c r="B21" s="160" t="s">
        <v>50</v>
      </c>
      <c r="C21" s="161" t="s">
        <v>1025</v>
      </c>
      <c r="D21" s="162" t="s">
        <v>1055</v>
      </c>
      <c r="E21" s="161" t="s">
        <v>1056</v>
      </c>
      <c r="F21" s="163" t="s">
        <v>990</v>
      </c>
      <c r="G21" s="161" t="s">
        <v>1058</v>
      </c>
    </row>
    <row r="22">
      <c r="A22" s="165" t="s">
        <v>1044</v>
      </c>
      <c r="B22" s="160" t="s">
        <v>50</v>
      </c>
      <c r="C22" s="161" t="s">
        <v>1025</v>
      </c>
      <c r="D22" s="162" t="s">
        <v>1055</v>
      </c>
      <c r="E22" s="161" t="s">
        <v>1056</v>
      </c>
      <c r="F22" s="163" t="s">
        <v>841</v>
      </c>
      <c r="G22" s="161" t="s">
        <v>1060</v>
      </c>
    </row>
    <row r="23">
      <c r="A23" s="165" t="s">
        <v>1044</v>
      </c>
      <c r="B23" s="160" t="s">
        <v>50</v>
      </c>
      <c r="C23" s="161" t="s">
        <v>1025</v>
      </c>
      <c r="D23" s="162" t="s">
        <v>1055</v>
      </c>
      <c r="E23" s="161" t="s">
        <v>1056</v>
      </c>
      <c r="F23" s="163" t="s">
        <v>850</v>
      </c>
      <c r="G23" s="161" t="s">
        <v>1102</v>
      </c>
    </row>
    <row r="24">
      <c r="A24" s="165" t="s">
        <v>1044</v>
      </c>
      <c r="B24" s="160" t="s">
        <v>50</v>
      </c>
      <c r="C24" s="161" t="s">
        <v>1025</v>
      </c>
      <c r="D24" s="162" t="s">
        <v>1055</v>
      </c>
      <c r="E24" s="161" t="s">
        <v>1056</v>
      </c>
      <c r="F24" s="163" t="s">
        <v>902</v>
      </c>
      <c r="G24" s="161" t="s">
        <v>1104</v>
      </c>
    </row>
    <row r="25">
      <c r="A25" s="165" t="s">
        <v>1044</v>
      </c>
      <c r="B25" s="160" t="s">
        <v>50</v>
      </c>
      <c r="C25" s="161" t="s">
        <v>1025</v>
      </c>
      <c r="D25" s="162" t="s">
        <v>1061</v>
      </c>
      <c r="E25" s="161" t="s">
        <v>1062</v>
      </c>
      <c r="F25" s="163" t="s">
        <v>597</v>
      </c>
      <c r="G25" s="161" t="s">
        <v>1107</v>
      </c>
    </row>
    <row r="26">
      <c r="A26" s="165" t="s">
        <v>1044</v>
      </c>
      <c r="B26" s="160" t="s">
        <v>50</v>
      </c>
      <c r="C26" s="161" t="s">
        <v>1025</v>
      </c>
      <c r="D26" s="162" t="s">
        <v>1061</v>
      </c>
      <c r="E26" s="161" t="s">
        <v>1062</v>
      </c>
      <c r="F26" s="163" t="s">
        <v>924</v>
      </c>
      <c r="G26" s="161" t="s">
        <v>1064</v>
      </c>
    </row>
    <row r="27">
      <c r="A27" s="165" t="s">
        <v>1044</v>
      </c>
      <c r="B27" s="160" t="s">
        <v>50</v>
      </c>
      <c r="C27" s="161" t="s">
        <v>1025</v>
      </c>
      <c r="D27" s="162" t="s">
        <v>1061</v>
      </c>
      <c r="E27" s="161" t="s">
        <v>1062</v>
      </c>
      <c r="F27" s="163" t="s">
        <v>942</v>
      </c>
      <c r="G27" s="161" t="s">
        <v>1111</v>
      </c>
    </row>
    <row r="28">
      <c r="A28" s="165" t="s">
        <v>1044</v>
      </c>
      <c r="B28" s="160" t="s">
        <v>50</v>
      </c>
      <c r="C28" s="161" t="s">
        <v>1025</v>
      </c>
      <c r="D28" s="162" t="s">
        <v>1061</v>
      </c>
      <c r="E28" s="161" t="s">
        <v>1062</v>
      </c>
      <c r="F28" s="163" t="s">
        <v>777</v>
      </c>
      <c r="G28" s="161" t="s">
        <v>1114</v>
      </c>
    </row>
    <row r="29">
      <c r="A29" s="165" t="s">
        <v>1044</v>
      </c>
      <c r="B29" s="160" t="s">
        <v>50</v>
      </c>
      <c r="C29" s="161" t="s">
        <v>1025</v>
      </c>
      <c r="D29" s="162" t="s">
        <v>1061</v>
      </c>
      <c r="E29" s="161" t="s">
        <v>1062</v>
      </c>
      <c r="F29" s="163" t="s">
        <v>965</v>
      </c>
      <c r="G29" s="161" t="s">
        <v>1117</v>
      </c>
    </row>
    <row r="30">
      <c r="A30" s="165" t="s">
        <v>1044</v>
      </c>
      <c r="B30" s="160" t="s">
        <v>50</v>
      </c>
      <c r="C30" s="161" t="s">
        <v>1025</v>
      </c>
      <c r="D30" s="162" t="s">
        <v>1061</v>
      </c>
      <c r="E30" s="161" t="s">
        <v>1062</v>
      </c>
      <c r="F30" s="163" t="s">
        <v>766</v>
      </c>
      <c r="G30" s="161" t="s">
        <v>1066</v>
      </c>
    </row>
    <row r="31">
      <c r="A31" s="166" t="s">
        <v>303</v>
      </c>
      <c r="B31" s="160" t="s">
        <v>125</v>
      </c>
      <c r="C31" s="161" t="s">
        <v>1025</v>
      </c>
      <c r="D31" s="162" t="s">
        <v>1127</v>
      </c>
      <c r="E31" s="161" t="s">
        <v>1128</v>
      </c>
      <c r="F31" s="163" t="s">
        <v>803</v>
      </c>
      <c r="G31" s="161" t="s">
        <v>1129</v>
      </c>
    </row>
    <row r="32">
      <c r="A32" s="166" t="s">
        <v>303</v>
      </c>
      <c r="B32" s="160" t="s">
        <v>125</v>
      </c>
      <c r="C32" s="161" t="s">
        <v>1025</v>
      </c>
      <c r="D32" s="162" t="s">
        <v>1127</v>
      </c>
      <c r="E32" s="161" t="s">
        <v>1128</v>
      </c>
      <c r="F32" s="163" t="s">
        <v>988</v>
      </c>
      <c r="G32" s="161" t="s">
        <v>1135</v>
      </c>
    </row>
    <row r="33">
      <c r="A33" s="166" t="s">
        <v>303</v>
      </c>
      <c r="B33" s="160" t="s">
        <v>125</v>
      </c>
      <c r="C33" s="161" t="s">
        <v>1025</v>
      </c>
      <c r="D33" s="162" t="s">
        <v>1127</v>
      </c>
      <c r="E33" s="161" t="s">
        <v>1128</v>
      </c>
      <c r="F33" s="163" t="s">
        <v>98</v>
      </c>
      <c r="G33" s="161" t="s">
        <v>1137</v>
      </c>
    </row>
    <row r="34">
      <c r="A34" s="165" t="s">
        <v>1044</v>
      </c>
      <c r="B34" s="160" t="s">
        <v>125</v>
      </c>
      <c r="C34" s="161" t="s">
        <v>1025</v>
      </c>
      <c r="D34" s="162" t="s">
        <v>1140</v>
      </c>
      <c r="E34" s="161" t="s">
        <v>1141</v>
      </c>
      <c r="F34" s="163" t="s">
        <v>975</v>
      </c>
      <c r="G34" s="161" t="s">
        <v>1142</v>
      </c>
    </row>
    <row r="35">
      <c r="A35" s="165" t="s">
        <v>1044</v>
      </c>
      <c r="B35" s="160" t="s">
        <v>125</v>
      </c>
      <c r="C35" s="161" t="s">
        <v>1025</v>
      </c>
      <c r="D35" s="162" t="s">
        <v>1140</v>
      </c>
      <c r="E35" s="161" t="s">
        <v>1141</v>
      </c>
      <c r="F35" s="163" t="s">
        <v>1001</v>
      </c>
      <c r="G35" s="161" t="s">
        <v>1146</v>
      </c>
    </row>
    <row r="36">
      <c r="A36" s="165" t="s">
        <v>1044</v>
      </c>
      <c r="B36" s="160" t="s">
        <v>125</v>
      </c>
      <c r="C36" s="161" t="s">
        <v>1025</v>
      </c>
      <c r="D36" s="162" t="s">
        <v>1140</v>
      </c>
      <c r="E36" s="161" t="s">
        <v>1141</v>
      </c>
      <c r="F36" s="163" t="s">
        <v>555</v>
      </c>
      <c r="G36" s="161" t="s">
        <v>1149</v>
      </c>
    </row>
    <row r="37">
      <c r="A37" s="165" t="s">
        <v>1044</v>
      </c>
      <c r="B37" s="160" t="s">
        <v>125</v>
      </c>
      <c r="C37" s="161" t="s">
        <v>1025</v>
      </c>
      <c r="D37" s="162" t="s">
        <v>1140</v>
      </c>
      <c r="E37" s="161" t="s">
        <v>1141</v>
      </c>
      <c r="F37" s="163" t="s">
        <v>505</v>
      </c>
      <c r="G37" s="161" t="s">
        <v>1150</v>
      </c>
    </row>
    <row r="38">
      <c r="A38" s="165" t="s">
        <v>1044</v>
      </c>
      <c r="B38" s="160" t="s">
        <v>125</v>
      </c>
      <c r="C38" s="161" t="s">
        <v>1025</v>
      </c>
      <c r="D38" s="162" t="s">
        <v>1140</v>
      </c>
      <c r="E38" s="161" t="s">
        <v>1141</v>
      </c>
      <c r="F38" s="163" t="s">
        <v>678</v>
      </c>
      <c r="G38" s="161" t="s">
        <v>1152</v>
      </c>
    </row>
    <row r="39">
      <c r="A39" s="165" t="s">
        <v>1044</v>
      </c>
      <c r="B39" s="160" t="s">
        <v>125</v>
      </c>
      <c r="C39" s="161" t="s">
        <v>1025</v>
      </c>
      <c r="D39" s="162" t="s">
        <v>1140</v>
      </c>
      <c r="E39" s="161" t="s">
        <v>1141</v>
      </c>
      <c r="F39" s="163" t="s">
        <v>546</v>
      </c>
      <c r="G39" s="161" t="s">
        <v>1156</v>
      </c>
    </row>
    <row r="40">
      <c r="A40" s="165" t="s">
        <v>1044</v>
      </c>
      <c r="B40" s="160" t="s">
        <v>125</v>
      </c>
      <c r="C40" s="161" t="s">
        <v>1025</v>
      </c>
      <c r="D40" s="162" t="s">
        <v>1140</v>
      </c>
      <c r="E40" s="161" t="s">
        <v>1141</v>
      </c>
      <c r="F40" s="163" t="s">
        <v>598</v>
      </c>
      <c r="G40" s="161" t="s">
        <v>1157</v>
      </c>
    </row>
    <row r="41">
      <c r="A41" s="165" t="s">
        <v>1044</v>
      </c>
      <c r="B41" s="160" t="s">
        <v>125</v>
      </c>
      <c r="C41" s="161" t="s">
        <v>1025</v>
      </c>
      <c r="D41" s="162" t="s">
        <v>1140</v>
      </c>
      <c r="E41" s="161" t="s">
        <v>1141</v>
      </c>
      <c r="F41" s="163" t="s">
        <v>516</v>
      </c>
      <c r="G41" s="161" t="s">
        <v>1161</v>
      </c>
    </row>
    <row r="42">
      <c r="A42" s="165" t="s">
        <v>1044</v>
      </c>
      <c r="B42" s="160" t="s">
        <v>125</v>
      </c>
      <c r="C42" s="161" t="s">
        <v>1025</v>
      </c>
      <c r="D42" s="162" t="s">
        <v>1163</v>
      </c>
      <c r="E42" s="161" t="s">
        <v>1165</v>
      </c>
      <c r="F42" s="163" t="s">
        <v>645</v>
      </c>
      <c r="G42" s="161" t="s">
        <v>1166</v>
      </c>
    </row>
    <row r="43">
      <c r="A43" s="165" t="s">
        <v>1044</v>
      </c>
      <c r="B43" s="160" t="s">
        <v>125</v>
      </c>
      <c r="C43" s="161" t="s">
        <v>1025</v>
      </c>
      <c r="D43" s="162" t="s">
        <v>1163</v>
      </c>
      <c r="E43" s="161" t="s">
        <v>1165</v>
      </c>
      <c r="F43" s="163" t="s">
        <v>517</v>
      </c>
      <c r="G43" s="161" t="s">
        <v>1171</v>
      </c>
    </row>
    <row r="44">
      <c r="A44" s="165" t="s">
        <v>1044</v>
      </c>
      <c r="B44" s="160" t="s">
        <v>125</v>
      </c>
      <c r="C44" s="161" t="s">
        <v>1025</v>
      </c>
      <c r="D44" s="162" t="s">
        <v>1163</v>
      </c>
      <c r="E44" s="161" t="s">
        <v>1165</v>
      </c>
      <c r="F44" s="163" t="s">
        <v>677</v>
      </c>
      <c r="G44" s="161" t="s">
        <v>1172</v>
      </c>
    </row>
    <row r="45">
      <c r="A45" s="165" t="s">
        <v>1044</v>
      </c>
      <c r="B45" s="160" t="s">
        <v>125</v>
      </c>
      <c r="C45" s="161" t="s">
        <v>1025</v>
      </c>
      <c r="D45" s="162" t="s">
        <v>1163</v>
      </c>
      <c r="E45" s="161" t="s">
        <v>1165</v>
      </c>
      <c r="F45" s="163" t="s">
        <v>843</v>
      </c>
      <c r="G45" s="161" t="s">
        <v>1175</v>
      </c>
    </row>
    <row r="46">
      <c r="A46" s="165" t="s">
        <v>1044</v>
      </c>
      <c r="B46" s="160" t="s">
        <v>125</v>
      </c>
      <c r="C46" s="161" t="s">
        <v>1025</v>
      </c>
      <c r="D46" s="162" t="s">
        <v>1163</v>
      </c>
      <c r="E46" s="161" t="s">
        <v>1165</v>
      </c>
      <c r="F46" s="163" t="s">
        <v>831</v>
      </c>
      <c r="G46" s="161" t="s">
        <v>1180</v>
      </c>
    </row>
    <row r="47">
      <c r="A47" s="167" t="s">
        <v>1181</v>
      </c>
      <c r="B47" s="160" t="s">
        <v>182</v>
      </c>
      <c r="C47" s="161" t="s">
        <v>1025</v>
      </c>
      <c r="D47" s="162" t="s">
        <v>1116</v>
      </c>
      <c r="E47" s="161" t="s">
        <v>1184</v>
      </c>
      <c r="F47" s="163" t="s">
        <v>506</v>
      </c>
      <c r="G47" s="161" t="s">
        <v>1185</v>
      </c>
    </row>
    <row r="48">
      <c r="A48" s="167" t="s">
        <v>1181</v>
      </c>
      <c r="B48" s="160" t="s">
        <v>182</v>
      </c>
      <c r="C48" s="161" t="s">
        <v>1025</v>
      </c>
      <c r="D48" s="162" t="s">
        <v>1116</v>
      </c>
      <c r="E48" s="161" t="s">
        <v>1184</v>
      </c>
      <c r="F48" s="163" t="s">
        <v>548</v>
      </c>
      <c r="G48" s="161" t="s">
        <v>1188</v>
      </c>
    </row>
    <row r="49">
      <c r="A49" s="167" t="s">
        <v>1181</v>
      </c>
      <c r="B49" s="160" t="s">
        <v>182</v>
      </c>
      <c r="C49" s="161" t="s">
        <v>1025</v>
      </c>
      <c r="D49" s="162" t="s">
        <v>1116</v>
      </c>
      <c r="E49" s="161" t="s">
        <v>1184</v>
      </c>
      <c r="F49" s="163" t="s">
        <v>559</v>
      </c>
      <c r="G49" s="161" t="s">
        <v>1190</v>
      </c>
    </row>
    <row r="50">
      <c r="A50" s="167" t="s">
        <v>1181</v>
      </c>
      <c r="B50" s="160" t="s">
        <v>182</v>
      </c>
      <c r="C50" s="161" t="s">
        <v>1025</v>
      </c>
      <c r="D50" s="162" t="s">
        <v>1116</v>
      </c>
      <c r="E50" s="161" t="s">
        <v>1184</v>
      </c>
      <c r="F50" s="163" t="s">
        <v>530</v>
      </c>
      <c r="G50" s="161" t="s">
        <v>1193</v>
      </c>
    </row>
    <row r="51">
      <c r="A51" s="167" t="s">
        <v>1181</v>
      </c>
      <c r="B51" s="160" t="s">
        <v>182</v>
      </c>
      <c r="C51" s="161" t="s">
        <v>1025</v>
      </c>
      <c r="D51" s="162" t="s">
        <v>1116</v>
      </c>
      <c r="E51" s="161" t="s">
        <v>1184</v>
      </c>
      <c r="F51" s="163" t="s">
        <v>577</v>
      </c>
      <c r="G51" s="161" t="s">
        <v>1198</v>
      </c>
    </row>
    <row r="52">
      <c r="A52" s="167" t="s">
        <v>1181</v>
      </c>
      <c r="B52" s="160" t="s">
        <v>182</v>
      </c>
      <c r="C52" s="161" t="s">
        <v>1025</v>
      </c>
      <c r="D52" s="162" t="s">
        <v>1116</v>
      </c>
      <c r="E52" s="161" t="s">
        <v>1184</v>
      </c>
      <c r="F52" s="163" t="s">
        <v>543</v>
      </c>
      <c r="G52" s="161" t="s">
        <v>1199</v>
      </c>
    </row>
    <row r="53">
      <c r="A53" s="167" t="s">
        <v>1181</v>
      </c>
      <c r="B53" s="160" t="s">
        <v>182</v>
      </c>
      <c r="C53" s="161" t="s">
        <v>1025</v>
      </c>
      <c r="D53" s="162" t="s">
        <v>1116</v>
      </c>
      <c r="E53" s="161" t="s">
        <v>1184</v>
      </c>
      <c r="F53" s="163" t="s">
        <v>507</v>
      </c>
      <c r="G53" s="161" t="s">
        <v>1203</v>
      </c>
    </row>
    <row r="54">
      <c r="A54" s="167" t="s">
        <v>1181</v>
      </c>
      <c r="B54" s="160" t="s">
        <v>182</v>
      </c>
      <c r="C54" s="161" t="s">
        <v>1025</v>
      </c>
      <c r="D54" s="162" t="s">
        <v>1116</v>
      </c>
      <c r="E54" s="161" t="s">
        <v>1184</v>
      </c>
      <c r="F54" s="163" t="s">
        <v>624</v>
      </c>
      <c r="G54" s="161" t="s">
        <v>1207</v>
      </c>
    </row>
    <row r="55">
      <c r="A55" s="167" t="s">
        <v>1181</v>
      </c>
      <c r="B55" s="160" t="s">
        <v>182</v>
      </c>
      <c r="C55" s="161" t="s">
        <v>1025</v>
      </c>
      <c r="D55" s="162" t="s">
        <v>1116</v>
      </c>
      <c r="E55" s="161" t="s">
        <v>1184</v>
      </c>
      <c r="F55" s="163" t="s">
        <v>519</v>
      </c>
      <c r="G55" s="161" t="s">
        <v>1209</v>
      </c>
    </row>
    <row r="56">
      <c r="A56" s="167" t="s">
        <v>1181</v>
      </c>
      <c r="B56" s="160" t="s">
        <v>182</v>
      </c>
      <c r="C56" s="161" t="s">
        <v>1025</v>
      </c>
      <c r="D56" s="162" t="s">
        <v>1214</v>
      </c>
      <c r="E56" s="161" t="s">
        <v>1215</v>
      </c>
      <c r="F56" s="163" t="s">
        <v>513</v>
      </c>
      <c r="G56" s="161" t="s">
        <v>1216</v>
      </c>
    </row>
    <row r="57">
      <c r="A57" s="167" t="s">
        <v>1181</v>
      </c>
      <c r="B57" s="160" t="s">
        <v>182</v>
      </c>
      <c r="C57" s="161" t="s">
        <v>1025</v>
      </c>
      <c r="D57" s="162" t="s">
        <v>1214</v>
      </c>
      <c r="E57" s="161" t="s">
        <v>1215</v>
      </c>
      <c r="F57" s="163" t="s">
        <v>877</v>
      </c>
      <c r="G57" s="161" t="s">
        <v>1217</v>
      </c>
    </row>
    <row r="58">
      <c r="A58" s="165" t="s">
        <v>1044</v>
      </c>
      <c r="B58" s="160" t="s">
        <v>53</v>
      </c>
      <c r="C58" s="161" t="s">
        <v>1025</v>
      </c>
      <c r="D58" s="162" t="s">
        <v>1070</v>
      </c>
      <c r="E58" s="161" t="s">
        <v>1071</v>
      </c>
      <c r="F58" s="163" t="s">
        <v>894</v>
      </c>
      <c r="G58" s="161" t="s">
        <v>1072</v>
      </c>
    </row>
    <row r="59">
      <c r="A59" s="165" t="s">
        <v>1044</v>
      </c>
      <c r="B59" s="160" t="s">
        <v>53</v>
      </c>
      <c r="C59" s="161" t="s">
        <v>1025</v>
      </c>
      <c r="D59" s="162" t="s">
        <v>1070</v>
      </c>
      <c r="E59" s="161" t="s">
        <v>1071</v>
      </c>
      <c r="F59" s="163" t="s">
        <v>826</v>
      </c>
      <c r="G59" s="161" t="s">
        <v>1221</v>
      </c>
    </row>
    <row r="60">
      <c r="A60" s="165" t="s">
        <v>1044</v>
      </c>
      <c r="B60" s="160" t="s">
        <v>53</v>
      </c>
      <c r="C60" s="161" t="s">
        <v>1025</v>
      </c>
      <c r="D60" s="162" t="s">
        <v>1070</v>
      </c>
      <c r="E60" s="161" t="s">
        <v>1071</v>
      </c>
      <c r="F60" s="163" t="s">
        <v>741</v>
      </c>
      <c r="G60" s="161" t="s">
        <v>1223</v>
      </c>
    </row>
    <row r="61">
      <c r="A61" s="165" t="s">
        <v>1044</v>
      </c>
      <c r="B61" s="160" t="s">
        <v>53</v>
      </c>
      <c r="C61" s="161" t="s">
        <v>1025</v>
      </c>
      <c r="D61" s="162" t="s">
        <v>1070</v>
      </c>
      <c r="E61" s="161" t="s">
        <v>1071</v>
      </c>
      <c r="F61" s="163" t="s">
        <v>918</v>
      </c>
      <c r="G61" s="161" t="s">
        <v>1227</v>
      </c>
    </row>
    <row r="62">
      <c r="A62" s="165" t="s">
        <v>1044</v>
      </c>
      <c r="B62" s="160" t="s">
        <v>53</v>
      </c>
      <c r="C62" s="161" t="s">
        <v>1025</v>
      </c>
      <c r="D62" s="162" t="s">
        <v>1070</v>
      </c>
      <c r="E62" s="161" t="s">
        <v>1071</v>
      </c>
      <c r="F62" s="163" t="s">
        <v>1077</v>
      </c>
      <c r="G62" s="161" t="s">
        <v>1078</v>
      </c>
    </row>
    <row r="63">
      <c r="A63" s="165" t="s">
        <v>1044</v>
      </c>
      <c r="B63" s="160" t="s">
        <v>53</v>
      </c>
      <c r="C63" s="161" t="s">
        <v>1025</v>
      </c>
      <c r="D63" s="162" t="s">
        <v>1070</v>
      </c>
      <c r="E63" s="161" t="s">
        <v>1071</v>
      </c>
      <c r="F63" s="163" t="s">
        <v>1229</v>
      </c>
      <c r="G63" s="161" t="s">
        <v>1230</v>
      </c>
    </row>
    <row r="64">
      <c r="A64" s="165" t="s">
        <v>1044</v>
      </c>
      <c r="B64" s="160" t="s">
        <v>53</v>
      </c>
      <c r="C64" s="161" t="s">
        <v>1025</v>
      </c>
      <c r="D64" s="162" t="s">
        <v>1070</v>
      </c>
      <c r="E64" s="161" t="s">
        <v>1071</v>
      </c>
      <c r="F64" s="163" t="s">
        <v>883</v>
      </c>
      <c r="G64" s="161" t="s">
        <v>1218</v>
      </c>
    </row>
    <row r="65">
      <c r="A65" s="165" t="s">
        <v>1044</v>
      </c>
      <c r="B65" s="160" t="s">
        <v>53</v>
      </c>
      <c r="C65" s="161" t="s">
        <v>1025</v>
      </c>
      <c r="D65" s="162" t="s">
        <v>1070</v>
      </c>
      <c r="E65" s="161" t="s">
        <v>1071</v>
      </c>
      <c r="F65" s="163" t="s">
        <v>1236</v>
      </c>
      <c r="G65" s="161" t="s">
        <v>1237</v>
      </c>
    </row>
    <row r="66">
      <c r="A66" s="165" t="s">
        <v>1044</v>
      </c>
      <c r="B66" s="160" t="s">
        <v>53</v>
      </c>
      <c r="C66" s="161" t="s">
        <v>1025</v>
      </c>
      <c r="D66" s="162" t="s">
        <v>1070</v>
      </c>
      <c r="E66" s="161" t="s">
        <v>1071</v>
      </c>
      <c r="F66" s="163" t="s">
        <v>891</v>
      </c>
      <c r="G66" s="161" t="s">
        <v>1080</v>
      </c>
    </row>
    <row r="67">
      <c r="A67" s="165" t="s">
        <v>1044</v>
      </c>
      <c r="B67" s="160" t="s">
        <v>53</v>
      </c>
      <c r="C67" s="161" t="s">
        <v>1025</v>
      </c>
      <c r="D67" s="162" t="s">
        <v>1070</v>
      </c>
      <c r="E67" s="161" t="s">
        <v>1071</v>
      </c>
      <c r="F67" s="163" t="s">
        <v>710</v>
      </c>
      <c r="G67" s="161" t="s">
        <v>1242</v>
      </c>
    </row>
    <row r="68">
      <c r="A68" s="165" t="s">
        <v>1044</v>
      </c>
      <c r="B68" s="160" t="s">
        <v>53</v>
      </c>
      <c r="C68" s="161" t="s">
        <v>1025</v>
      </c>
      <c r="D68" s="162" t="s">
        <v>1070</v>
      </c>
      <c r="E68" s="161" t="s">
        <v>1071</v>
      </c>
      <c r="F68" s="163" t="s">
        <v>998</v>
      </c>
      <c r="G68" s="161" t="s">
        <v>1219</v>
      </c>
    </row>
    <row r="69">
      <c r="A69" s="165" t="s">
        <v>1044</v>
      </c>
      <c r="B69" s="160" t="s">
        <v>53</v>
      </c>
      <c r="C69" s="161" t="s">
        <v>1025</v>
      </c>
      <c r="D69" s="162" t="s">
        <v>1083</v>
      </c>
      <c r="E69" s="161" t="s">
        <v>1084</v>
      </c>
      <c r="F69" s="163" t="s">
        <v>840</v>
      </c>
      <c r="G69" s="161" t="s">
        <v>1247</v>
      </c>
    </row>
    <row r="70">
      <c r="A70" s="165" t="s">
        <v>1044</v>
      </c>
      <c r="B70" s="160" t="s">
        <v>53</v>
      </c>
      <c r="C70" s="161" t="s">
        <v>1025</v>
      </c>
      <c r="D70" s="162" t="s">
        <v>1083</v>
      </c>
      <c r="E70" s="161" t="s">
        <v>1084</v>
      </c>
      <c r="F70" s="163" t="s">
        <v>1002</v>
      </c>
      <c r="G70" s="161" t="s">
        <v>1251</v>
      </c>
    </row>
    <row r="71">
      <c r="A71" s="165" t="s">
        <v>1044</v>
      </c>
      <c r="B71" s="160" t="s">
        <v>53</v>
      </c>
      <c r="C71" s="161" t="s">
        <v>1025</v>
      </c>
      <c r="D71" s="162" t="s">
        <v>1083</v>
      </c>
      <c r="E71" s="161" t="s">
        <v>1084</v>
      </c>
      <c r="F71" s="163" t="s">
        <v>934</v>
      </c>
      <c r="G71" s="161" t="s">
        <v>1222</v>
      </c>
    </row>
    <row r="72">
      <c r="A72" s="165" t="s">
        <v>1044</v>
      </c>
      <c r="B72" s="160" t="s">
        <v>53</v>
      </c>
      <c r="C72" s="161" t="s">
        <v>1025</v>
      </c>
      <c r="D72" s="162" t="s">
        <v>1083</v>
      </c>
      <c r="E72" s="161" t="s">
        <v>1084</v>
      </c>
      <c r="F72" s="163" t="s">
        <v>1252</v>
      </c>
      <c r="G72" s="161" t="s">
        <v>1253</v>
      </c>
    </row>
    <row r="73">
      <c r="A73" s="165" t="s">
        <v>1044</v>
      </c>
      <c r="B73" s="160" t="s">
        <v>53</v>
      </c>
      <c r="C73" s="161" t="s">
        <v>1025</v>
      </c>
      <c r="D73" s="162" t="s">
        <v>1083</v>
      </c>
      <c r="E73" s="161" t="s">
        <v>1084</v>
      </c>
      <c r="F73" s="163" t="s">
        <v>1257</v>
      </c>
      <c r="G73" s="161" t="s">
        <v>1258</v>
      </c>
    </row>
    <row r="74">
      <c r="A74" s="165" t="s">
        <v>1044</v>
      </c>
      <c r="B74" s="160" t="s">
        <v>53</v>
      </c>
      <c r="C74" s="161" t="s">
        <v>1025</v>
      </c>
      <c r="D74" s="162" t="s">
        <v>1083</v>
      </c>
      <c r="E74" s="161" t="s">
        <v>1084</v>
      </c>
      <c r="F74" s="163" t="s">
        <v>921</v>
      </c>
      <c r="G74" s="161" t="s">
        <v>1262</v>
      </c>
    </row>
    <row r="75">
      <c r="A75" s="165" t="s">
        <v>1044</v>
      </c>
      <c r="B75" s="160" t="s">
        <v>53</v>
      </c>
      <c r="C75" s="161" t="s">
        <v>1025</v>
      </c>
      <c r="D75" s="162" t="s">
        <v>1083</v>
      </c>
      <c r="E75" s="161" t="s">
        <v>1084</v>
      </c>
      <c r="F75" s="163" t="s">
        <v>756</v>
      </c>
      <c r="G75" s="161" t="s">
        <v>1085</v>
      </c>
    </row>
    <row r="76">
      <c r="A76" s="165" t="s">
        <v>1044</v>
      </c>
      <c r="B76" s="160" t="s">
        <v>53</v>
      </c>
      <c r="C76" s="161" t="s">
        <v>1025</v>
      </c>
      <c r="D76" s="162" t="s">
        <v>1083</v>
      </c>
      <c r="E76" s="161" t="s">
        <v>1084</v>
      </c>
      <c r="F76" s="163" t="s">
        <v>662</v>
      </c>
      <c r="G76" s="161" t="s">
        <v>1264</v>
      </c>
    </row>
    <row r="77">
      <c r="A77" s="165" t="s">
        <v>1044</v>
      </c>
      <c r="B77" s="160" t="s">
        <v>53</v>
      </c>
      <c r="C77" s="161" t="s">
        <v>1025</v>
      </c>
      <c r="D77" s="162" t="s">
        <v>1083</v>
      </c>
      <c r="E77" s="161" t="s">
        <v>1084</v>
      </c>
      <c r="F77" s="163" t="s">
        <v>757</v>
      </c>
      <c r="G77" s="161" t="s">
        <v>1267</v>
      </c>
    </row>
    <row r="78">
      <c r="A78" s="165" t="s">
        <v>1044</v>
      </c>
      <c r="B78" s="160" t="s">
        <v>53</v>
      </c>
      <c r="C78" s="161" t="s">
        <v>1025</v>
      </c>
      <c r="D78" s="162" t="s">
        <v>1083</v>
      </c>
      <c r="E78" s="161" t="s">
        <v>1084</v>
      </c>
      <c r="F78" s="163" t="s">
        <v>949</v>
      </c>
      <c r="G78" s="161" t="s">
        <v>1268</v>
      </c>
    </row>
    <row r="79">
      <c r="A79" s="165" t="s">
        <v>1044</v>
      </c>
      <c r="B79" s="160" t="s">
        <v>53</v>
      </c>
      <c r="C79" s="161" t="s">
        <v>1025</v>
      </c>
      <c r="D79" s="162" t="s">
        <v>1083</v>
      </c>
      <c r="E79" s="161" t="s">
        <v>1084</v>
      </c>
      <c r="F79" s="163" t="s">
        <v>873</v>
      </c>
      <c r="G79" s="161" t="s">
        <v>1088</v>
      </c>
    </row>
    <row r="80">
      <c r="A80" s="165" t="s">
        <v>1044</v>
      </c>
      <c r="B80" s="160" t="s">
        <v>53</v>
      </c>
      <c r="C80" s="161" t="s">
        <v>1025</v>
      </c>
      <c r="D80" s="162" t="s">
        <v>1083</v>
      </c>
      <c r="E80" s="161" t="s">
        <v>1084</v>
      </c>
      <c r="F80" s="163" t="s">
        <v>810</v>
      </c>
      <c r="G80" s="161" t="s">
        <v>1091</v>
      </c>
    </row>
    <row r="81">
      <c r="A81" s="165" t="s">
        <v>1044</v>
      </c>
      <c r="B81" s="160" t="s">
        <v>53</v>
      </c>
      <c r="C81" s="161" t="s">
        <v>1025</v>
      </c>
      <c r="D81" s="162" t="s">
        <v>1083</v>
      </c>
      <c r="E81" s="161" t="s">
        <v>1084</v>
      </c>
      <c r="F81" s="163" t="s">
        <v>827</v>
      </c>
      <c r="G81" s="161" t="s">
        <v>1274</v>
      </c>
    </row>
    <row r="82">
      <c r="A82" s="165" t="s">
        <v>1044</v>
      </c>
      <c r="B82" s="160" t="s">
        <v>53</v>
      </c>
      <c r="C82" s="161" t="s">
        <v>1025</v>
      </c>
      <c r="D82" s="162" t="s">
        <v>1083</v>
      </c>
      <c r="E82" s="161" t="s">
        <v>1084</v>
      </c>
      <c r="F82" s="163" t="s">
        <v>728</v>
      </c>
      <c r="G82" s="161" t="s">
        <v>1275</v>
      </c>
    </row>
    <row r="83">
      <c r="A83" s="165" t="s">
        <v>1044</v>
      </c>
      <c r="B83" s="160" t="s">
        <v>53</v>
      </c>
      <c r="C83" s="161" t="s">
        <v>1025</v>
      </c>
      <c r="D83" s="162" t="s">
        <v>1083</v>
      </c>
      <c r="E83" s="161" t="s">
        <v>1084</v>
      </c>
      <c r="F83" s="163" t="s">
        <v>919</v>
      </c>
      <c r="G83" s="161" t="s">
        <v>1277</v>
      </c>
    </row>
    <row r="84">
      <c r="A84" s="165" t="s">
        <v>1044</v>
      </c>
      <c r="B84" s="160" t="s">
        <v>53</v>
      </c>
      <c r="C84" s="161" t="s">
        <v>1025</v>
      </c>
      <c r="D84" s="162" t="s">
        <v>1083</v>
      </c>
      <c r="E84" s="161" t="s">
        <v>1084</v>
      </c>
      <c r="F84" s="163" t="s">
        <v>973</v>
      </c>
      <c r="G84" s="161" t="s">
        <v>1094</v>
      </c>
    </row>
    <row r="85">
      <c r="A85" s="165" t="s">
        <v>1044</v>
      </c>
      <c r="B85" s="160" t="s">
        <v>53</v>
      </c>
      <c r="C85" s="161" t="s">
        <v>1025</v>
      </c>
      <c r="D85" s="162" t="s">
        <v>1224</v>
      </c>
      <c r="E85" s="161" t="s">
        <v>1225</v>
      </c>
      <c r="F85" s="163" t="s">
        <v>933</v>
      </c>
      <c r="G85" s="161" t="s">
        <v>1281</v>
      </c>
    </row>
    <row r="86">
      <c r="A86" s="165" t="s">
        <v>1044</v>
      </c>
      <c r="B86" s="160" t="s">
        <v>53</v>
      </c>
      <c r="C86" s="161" t="s">
        <v>1025</v>
      </c>
      <c r="D86" s="162" t="s">
        <v>1224</v>
      </c>
      <c r="E86" s="161" t="s">
        <v>1225</v>
      </c>
      <c r="F86" s="163" t="s">
        <v>927</v>
      </c>
      <c r="G86" s="161" t="s">
        <v>1226</v>
      </c>
    </row>
    <row r="87">
      <c r="A87" s="165" t="s">
        <v>1044</v>
      </c>
      <c r="B87" s="160" t="s">
        <v>53</v>
      </c>
      <c r="C87" s="161" t="s">
        <v>1025</v>
      </c>
      <c r="D87" s="162" t="s">
        <v>1224</v>
      </c>
      <c r="E87" s="161" t="s">
        <v>1225</v>
      </c>
      <c r="F87" s="163" t="s">
        <v>1283</v>
      </c>
      <c r="G87" s="161" t="s">
        <v>1285</v>
      </c>
    </row>
    <row r="88">
      <c r="A88" s="165" t="s">
        <v>1044</v>
      </c>
      <c r="B88" s="160" t="s">
        <v>53</v>
      </c>
      <c r="C88" s="161" t="s">
        <v>1025</v>
      </c>
      <c r="D88" s="162" t="s">
        <v>1224</v>
      </c>
      <c r="E88" s="161" t="s">
        <v>1225</v>
      </c>
      <c r="F88" s="163" t="s">
        <v>1288</v>
      </c>
      <c r="G88" s="161" t="s">
        <v>1289</v>
      </c>
    </row>
    <row r="89">
      <c r="A89" s="165" t="s">
        <v>1044</v>
      </c>
      <c r="B89" s="160" t="s">
        <v>53</v>
      </c>
      <c r="C89" s="161" t="s">
        <v>1025</v>
      </c>
      <c r="D89" s="162" t="s">
        <v>1224</v>
      </c>
      <c r="E89" s="161" t="s">
        <v>1225</v>
      </c>
      <c r="F89" s="163" t="s">
        <v>806</v>
      </c>
      <c r="G89" s="161" t="s">
        <v>1228</v>
      </c>
    </row>
    <row r="90">
      <c r="A90" s="165" t="s">
        <v>1044</v>
      </c>
      <c r="B90" s="160" t="s">
        <v>53</v>
      </c>
      <c r="C90" s="161" t="s">
        <v>1025</v>
      </c>
      <c r="D90" s="162" t="s">
        <v>1224</v>
      </c>
      <c r="E90" s="161" t="s">
        <v>1225</v>
      </c>
      <c r="F90" s="163" t="s">
        <v>992</v>
      </c>
      <c r="G90" s="161" t="s">
        <v>1293</v>
      </c>
    </row>
    <row r="91">
      <c r="A91" s="165" t="s">
        <v>1044</v>
      </c>
      <c r="B91" s="160" t="s">
        <v>53</v>
      </c>
      <c r="C91" s="161" t="s">
        <v>1025</v>
      </c>
      <c r="D91" s="162" t="s">
        <v>1224</v>
      </c>
      <c r="E91" s="161" t="s">
        <v>1225</v>
      </c>
      <c r="F91" s="163" t="s">
        <v>736</v>
      </c>
      <c r="G91" s="161" t="s">
        <v>1294</v>
      </c>
    </row>
    <row r="92">
      <c r="A92" s="165" t="s">
        <v>1044</v>
      </c>
      <c r="B92" s="160" t="s">
        <v>53</v>
      </c>
      <c r="C92" s="161" t="s">
        <v>1025</v>
      </c>
      <c r="D92" s="162" t="s">
        <v>1095</v>
      </c>
      <c r="E92" s="161" t="s">
        <v>1096</v>
      </c>
      <c r="F92" s="163" t="s">
        <v>743</v>
      </c>
      <c r="G92" s="161" t="s">
        <v>1297</v>
      </c>
    </row>
    <row r="93">
      <c r="A93" s="165" t="s">
        <v>1044</v>
      </c>
      <c r="B93" s="160" t="s">
        <v>53</v>
      </c>
      <c r="C93" s="161" t="s">
        <v>1025</v>
      </c>
      <c r="D93" s="162" t="s">
        <v>1095</v>
      </c>
      <c r="E93" s="161" t="s">
        <v>1096</v>
      </c>
      <c r="F93" s="163" t="s">
        <v>801</v>
      </c>
      <c r="G93" s="161" t="s">
        <v>1298</v>
      </c>
    </row>
    <row r="94">
      <c r="A94" s="165" t="s">
        <v>1044</v>
      </c>
      <c r="B94" s="160" t="s">
        <v>53</v>
      </c>
      <c r="C94" s="161" t="s">
        <v>1025</v>
      </c>
      <c r="D94" s="162" t="s">
        <v>1095</v>
      </c>
      <c r="E94" s="161" t="s">
        <v>1096</v>
      </c>
      <c r="F94" s="163" t="s">
        <v>971</v>
      </c>
      <c r="G94" s="161" t="s">
        <v>1299</v>
      </c>
    </row>
    <row r="95">
      <c r="A95" s="165" t="s">
        <v>1044</v>
      </c>
      <c r="B95" s="160" t="s">
        <v>53</v>
      </c>
      <c r="C95" s="161" t="s">
        <v>1025</v>
      </c>
      <c r="D95" s="162" t="s">
        <v>1095</v>
      </c>
      <c r="E95" s="161" t="s">
        <v>1096</v>
      </c>
      <c r="F95" s="163" t="s">
        <v>836</v>
      </c>
      <c r="G95" s="161" t="s">
        <v>1231</v>
      </c>
    </row>
    <row r="96">
      <c r="A96" s="165" t="s">
        <v>1044</v>
      </c>
      <c r="B96" s="160" t="s">
        <v>53</v>
      </c>
      <c r="C96" s="161" t="s">
        <v>1025</v>
      </c>
      <c r="D96" s="162" t="s">
        <v>1095</v>
      </c>
      <c r="E96" s="161" t="s">
        <v>1096</v>
      </c>
      <c r="F96" s="163" t="s">
        <v>653</v>
      </c>
      <c r="G96" s="161" t="s">
        <v>1300</v>
      </c>
    </row>
    <row r="97">
      <c r="A97" s="165" t="s">
        <v>1044</v>
      </c>
      <c r="B97" s="160" t="s">
        <v>53</v>
      </c>
      <c r="C97" s="161" t="s">
        <v>1025</v>
      </c>
      <c r="D97" s="162" t="s">
        <v>1095</v>
      </c>
      <c r="E97" s="161" t="s">
        <v>1096</v>
      </c>
      <c r="F97" s="163" t="s">
        <v>889</v>
      </c>
      <c r="G97" s="161" t="s">
        <v>1302</v>
      </c>
    </row>
    <row r="98">
      <c r="A98" s="165" t="s">
        <v>1044</v>
      </c>
      <c r="B98" s="160" t="s">
        <v>53</v>
      </c>
      <c r="C98" s="161" t="s">
        <v>1025</v>
      </c>
      <c r="D98" s="162" t="s">
        <v>1095</v>
      </c>
      <c r="E98" s="161" t="s">
        <v>1096</v>
      </c>
      <c r="F98" s="163" t="s">
        <v>772</v>
      </c>
      <c r="G98" s="161" t="s">
        <v>1304</v>
      </c>
    </row>
    <row r="99">
      <c r="A99" s="165" t="s">
        <v>1044</v>
      </c>
      <c r="B99" s="160" t="s">
        <v>53</v>
      </c>
      <c r="C99" s="161" t="s">
        <v>1025</v>
      </c>
      <c r="D99" s="162" t="s">
        <v>1095</v>
      </c>
      <c r="E99" s="161" t="s">
        <v>1096</v>
      </c>
      <c r="F99" s="163" t="s">
        <v>683</v>
      </c>
      <c r="G99" s="161" t="s">
        <v>1306</v>
      </c>
    </row>
    <row r="100">
      <c r="A100" s="165" t="s">
        <v>1044</v>
      </c>
      <c r="B100" s="160" t="s">
        <v>53</v>
      </c>
      <c r="C100" s="161" t="s">
        <v>1025</v>
      </c>
      <c r="D100" s="162" t="s">
        <v>1095</v>
      </c>
      <c r="E100" s="161" t="s">
        <v>1096</v>
      </c>
      <c r="F100" s="163" t="s">
        <v>888</v>
      </c>
      <c r="G100" s="161" t="s">
        <v>1307</v>
      </c>
    </row>
    <row r="101">
      <c r="A101" s="165" t="s">
        <v>1044</v>
      </c>
      <c r="B101" s="160" t="s">
        <v>53</v>
      </c>
      <c r="C101" s="161" t="s">
        <v>1025</v>
      </c>
      <c r="D101" s="162" t="s">
        <v>1095</v>
      </c>
      <c r="E101" s="161" t="s">
        <v>1096</v>
      </c>
      <c r="F101" s="163" t="s">
        <v>693</v>
      </c>
      <c r="G101" s="161" t="s">
        <v>1309</v>
      </c>
    </row>
    <row r="102">
      <c r="A102" s="165" t="s">
        <v>1044</v>
      </c>
      <c r="B102" s="160" t="s">
        <v>53</v>
      </c>
      <c r="C102" s="161" t="s">
        <v>1025</v>
      </c>
      <c r="D102" s="162" t="s">
        <v>1095</v>
      </c>
      <c r="E102" s="161" t="s">
        <v>1096</v>
      </c>
      <c r="F102" s="163" t="s">
        <v>931</v>
      </c>
      <c r="G102" s="161" t="s">
        <v>1311</v>
      </c>
    </row>
    <row r="103">
      <c r="A103" s="165" t="s">
        <v>1044</v>
      </c>
      <c r="B103" s="160" t="s">
        <v>53</v>
      </c>
      <c r="C103" s="161" t="s">
        <v>1025</v>
      </c>
      <c r="D103" s="162" t="s">
        <v>1095</v>
      </c>
      <c r="E103" s="161" t="s">
        <v>1096</v>
      </c>
      <c r="F103" s="163" t="s">
        <v>751</v>
      </c>
      <c r="G103" s="161" t="s">
        <v>1312</v>
      </c>
    </row>
    <row r="104">
      <c r="A104" s="165" t="s">
        <v>1044</v>
      </c>
      <c r="B104" s="160" t="s">
        <v>53</v>
      </c>
      <c r="C104" s="161" t="s">
        <v>1025</v>
      </c>
      <c r="D104" s="162" t="s">
        <v>1095</v>
      </c>
      <c r="E104" s="161" t="s">
        <v>1096</v>
      </c>
      <c r="F104" s="163" t="s">
        <v>727</v>
      </c>
      <c r="G104" s="161" t="s">
        <v>1314</v>
      </c>
    </row>
    <row r="105">
      <c r="A105" s="165" t="s">
        <v>1044</v>
      </c>
      <c r="B105" s="160" t="s">
        <v>53</v>
      </c>
      <c r="C105" s="161" t="s">
        <v>1025</v>
      </c>
      <c r="D105" s="162" t="s">
        <v>1095</v>
      </c>
      <c r="E105" s="161" t="s">
        <v>1096</v>
      </c>
      <c r="F105" s="163" t="s">
        <v>775</v>
      </c>
      <c r="G105" s="161" t="s">
        <v>1301</v>
      </c>
    </row>
    <row r="106">
      <c r="A106" s="165" t="s">
        <v>1044</v>
      </c>
      <c r="B106" s="160" t="s">
        <v>53</v>
      </c>
      <c r="C106" s="161" t="s">
        <v>1025</v>
      </c>
      <c r="D106" s="162" t="s">
        <v>1095</v>
      </c>
      <c r="E106" s="161" t="s">
        <v>1096</v>
      </c>
      <c r="F106" s="163" t="s">
        <v>1097</v>
      </c>
      <c r="G106" s="161" t="s">
        <v>1098</v>
      </c>
    </row>
    <row r="107">
      <c r="A107" s="165" t="s">
        <v>1044</v>
      </c>
      <c r="B107" s="160" t="s">
        <v>53</v>
      </c>
      <c r="C107" s="161" t="s">
        <v>1025</v>
      </c>
      <c r="D107" s="162" t="s">
        <v>1095</v>
      </c>
      <c r="E107" s="161" t="s">
        <v>1096</v>
      </c>
      <c r="F107" s="163" t="s">
        <v>966</v>
      </c>
      <c r="G107" s="161" t="s">
        <v>1318</v>
      </c>
    </row>
    <row r="108">
      <c r="A108" s="165" t="s">
        <v>1044</v>
      </c>
      <c r="B108" s="160" t="s">
        <v>53</v>
      </c>
      <c r="C108" s="161" t="s">
        <v>1025</v>
      </c>
      <c r="D108" s="162" t="s">
        <v>1095</v>
      </c>
      <c r="E108" s="161" t="s">
        <v>1096</v>
      </c>
      <c r="F108" s="163" t="s">
        <v>1006</v>
      </c>
      <c r="G108" s="161" t="s">
        <v>1303</v>
      </c>
    </row>
    <row r="109">
      <c r="A109" s="165" t="s">
        <v>1044</v>
      </c>
      <c r="B109" s="160" t="s">
        <v>53</v>
      </c>
      <c r="C109" s="161" t="s">
        <v>1025</v>
      </c>
      <c r="D109" s="162" t="s">
        <v>1095</v>
      </c>
      <c r="E109" s="161" t="s">
        <v>1096</v>
      </c>
      <c r="F109" s="163" t="s">
        <v>824</v>
      </c>
      <c r="G109" s="161" t="s">
        <v>1320</v>
      </c>
    </row>
    <row r="110">
      <c r="A110" s="165" t="s">
        <v>1044</v>
      </c>
      <c r="B110" s="160" t="s">
        <v>53</v>
      </c>
      <c r="C110" s="161" t="s">
        <v>1025</v>
      </c>
      <c r="D110" s="162" t="s">
        <v>1095</v>
      </c>
      <c r="E110" s="161" t="s">
        <v>1096</v>
      </c>
      <c r="F110" s="163" t="s">
        <v>623</v>
      </c>
      <c r="G110" s="161" t="s">
        <v>1101</v>
      </c>
    </row>
    <row r="111">
      <c r="A111" s="165" t="s">
        <v>1044</v>
      </c>
      <c r="B111" s="160" t="s">
        <v>53</v>
      </c>
      <c r="C111" s="161" t="s">
        <v>1025</v>
      </c>
      <c r="D111" s="162" t="s">
        <v>1095</v>
      </c>
      <c r="E111" s="161" t="s">
        <v>1096</v>
      </c>
      <c r="F111" s="163" t="s">
        <v>596</v>
      </c>
      <c r="G111" s="161" t="s">
        <v>1323</v>
      </c>
    </row>
    <row r="112">
      <c r="A112" s="165" t="s">
        <v>1044</v>
      </c>
      <c r="B112" s="160" t="s">
        <v>53</v>
      </c>
      <c r="C112" s="161" t="s">
        <v>1025</v>
      </c>
      <c r="D112" s="162" t="s">
        <v>1095</v>
      </c>
      <c r="E112" s="161" t="s">
        <v>1096</v>
      </c>
      <c r="F112" s="163" t="s">
        <v>825</v>
      </c>
      <c r="G112" s="161" t="s">
        <v>1305</v>
      </c>
    </row>
    <row r="113">
      <c r="A113" s="165" t="s">
        <v>1044</v>
      </c>
      <c r="B113" s="160" t="s">
        <v>53</v>
      </c>
      <c r="C113" s="161" t="s">
        <v>1025</v>
      </c>
      <c r="D113" s="162" t="s">
        <v>1095</v>
      </c>
      <c r="E113" s="161" t="s">
        <v>1096</v>
      </c>
      <c r="F113" s="163" t="s">
        <v>717</v>
      </c>
      <c r="G113" s="161" t="s">
        <v>1325</v>
      </c>
    </row>
    <row r="114">
      <c r="A114" s="165" t="s">
        <v>1044</v>
      </c>
      <c r="B114" s="160" t="s">
        <v>53</v>
      </c>
      <c r="C114" s="161" t="s">
        <v>1025</v>
      </c>
      <c r="D114" s="162" t="s">
        <v>1103</v>
      </c>
      <c r="E114" s="161" t="s">
        <v>1105</v>
      </c>
      <c r="F114" s="163" t="s">
        <v>923</v>
      </c>
      <c r="G114" s="161" t="s">
        <v>1308</v>
      </c>
    </row>
    <row r="115">
      <c r="A115" s="165" t="s">
        <v>1044</v>
      </c>
      <c r="B115" s="160" t="s">
        <v>53</v>
      </c>
      <c r="C115" s="161" t="s">
        <v>1025</v>
      </c>
      <c r="D115" s="162" t="s">
        <v>1103</v>
      </c>
      <c r="E115" s="161" t="s">
        <v>1105</v>
      </c>
      <c r="F115" s="163" t="s">
        <v>935</v>
      </c>
      <c r="G115" s="161" t="s">
        <v>1327</v>
      </c>
    </row>
    <row r="116">
      <c r="A116" s="165" t="s">
        <v>1044</v>
      </c>
      <c r="B116" s="160" t="s">
        <v>53</v>
      </c>
      <c r="C116" s="161" t="s">
        <v>1025</v>
      </c>
      <c r="D116" s="162" t="s">
        <v>1103</v>
      </c>
      <c r="E116" s="161" t="s">
        <v>1105</v>
      </c>
      <c r="F116" s="163" t="s">
        <v>947</v>
      </c>
      <c r="G116" s="161" t="s">
        <v>1330</v>
      </c>
    </row>
    <row r="117">
      <c r="A117" s="165" t="s">
        <v>1044</v>
      </c>
      <c r="B117" s="160" t="s">
        <v>53</v>
      </c>
      <c r="C117" s="161" t="s">
        <v>1025</v>
      </c>
      <c r="D117" s="162" t="s">
        <v>1103</v>
      </c>
      <c r="E117" s="161" t="s">
        <v>1105</v>
      </c>
      <c r="F117" s="163" t="s">
        <v>922</v>
      </c>
      <c r="G117" s="161" t="s">
        <v>1232</v>
      </c>
    </row>
    <row r="118">
      <c r="A118" s="165" t="s">
        <v>1044</v>
      </c>
      <c r="B118" s="160" t="s">
        <v>53</v>
      </c>
      <c r="C118" s="161" t="s">
        <v>1025</v>
      </c>
      <c r="D118" s="162" t="s">
        <v>1103</v>
      </c>
      <c r="E118" s="161" t="s">
        <v>1105</v>
      </c>
      <c r="F118" s="163" t="s">
        <v>696</v>
      </c>
      <c r="G118" s="161" t="s">
        <v>1234</v>
      </c>
    </row>
    <row r="119">
      <c r="A119" s="165" t="s">
        <v>1044</v>
      </c>
      <c r="B119" s="160" t="s">
        <v>53</v>
      </c>
      <c r="C119" s="161" t="s">
        <v>1025</v>
      </c>
      <c r="D119" s="162" t="s">
        <v>1103</v>
      </c>
      <c r="E119" s="161" t="s">
        <v>1105</v>
      </c>
      <c r="F119" s="163" t="s">
        <v>744</v>
      </c>
      <c r="G119" s="161" t="s">
        <v>1335</v>
      </c>
    </row>
    <row r="120">
      <c r="A120" s="165" t="s">
        <v>1044</v>
      </c>
      <c r="B120" s="160" t="s">
        <v>53</v>
      </c>
      <c r="C120" s="161" t="s">
        <v>1025</v>
      </c>
      <c r="D120" s="162" t="s">
        <v>1103</v>
      </c>
      <c r="E120" s="161" t="s">
        <v>1105</v>
      </c>
      <c r="F120" s="163" t="s">
        <v>864</v>
      </c>
      <c r="G120" s="161" t="s">
        <v>1238</v>
      </c>
    </row>
    <row r="121">
      <c r="A121" s="165" t="s">
        <v>1044</v>
      </c>
      <c r="B121" s="160" t="s">
        <v>53</v>
      </c>
      <c r="C121" s="161" t="s">
        <v>1025</v>
      </c>
      <c r="D121" s="162" t="s">
        <v>1103</v>
      </c>
      <c r="E121" s="161" t="s">
        <v>1105</v>
      </c>
      <c r="F121" s="163" t="s">
        <v>994</v>
      </c>
      <c r="G121" s="161" t="s">
        <v>1106</v>
      </c>
    </row>
    <row r="122">
      <c r="A122" s="165" t="s">
        <v>1044</v>
      </c>
      <c r="B122" s="160" t="s">
        <v>53</v>
      </c>
      <c r="C122" s="161" t="s">
        <v>1025</v>
      </c>
      <c r="D122" s="162" t="s">
        <v>1103</v>
      </c>
      <c r="E122" s="161" t="s">
        <v>1105</v>
      </c>
      <c r="F122" s="163" t="s">
        <v>638</v>
      </c>
      <c r="G122" s="161" t="s">
        <v>1108</v>
      </c>
    </row>
    <row r="123">
      <c r="A123" s="165" t="s">
        <v>1044</v>
      </c>
      <c r="B123" s="160" t="s">
        <v>53</v>
      </c>
      <c r="C123" s="161" t="s">
        <v>1025</v>
      </c>
      <c r="D123" s="162" t="s">
        <v>1103</v>
      </c>
      <c r="E123" s="161" t="s">
        <v>1105</v>
      </c>
      <c r="F123" s="163" t="s">
        <v>985</v>
      </c>
      <c r="G123" s="161" t="s">
        <v>1337</v>
      </c>
    </row>
    <row r="124">
      <c r="A124" s="165" t="s">
        <v>1044</v>
      </c>
      <c r="B124" s="160" t="s">
        <v>53</v>
      </c>
      <c r="C124" s="161" t="s">
        <v>1025</v>
      </c>
      <c r="D124" s="162" t="s">
        <v>1103</v>
      </c>
      <c r="E124" s="161" t="s">
        <v>1105</v>
      </c>
      <c r="F124" s="163" t="s">
        <v>1012</v>
      </c>
      <c r="G124" s="161" t="s">
        <v>1338</v>
      </c>
    </row>
    <row r="125">
      <c r="A125" s="165" t="s">
        <v>1044</v>
      </c>
      <c r="B125" s="160" t="s">
        <v>53</v>
      </c>
      <c r="C125" s="161" t="s">
        <v>1025</v>
      </c>
      <c r="D125" s="162" t="s">
        <v>1103</v>
      </c>
      <c r="E125" s="161" t="s">
        <v>1105</v>
      </c>
      <c r="F125" s="163" t="s">
        <v>898</v>
      </c>
      <c r="G125" s="161" t="s">
        <v>1339</v>
      </c>
    </row>
    <row r="126">
      <c r="A126" s="165" t="s">
        <v>1044</v>
      </c>
      <c r="B126" s="160" t="s">
        <v>53</v>
      </c>
      <c r="C126" s="161" t="s">
        <v>1025</v>
      </c>
      <c r="D126" s="162" t="s">
        <v>1103</v>
      </c>
      <c r="E126" s="161" t="s">
        <v>1105</v>
      </c>
      <c r="F126" s="163" t="s">
        <v>785</v>
      </c>
      <c r="G126" s="161" t="s">
        <v>1241</v>
      </c>
    </row>
    <row r="127">
      <c r="A127" s="165" t="s">
        <v>1044</v>
      </c>
      <c r="B127" s="160" t="s">
        <v>53</v>
      </c>
      <c r="C127" s="161" t="s">
        <v>1025</v>
      </c>
      <c r="D127" s="162" t="s">
        <v>1109</v>
      </c>
      <c r="E127" s="161" t="s">
        <v>1110</v>
      </c>
      <c r="F127" s="163" t="s">
        <v>879</v>
      </c>
      <c r="G127" s="161" t="s">
        <v>1340</v>
      </c>
    </row>
    <row r="128">
      <c r="A128" s="165" t="s">
        <v>1044</v>
      </c>
      <c r="B128" s="160" t="s">
        <v>53</v>
      </c>
      <c r="C128" s="161" t="s">
        <v>1025</v>
      </c>
      <c r="D128" s="162" t="s">
        <v>1109</v>
      </c>
      <c r="E128" s="161" t="s">
        <v>1110</v>
      </c>
      <c r="F128" s="163" t="s">
        <v>1341</v>
      </c>
      <c r="G128" s="161" t="s">
        <v>1342</v>
      </c>
    </row>
    <row r="129">
      <c r="A129" s="165" t="s">
        <v>1044</v>
      </c>
      <c r="B129" s="160" t="s">
        <v>53</v>
      </c>
      <c r="C129" s="161" t="s">
        <v>1025</v>
      </c>
      <c r="D129" s="162" t="s">
        <v>1109</v>
      </c>
      <c r="E129" s="161" t="s">
        <v>1110</v>
      </c>
      <c r="F129" s="163" t="s">
        <v>754</v>
      </c>
      <c r="G129" s="161" t="s">
        <v>1343</v>
      </c>
    </row>
    <row r="130">
      <c r="A130" s="165" t="s">
        <v>1044</v>
      </c>
      <c r="B130" s="160" t="s">
        <v>53</v>
      </c>
      <c r="C130" s="161" t="s">
        <v>1025</v>
      </c>
      <c r="D130" s="162" t="s">
        <v>1109</v>
      </c>
      <c r="E130" s="161" t="s">
        <v>1110</v>
      </c>
      <c r="F130" s="163" t="s">
        <v>1344</v>
      </c>
      <c r="G130" s="161" t="s">
        <v>1345</v>
      </c>
    </row>
    <row r="131">
      <c r="A131" s="165" t="s">
        <v>1044</v>
      </c>
      <c r="B131" s="160" t="s">
        <v>53</v>
      </c>
      <c r="C131" s="161" t="s">
        <v>1025</v>
      </c>
      <c r="D131" s="162" t="s">
        <v>1109</v>
      </c>
      <c r="E131" s="161" t="s">
        <v>1110</v>
      </c>
      <c r="F131" s="163" t="s">
        <v>829</v>
      </c>
      <c r="G131" s="161" t="s">
        <v>1112</v>
      </c>
    </row>
    <row r="132">
      <c r="A132" s="165" t="s">
        <v>1044</v>
      </c>
      <c r="B132" s="160" t="s">
        <v>53</v>
      </c>
      <c r="C132" s="161" t="s">
        <v>1025</v>
      </c>
      <c r="D132" s="162" t="s">
        <v>1109</v>
      </c>
      <c r="E132" s="161" t="s">
        <v>1110</v>
      </c>
      <c r="F132" s="163" t="s">
        <v>1013</v>
      </c>
      <c r="G132" s="161" t="s">
        <v>1346</v>
      </c>
    </row>
    <row r="133">
      <c r="A133" s="165" t="s">
        <v>1044</v>
      </c>
      <c r="B133" s="160" t="s">
        <v>53</v>
      </c>
      <c r="C133" s="161" t="s">
        <v>1025</v>
      </c>
      <c r="D133" s="162" t="s">
        <v>1109</v>
      </c>
      <c r="E133" s="161" t="s">
        <v>1110</v>
      </c>
      <c r="F133" s="163" t="s">
        <v>987</v>
      </c>
      <c r="G133" s="161" t="s">
        <v>1347</v>
      </c>
    </row>
    <row r="134">
      <c r="A134" s="165" t="s">
        <v>1044</v>
      </c>
      <c r="B134" s="160" t="s">
        <v>53</v>
      </c>
      <c r="C134" s="161" t="s">
        <v>1025</v>
      </c>
      <c r="D134" s="162" t="s">
        <v>1109</v>
      </c>
      <c r="E134" s="161" t="s">
        <v>1110</v>
      </c>
      <c r="F134" s="163" t="s">
        <v>813</v>
      </c>
      <c r="G134" s="161" t="s">
        <v>1348</v>
      </c>
    </row>
    <row r="135">
      <c r="A135" s="165" t="s">
        <v>1044</v>
      </c>
      <c r="B135" s="160" t="s">
        <v>53</v>
      </c>
      <c r="C135" s="161" t="s">
        <v>1025</v>
      </c>
      <c r="D135" s="162" t="s">
        <v>1109</v>
      </c>
      <c r="E135" s="161" t="s">
        <v>1110</v>
      </c>
      <c r="F135" s="163" t="s">
        <v>689</v>
      </c>
      <c r="G135" s="161" t="s">
        <v>1350</v>
      </c>
    </row>
    <row r="136">
      <c r="A136" s="165" t="s">
        <v>1044</v>
      </c>
      <c r="B136" s="160" t="s">
        <v>53</v>
      </c>
      <c r="C136" s="161" t="s">
        <v>1025</v>
      </c>
      <c r="D136" s="162" t="s">
        <v>1109</v>
      </c>
      <c r="E136" s="161" t="s">
        <v>1110</v>
      </c>
      <c r="F136" s="163" t="s">
        <v>859</v>
      </c>
      <c r="G136" s="161" t="s">
        <v>1115</v>
      </c>
    </row>
    <row r="137">
      <c r="A137" s="165" t="s">
        <v>1044</v>
      </c>
      <c r="B137" s="160" t="s">
        <v>53</v>
      </c>
      <c r="C137" s="161" t="s">
        <v>1025</v>
      </c>
      <c r="D137" s="162" t="s">
        <v>1109</v>
      </c>
      <c r="E137" s="161" t="s">
        <v>1110</v>
      </c>
      <c r="F137" s="163" t="s">
        <v>587</v>
      </c>
      <c r="G137" s="161" t="s">
        <v>1353</v>
      </c>
    </row>
    <row r="138">
      <c r="A138" s="165" t="s">
        <v>1044</v>
      </c>
      <c r="B138" s="160" t="s">
        <v>53</v>
      </c>
      <c r="C138" s="161" t="s">
        <v>1025</v>
      </c>
      <c r="D138" s="162" t="s">
        <v>1109</v>
      </c>
      <c r="E138" s="161" t="s">
        <v>1110</v>
      </c>
      <c r="F138" s="163" t="s">
        <v>636</v>
      </c>
      <c r="G138" s="161" t="s">
        <v>1354</v>
      </c>
    </row>
    <row r="139">
      <c r="A139" s="165" t="s">
        <v>1044</v>
      </c>
      <c r="B139" s="160" t="s">
        <v>53</v>
      </c>
      <c r="C139" s="161" t="s">
        <v>1025</v>
      </c>
      <c r="D139" s="162" t="s">
        <v>1109</v>
      </c>
      <c r="E139" s="161" t="s">
        <v>1110</v>
      </c>
      <c r="F139" s="163" t="s">
        <v>1358</v>
      </c>
      <c r="G139" s="161" t="s">
        <v>1359</v>
      </c>
    </row>
    <row r="140">
      <c r="A140" s="165" t="s">
        <v>1044</v>
      </c>
      <c r="B140" s="160" t="s">
        <v>53</v>
      </c>
      <c r="C140" s="161" t="s">
        <v>1025</v>
      </c>
      <c r="D140" s="162" t="s">
        <v>1109</v>
      </c>
      <c r="E140" s="161" t="s">
        <v>1110</v>
      </c>
      <c r="F140" s="163" t="s">
        <v>938</v>
      </c>
      <c r="G140" s="161" t="s">
        <v>1361</v>
      </c>
    </row>
    <row r="141">
      <c r="A141" s="165" t="s">
        <v>1044</v>
      </c>
      <c r="B141" s="160" t="s">
        <v>53</v>
      </c>
      <c r="C141" s="161" t="s">
        <v>1025</v>
      </c>
      <c r="D141" s="162" t="s">
        <v>1109</v>
      </c>
      <c r="E141" s="161" t="s">
        <v>1110</v>
      </c>
      <c r="F141" s="163" t="s">
        <v>981</v>
      </c>
      <c r="G141" s="161" t="s">
        <v>1362</v>
      </c>
    </row>
    <row r="142">
      <c r="A142" s="165" t="s">
        <v>1044</v>
      </c>
      <c r="B142" s="160" t="s">
        <v>53</v>
      </c>
      <c r="C142" s="161" t="s">
        <v>1025</v>
      </c>
      <c r="D142" s="162" t="s">
        <v>1118</v>
      </c>
      <c r="E142" s="161" t="s">
        <v>1119</v>
      </c>
      <c r="F142" s="163" t="s">
        <v>673</v>
      </c>
      <c r="G142" s="161" t="s">
        <v>1349</v>
      </c>
    </row>
    <row r="143">
      <c r="A143" s="165" t="s">
        <v>1044</v>
      </c>
      <c r="B143" s="160" t="s">
        <v>53</v>
      </c>
      <c r="C143" s="161" t="s">
        <v>1025</v>
      </c>
      <c r="D143" s="162" t="s">
        <v>1118</v>
      </c>
      <c r="E143" s="161" t="s">
        <v>1119</v>
      </c>
      <c r="F143" s="163" t="s">
        <v>976</v>
      </c>
      <c r="G143" s="161" t="s">
        <v>1365</v>
      </c>
    </row>
    <row r="144">
      <c r="A144" s="165" t="s">
        <v>1044</v>
      </c>
      <c r="B144" s="160" t="s">
        <v>53</v>
      </c>
      <c r="C144" s="161" t="s">
        <v>1025</v>
      </c>
      <c r="D144" s="162" t="s">
        <v>1118</v>
      </c>
      <c r="E144" s="161" t="s">
        <v>1119</v>
      </c>
      <c r="F144" s="163" t="s">
        <v>1366</v>
      </c>
      <c r="G144" s="161" t="s">
        <v>1367</v>
      </c>
    </row>
    <row r="145">
      <c r="A145" s="165" t="s">
        <v>1044</v>
      </c>
      <c r="B145" s="160" t="s">
        <v>53</v>
      </c>
      <c r="C145" s="161" t="s">
        <v>1025</v>
      </c>
      <c r="D145" s="162" t="s">
        <v>1118</v>
      </c>
      <c r="E145" s="161" t="s">
        <v>1119</v>
      </c>
      <c r="F145" s="163" t="s">
        <v>832</v>
      </c>
      <c r="G145" s="161" t="s">
        <v>1368</v>
      </c>
    </row>
    <row r="146">
      <c r="A146" s="165" t="s">
        <v>1044</v>
      </c>
      <c r="B146" s="160" t="s">
        <v>53</v>
      </c>
      <c r="C146" s="161" t="s">
        <v>1025</v>
      </c>
      <c r="D146" s="162" t="s">
        <v>1118</v>
      </c>
      <c r="E146" s="161" t="s">
        <v>1119</v>
      </c>
      <c r="F146" s="163" t="s">
        <v>820</v>
      </c>
      <c r="G146" s="161" t="s">
        <v>1120</v>
      </c>
    </row>
    <row r="147">
      <c r="A147" s="165" t="s">
        <v>1044</v>
      </c>
      <c r="B147" s="160" t="s">
        <v>53</v>
      </c>
      <c r="C147" s="161" t="s">
        <v>1025</v>
      </c>
      <c r="D147" s="162" t="s">
        <v>1118</v>
      </c>
      <c r="E147" s="161" t="s">
        <v>1119</v>
      </c>
      <c r="F147" s="163" t="s">
        <v>911</v>
      </c>
      <c r="G147" s="161" t="s">
        <v>1371</v>
      </c>
    </row>
    <row r="148">
      <c r="A148" s="165" t="s">
        <v>1044</v>
      </c>
      <c r="B148" s="160" t="s">
        <v>53</v>
      </c>
      <c r="C148" s="161" t="s">
        <v>1025</v>
      </c>
      <c r="D148" s="162" t="s">
        <v>1118</v>
      </c>
      <c r="E148" s="161" t="s">
        <v>1119</v>
      </c>
      <c r="F148" s="163" t="s">
        <v>691</v>
      </c>
      <c r="G148" s="161" t="s">
        <v>1372</v>
      </c>
    </row>
    <row r="149">
      <c r="A149" s="165" t="s">
        <v>1044</v>
      </c>
      <c r="B149" s="160" t="s">
        <v>53</v>
      </c>
      <c r="C149" s="161" t="s">
        <v>1025</v>
      </c>
      <c r="D149" s="162" t="s">
        <v>1118</v>
      </c>
      <c r="E149" s="161" t="s">
        <v>1119</v>
      </c>
      <c r="F149" s="163" t="s">
        <v>731</v>
      </c>
      <c r="G149" s="161" t="s">
        <v>1374</v>
      </c>
    </row>
    <row r="150">
      <c r="A150" s="165" t="s">
        <v>1044</v>
      </c>
      <c r="B150" s="160" t="s">
        <v>53</v>
      </c>
      <c r="C150" s="161" t="s">
        <v>1025</v>
      </c>
      <c r="D150" s="162" t="s">
        <v>1266</v>
      </c>
      <c r="E150" s="161" t="s">
        <v>1351</v>
      </c>
      <c r="F150" s="163" t="s">
        <v>812</v>
      </c>
      <c r="G150" s="161" t="s">
        <v>1352</v>
      </c>
    </row>
    <row r="151">
      <c r="A151" s="165" t="s">
        <v>1044</v>
      </c>
      <c r="B151" s="160" t="s">
        <v>53</v>
      </c>
      <c r="C151" s="161" t="s">
        <v>1025</v>
      </c>
      <c r="D151" s="162" t="s">
        <v>1266</v>
      </c>
      <c r="E151" s="161" t="s">
        <v>1351</v>
      </c>
      <c r="F151" s="163" t="s">
        <v>551</v>
      </c>
      <c r="G151" s="161" t="s">
        <v>1375</v>
      </c>
    </row>
    <row r="152">
      <c r="A152" s="159" t="s">
        <v>1031</v>
      </c>
      <c r="B152" s="160" t="s">
        <v>43</v>
      </c>
      <c r="C152" s="161" t="s">
        <v>1025</v>
      </c>
      <c r="D152" s="162" t="s">
        <v>1194</v>
      </c>
      <c r="E152" s="161" t="s">
        <v>1195</v>
      </c>
      <c r="F152" s="163" t="s">
        <v>716</v>
      </c>
      <c r="G152" s="161" t="s">
        <v>1379</v>
      </c>
    </row>
    <row r="153">
      <c r="A153" s="159" t="s">
        <v>1031</v>
      </c>
      <c r="B153" s="160" t="s">
        <v>43</v>
      </c>
      <c r="C153" s="161" t="s">
        <v>1025</v>
      </c>
      <c r="D153" s="162" t="s">
        <v>1194</v>
      </c>
      <c r="E153" s="161" t="s">
        <v>1195</v>
      </c>
      <c r="F153" s="163" t="s">
        <v>761</v>
      </c>
      <c r="G153" s="161" t="s">
        <v>1380</v>
      </c>
    </row>
    <row r="154">
      <c r="A154" s="159" t="s">
        <v>1031</v>
      </c>
      <c r="B154" s="160" t="s">
        <v>43</v>
      </c>
      <c r="C154" s="161" t="s">
        <v>1025</v>
      </c>
      <c r="D154" s="162" t="s">
        <v>1194</v>
      </c>
      <c r="E154" s="161" t="s">
        <v>1195</v>
      </c>
      <c r="F154" s="163" t="s">
        <v>747</v>
      </c>
      <c r="G154" s="161" t="s">
        <v>1196</v>
      </c>
    </row>
    <row r="155">
      <c r="A155" s="159" t="s">
        <v>1031</v>
      </c>
      <c r="B155" s="160" t="s">
        <v>43</v>
      </c>
      <c r="C155" s="161" t="s">
        <v>1025</v>
      </c>
      <c r="D155" s="162" t="s">
        <v>1194</v>
      </c>
      <c r="E155" s="161" t="s">
        <v>1195</v>
      </c>
      <c r="F155" s="163" t="s">
        <v>963</v>
      </c>
      <c r="G155" s="161" t="s">
        <v>1284</v>
      </c>
    </row>
    <row r="156">
      <c r="A156" s="159" t="s">
        <v>1031</v>
      </c>
      <c r="B156" s="160" t="s">
        <v>43</v>
      </c>
      <c r="C156" s="161" t="s">
        <v>1025</v>
      </c>
      <c r="D156" s="162" t="s">
        <v>1194</v>
      </c>
      <c r="E156" s="161" t="s">
        <v>1195</v>
      </c>
      <c r="F156" s="163" t="s">
        <v>928</v>
      </c>
      <c r="G156" s="161" t="s">
        <v>1290</v>
      </c>
    </row>
    <row r="157">
      <c r="A157" s="159" t="s">
        <v>1031</v>
      </c>
      <c r="B157" s="160" t="s">
        <v>43</v>
      </c>
      <c r="C157" s="161" t="s">
        <v>1025</v>
      </c>
      <c r="D157" s="162" t="s">
        <v>1194</v>
      </c>
      <c r="E157" s="161" t="s">
        <v>1195</v>
      </c>
      <c r="F157" s="163" t="s">
        <v>780</v>
      </c>
      <c r="G157" s="161" t="s">
        <v>1384</v>
      </c>
    </row>
    <row r="158">
      <c r="A158" s="159" t="s">
        <v>1031</v>
      </c>
      <c r="B158" s="160" t="s">
        <v>43</v>
      </c>
      <c r="C158" s="161" t="s">
        <v>1025</v>
      </c>
      <c r="D158" s="162" t="s">
        <v>1194</v>
      </c>
      <c r="E158" s="161" t="s">
        <v>1195</v>
      </c>
      <c r="F158" s="163" t="s">
        <v>978</v>
      </c>
      <c r="G158" s="161" t="s">
        <v>1292</v>
      </c>
    </row>
    <row r="159">
      <c r="A159" s="159" t="s">
        <v>1031</v>
      </c>
      <c r="B159" s="160" t="s">
        <v>43</v>
      </c>
      <c r="C159" s="161" t="s">
        <v>1025</v>
      </c>
      <c r="D159" s="162" t="s">
        <v>1194</v>
      </c>
      <c r="E159" s="161" t="s">
        <v>1195</v>
      </c>
      <c r="F159" s="163" t="s">
        <v>952</v>
      </c>
      <c r="G159" s="161" t="s">
        <v>1386</v>
      </c>
    </row>
    <row r="160">
      <c r="A160" s="159" t="s">
        <v>1031</v>
      </c>
      <c r="B160" s="160" t="s">
        <v>43</v>
      </c>
      <c r="C160" s="161" t="s">
        <v>1025</v>
      </c>
      <c r="D160" s="162" t="s">
        <v>1032</v>
      </c>
      <c r="E160" s="161" t="s">
        <v>1033</v>
      </c>
      <c r="F160" s="163" t="s">
        <v>759</v>
      </c>
      <c r="G160" s="161" t="s">
        <v>1388</v>
      </c>
    </row>
    <row r="161">
      <c r="A161" s="159" t="s">
        <v>1031</v>
      </c>
      <c r="B161" s="160" t="s">
        <v>43</v>
      </c>
      <c r="C161" s="161" t="s">
        <v>1025</v>
      </c>
      <c r="D161" s="162" t="s">
        <v>1032</v>
      </c>
      <c r="E161" s="161" t="s">
        <v>1033</v>
      </c>
      <c r="F161" s="163" t="s">
        <v>870</v>
      </c>
      <c r="G161" s="161" t="s">
        <v>1034</v>
      </c>
    </row>
    <row r="162">
      <c r="A162" s="159" t="s">
        <v>1031</v>
      </c>
      <c r="B162" s="160" t="s">
        <v>43</v>
      </c>
      <c r="C162" s="161" t="s">
        <v>1025</v>
      </c>
      <c r="D162" s="162" t="s">
        <v>1032</v>
      </c>
      <c r="E162" s="161" t="s">
        <v>1033</v>
      </c>
      <c r="F162" s="163" t="s">
        <v>724</v>
      </c>
      <c r="G162" s="161" t="s">
        <v>1035</v>
      </c>
    </row>
    <row r="163">
      <c r="A163" s="159" t="s">
        <v>1031</v>
      </c>
      <c r="B163" s="160" t="s">
        <v>43</v>
      </c>
      <c r="C163" s="161" t="s">
        <v>1025</v>
      </c>
      <c r="D163" s="162" t="s">
        <v>1032</v>
      </c>
      <c r="E163" s="161" t="s">
        <v>1033</v>
      </c>
      <c r="F163" s="163" t="s">
        <v>1389</v>
      </c>
      <c r="G163" s="161" t="s">
        <v>1390</v>
      </c>
    </row>
    <row r="164">
      <c r="A164" s="159" t="s">
        <v>1031</v>
      </c>
      <c r="B164" s="160" t="s">
        <v>43</v>
      </c>
      <c r="C164" s="161" t="s">
        <v>1025</v>
      </c>
      <c r="D164" s="162" t="s">
        <v>1032</v>
      </c>
      <c r="E164" s="161" t="s">
        <v>1033</v>
      </c>
      <c r="F164" s="163" t="s">
        <v>1391</v>
      </c>
      <c r="G164" s="161" t="s">
        <v>1392</v>
      </c>
    </row>
    <row r="165">
      <c r="A165" s="159" t="s">
        <v>1031</v>
      </c>
      <c r="B165" s="160" t="s">
        <v>43</v>
      </c>
      <c r="C165" s="161" t="s">
        <v>1025</v>
      </c>
      <c r="D165" s="162" t="s">
        <v>1081</v>
      </c>
      <c r="E165" s="161" t="s">
        <v>1393</v>
      </c>
      <c r="F165" s="163" t="s">
        <v>671</v>
      </c>
      <c r="G165" s="161" t="s">
        <v>1394</v>
      </c>
    </row>
    <row r="166">
      <c r="A166" s="159" t="s">
        <v>1031</v>
      </c>
      <c r="B166" s="160" t="s">
        <v>43</v>
      </c>
      <c r="C166" s="161" t="s">
        <v>1025</v>
      </c>
      <c r="D166" s="162" t="s">
        <v>1081</v>
      </c>
      <c r="E166" s="161" t="s">
        <v>1393</v>
      </c>
      <c r="F166" s="163" t="s">
        <v>895</v>
      </c>
      <c r="G166" s="161" t="s">
        <v>1397</v>
      </c>
    </row>
    <row r="167">
      <c r="A167" s="159" t="s">
        <v>1031</v>
      </c>
      <c r="B167" s="160" t="s">
        <v>43</v>
      </c>
      <c r="C167" s="161" t="s">
        <v>1025</v>
      </c>
      <c r="D167" s="162" t="s">
        <v>1081</v>
      </c>
      <c r="E167" s="161" t="s">
        <v>1393</v>
      </c>
      <c r="F167" s="163" t="s">
        <v>1398</v>
      </c>
      <c r="G167" s="161" t="s">
        <v>1399</v>
      </c>
    </row>
    <row r="168">
      <c r="A168" s="159" t="s">
        <v>1031</v>
      </c>
      <c r="B168" s="160" t="s">
        <v>43</v>
      </c>
      <c r="C168" s="161" t="s">
        <v>1025</v>
      </c>
      <c r="D168" s="162" t="s">
        <v>1081</v>
      </c>
      <c r="E168" s="161" t="s">
        <v>1393</v>
      </c>
      <c r="F168" s="163" t="s">
        <v>1400</v>
      </c>
      <c r="G168" s="161" t="s">
        <v>1401</v>
      </c>
    </row>
    <row r="169">
      <c r="A169" s="159" t="s">
        <v>1031</v>
      </c>
      <c r="B169" s="160" t="s">
        <v>43</v>
      </c>
      <c r="C169" s="161" t="s">
        <v>1025</v>
      </c>
      <c r="D169" s="162" t="s">
        <v>1081</v>
      </c>
      <c r="E169" s="161" t="s">
        <v>1393</v>
      </c>
      <c r="F169" s="163" t="s">
        <v>549</v>
      </c>
      <c r="G169" s="161" t="s">
        <v>1403</v>
      </c>
    </row>
    <row r="170">
      <c r="A170" s="159" t="s">
        <v>1031</v>
      </c>
      <c r="B170" s="160" t="s">
        <v>43</v>
      </c>
      <c r="C170" s="161" t="s">
        <v>1025</v>
      </c>
      <c r="D170" s="162" t="s">
        <v>1036</v>
      </c>
      <c r="E170" s="161" t="s">
        <v>1037</v>
      </c>
      <c r="F170" s="163" t="s">
        <v>626</v>
      </c>
      <c r="G170" s="161" t="s">
        <v>1404</v>
      </c>
    </row>
    <row r="171">
      <c r="A171" s="159" t="s">
        <v>1031</v>
      </c>
      <c r="B171" s="160" t="s">
        <v>43</v>
      </c>
      <c r="C171" s="161" t="s">
        <v>1025</v>
      </c>
      <c r="D171" s="162" t="s">
        <v>1036</v>
      </c>
      <c r="E171" s="161" t="s">
        <v>1037</v>
      </c>
      <c r="F171" s="163" t="s">
        <v>711</v>
      </c>
      <c r="G171" s="161" t="s">
        <v>1038</v>
      </c>
    </row>
    <row r="172">
      <c r="A172" s="159" t="s">
        <v>1031</v>
      </c>
      <c r="B172" s="160" t="s">
        <v>43</v>
      </c>
      <c r="C172" s="161" t="s">
        <v>1025</v>
      </c>
      <c r="D172" s="162" t="s">
        <v>1036</v>
      </c>
      <c r="E172" s="161" t="s">
        <v>1037</v>
      </c>
      <c r="F172" s="163" t="s">
        <v>635</v>
      </c>
      <c r="G172" s="161" t="s">
        <v>1406</v>
      </c>
    </row>
    <row r="173">
      <c r="A173" s="159" t="s">
        <v>1031</v>
      </c>
      <c r="B173" s="160" t="s">
        <v>43</v>
      </c>
      <c r="C173" s="161" t="s">
        <v>1025</v>
      </c>
      <c r="D173" s="162" t="s">
        <v>1036</v>
      </c>
      <c r="E173" s="161" t="s">
        <v>1037</v>
      </c>
      <c r="F173" s="163" t="s">
        <v>977</v>
      </c>
      <c r="G173" s="161" t="s">
        <v>1402</v>
      </c>
    </row>
    <row r="174">
      <c r="A174" s="159" t="s">
        <v>1031</v>
      </c>
      <c r="B174" s="160" t="s">
        <v>43</v>
      </c>
      <c r="C174" s="161" t="s">
        <v>1025</v>
      </c>
      <c r="D174" s="162" t="s">
        <v>1036</v>
      </c>
      <c r="E174" s="161" t="s">
        <v>1037</v>
      </c>
      <c r="F174" s="163" t="s">
        <v>983</v>
      </c>
      <c r="G174" s="161" t="s">
        <v>1040</v>
      </c>
    </row>
    <row r="175">
      <c r="A175" s="159" t="s">
        <v>1031</v>
      </c>
      <c r="B175" s="160" t="s">
        <v>43</v>
      </c>
      <c r="C175" s="161" t="s">
        <v>1025</v>
      </c>
      <c r="D175" s="162" t="s">
        <v>1036</v>
      </c>
      <c r="E175" s="161" t="s">
        <v>1037</v>
      </c>
      <c r="F175" s="163" t="s">
        <v>1407</v>
      </c>
      <c r="G175" s="161" t="s">
        <v>1408</v>
      </c>
    </row>
    <row r="176">
      <c r="A176" s="159" t="s">
        <v>1031</v>
      </c>
      <c r="B176" s="160" t="s">
        <v>43</v>
      </c>
      <c r="C176" s="161" t="s">
        <v>1025</v>
      </c>
      <c r="D176" s="162" t="s">
        <v>1331</v>
      </c>
      <c r="E176" s="161" t="s">
        <v>1332</v>
      </c>
      <c r="F176" s="163" t="s">
        <v>943</v>
      </c>
      <c r="G176" s="161" t="s">
        <v>1409</v>
      </c>
    </row>
    <row r="177">
      <c r="A177" s="159" t="s">
        <v>1031</v>
      </c>
      <c r="B177" s="160" t="s">
        <v>43</v>
      </c>
      <c r="C177" s="161" t="s">
        <v>1025</v>
      </c>
      <c r="D177" s="162" t="s">
        <v>1331</v>
      </c>
      <c r="E177" s="161" t="s">
        <v>1332</v>
      </c>
      <c r="F177" s="163" t="s">
        <v>571</v>
      </c>
      <c r="G177" s="161" t="s">
        <v>1410</v>
      </c>
    </row>
    <row r="178">
      <c r="A178" s="159" t="s">
        <v>1031</v>
      </c>
      <c r="B178" s="160" t="s">
        <v>43</v>
      </c>
      <c r="C178" s="161" t="s">
        <v>1025</v>
      </c>
      <c r="D178" s="162" t="s">
        <v>1331</v>
      </c>
      <c r="E178" s="161" t="s">
        <v>1332</v>
      </c>
      <c r="F178" s="163" t="s">
        <v>725</v>
      </c>
      <c r="G178" s="161" t="s">
        <v>1411</v>
      </c>
    </row>
    <row r="179">
      <c r="A179" s="159" t="s">
        <v>1031</v>
      </c>
      <c r="B179" s="160" t="s">
        <v>43</v>
      </c>
      <c r="C179" s="161" t="s">
        <v>1025</v>
      </c>
      <c r="D179" s="162" t="s">
        <v>1331</v>
      </c>
      <c r="E179" s="161" t="s">
        <v>1332</v>
      </c>
      <c r="F179" s="163" t="s">
        <v>896</v>
      </c>
      <c r="G179" s="161" t="s">
        <v>1405</v>
      </c>
    </row>
    <row r="180">
      <c r="A180" s="159" t="s">
        <v>1031</v>
      </c>
      <c r="B180" s="160" t="s">
        <v>43</v>
      </c>
      <c r="C180" s="161" t="s">
        <v>1025</v>
      </c>
      <c r="D180" s="162" t="s">
        <v>1331</v>
      </c>
      <c r="E180" s="161" t="s">
        <v>1332</v>
      </c>
      <c r="F180" s="163" t="s">
        <v>853</v>
      </c>
      <c r="G180" s="161" t="s">
        <v>1333</v>
      </c>
    </row>
    <row r="181">
      <c r="A181" s="166" t="s">
        <v>303</v>
      </c>
      <c r="B181" s="160" t="s">
        <v>37</v>
      </c>
      <c r="C181" s="161" t="s">
        <v>1025</v>
      </c>
      <c r="D181" s="162" t="s">
        <v>1416</v>
      </c>
      <c r="E181" s="161" t="s">
        <v>1417</v>
      </c>
      <c r="F181" s="163" t="s">
        <v>557</v>
      </c>
      <c r="G181" s="161" t="s">
        <v>1418</v>
      </c>
    </row>
    <row r="182">
      <c r="A182" s="166" t="s">
        <v>303</v>
      </c>
      <c r="B182" s="160" t="s">
        <v>37</v>
      </c>
      <c r="C182" s="161" t="s">
        <v>1025</v>
      </c>
      <c r="D182" s="162" t="s">
        <v>1416</v>
      </c>
      <c r="E182" s="161" t="s">
        <v>1417</v>
      </c>
      <c r="F182" s="163" t="s">
        <v>536</v>
      </c>
      <c r="G182" s="161" t="s">
        <v>1419</v>
      </c>
    </row>
    <row r="183">
      <c r="A183" s="166" t="s">
        <v>303</v>
      </c>
      <c r="B183" s="160" t="s">
        <v>37</v>
      </c>
      <c r="C183" s="161" t="s">
        <v>1025</v>
      </c>
      <c r="D183" s="162" t="s">
        <v>1026</v>
      </c>
      <c r="E183" s="161" t="s">
        <v>1027</v>
      </c>
      <c r="F183" s="163" t="s">
        <v>811</v>
      </c>
      <c r="G183" s="161" t="s">
        <v>1028</v>
      </c>
    </row>
    <row r="184">
      <c r="A184" s="166" t="s">
        <v>303</v>
      </c>
      <c r="B184" s="160" t="s">
        <v>37</v>
      </c>
      <c r="C184" s="161" t="s">
        <v>1025</v>
      </c>
      <c r="D184" s="162" t="s">
        <v>1026</v>
      </c>
      <c r="E184" s="161" t="s">
        <v>1027</v>
      </c>
      <c r="F184" s="163" t="s">
        <v>523</v>
      </c>
      <c r="G184" s="161" t="s">
        <v>1423</v>
      </c>
    </row>
    <row r="185">
      <c r="A185" s="166" t="s">
        <v>303</v>
      </c>
      <c r="B185" s="160" t="s">
        <v>37</v>
      </c>
      <c r="C185" s="161" t="s">
        <v>1025</v>
      </c>
      <c r="D185" s="162" t="s">
        <v>1026</v>
      </c>
      <c r="E185" s="161" t="s">
        <v>1027</v>
      </c>
      <c r="F185" s="163" t="s">
        <v>601</v>
      </c>
      <c r="G185" s="161" t="s">
        <v>1424</v>
      </c>
    </row>
    <row r="186">
      <c r="A186" s="166" t="s">
        <v>303</v>
      </c>
      <c r="B186" s="160" t="s">
        <v>37</v>
      </c>
      <c r="C186" s="161" t="s">
        <v>1025</v>
      </c>
      <c r="D186" s="162" t="s">
        <v>1026</v>
      </c>
      <c r="E186" s="161" t="s">
        <v>1027</v>
      </c>
      <c r="F186" s="163" t="s">
        <v>666</v>
      </c>
      <c r="G186" s="161" t="s">
        <v>1426</v>
      </c>
    </row>
    <row r="187">
      <c r="A187" s="166" t="s">
        <v>303</v>
      </c>
      <c r="B187" s="160" t="s">
        <v>37</v>
      </c>
      <c r="C187" s="161" t="s">
        <v>1025</v>
      </c>
      <c r="D187" s="162" t="s">
        <v>1026</v>
      </c>
      <c r="E187" s="161" t="s">
        <v>1027</v>
      </c>
      <c r="F187" s="163" t="s">
        <v>851</v>
      </c>
      <c r="G187" s="161" t="s">
        <v>1191</v>
      </c>
    </row>
    <row r="188">
      <c r="A188" s="166" t="s">
        <v>303</v>
      </c>
      <c r="B188" s="160" t="s">
        <v>37</v>
      </c>
      <c r="C188" s="161" t="s">
        <v>1025</v>
      </c>
      <c r="D188" s="162" t="s">
        <v>1026</v>
      </c>
      <c r="E188" s="161" t="s">
        <v>1027</v>
      </c>
      <c r="F188" s="163" t="s">
        <v>778</v>
      </c>
      <c r="G188" s="161" t="s">
        <v>1429</v>
      </c>
    </row>
    <row r="189">
      <c r="A189" s="166" t="s">
        <v>303</v>
      </c>
      <c r="B189" s="160" t="s">
        <v>37</v>
      </c>
      <c r="C189" s="161" t="s">
        <v>1025</v>
      </c>
      <c r="D189" s="162" t="s">
        <v>1026</v>
      </c>
      <c r="E189" s="161" t="s">
        <v>1027</v>
      </c>
      <c r="F189" s="163" t="s">
        <v>869</v>
      </c>
      <c r="G189" s="161" t="s">
        <v>1431</v>
      </c>
    </row>
    <row r="190">
      <c r="A190" s="166" t="s">
        <v>303</v>
      </c>
      <c r="B190" s="160" t="s">
        <v>37</v>
      </c>
      <c r="C190" s="161" t="s">
        <v>1025</v>
      </c>
      <c r="D190" s="162" t="s">
        <v>1026</v>
      </c>
      <c r="E190" s="161" t="s">
        <v>1027</v>
      </c>
      <c r="F190" s="163" t="s">
        <v>563</v>
      </c>
      <c r="G190" s="161" t="s">
        <v>1432</v>
      </c>
    </row>
    <row r="191">
      <c r="A191" s="166" t="s">
        <v>303</v>
      </c>
      <c r="B191" s="160" t="s">
        <v>37</v>
      </c>
      <c r="C191" s="161" t="s">
        <v>1025</v>
      </c>
      <c r="D191" s="162" t="s">
        <v>1433</v>
      </c>
      <c r="E191" s="161" t="s">
        <v>1434</v>
      </c>
      <c r="F191" s="163" t="s">
        <v>520</v>
      </c>
      <c r="G191" s="161" t="s">
        <v>1435</v>
      </c>
    </row>
    <row r="192">
      <c r="A192" s="166" t="s">
        <v>303</v>
      </c>
      <c r="B192" s="160" t="s">
        <v>37</v>
      </c>
      <c r="C192" s="161" t="s">
        <v>1025</v>
      </c>
      <c r="D192" s="162" t="s">
        <v>1433</v>
      </c>
      <c r="E192" s="161" t="s">
        <v>1434</v>
      </c>
      <c r="F192" s="163" t="s">
        <v>584</v>
      </c>
      <c r="G192" s="161" t="s">
        <v>1437</v>
      </c>
    </row>
    <row r="193">
      <c r="A193" s="166" t="s">
        <v>303</v>
      </c>
      <c r="B193" s="160" t="s">
        <v>37</v>
      </c>
      <c r="C193" s="161" t="s">
        <v>1025</v>
      </c>
      <c r="D193" s="162" t="s">
        <v>1438</v>
      </c>
      <c r="E193" s="161" t="s">
        <v>1439</v>
      </c>
      <c r="F193" s="163" t="s">
        <v>528</v>
      </c>
      <c r="G193" s="161" t="s">
        <v>1440</v>
      </c>
    </row>
    <row r="194">
      <c r="A194" s="165" t="s">
        <v>1044</v>
      </c>
      <c r="B194" s="160" t="s">
        <v>114</v>
      </c>
      <c r="C194" s="161" t="s">
        <v>1025</v>
      </c>
      <c r="D194" s="162" t="s">
        <v>1220</v>
      </c>
      <c r="E194" s="161" t="s">
        <v>1243</v>
      </c>
      <c r="F194" s="163" t="s">
        <v>718</v>
      </c>
      <c r="G194" s="161" t="s">
        <v>1442</v>
      </c>
    </row>
    <row r="195">
      <c r="A195" s="165" t="s">
        <v>1044</v>
      </c>
      <c r="B195" s="160" t="s">
        <v>114</v>
      </c>
      <c r="C195" s="161" t="s">
        <v>1025</v>
      </c>
      <c r="D195" s="162" t="s">
        <v>1220</v>
      </c>
      <c r="E195" s="161" t="s">
        <v>1243</v>
      </c>
      <c r="F195" s="163" t="s">
        <v>739</v>
      </c>
      <c r="G195" s="161" t="s">
        <v>1444</v>
      </c>
    </row>
    <row r="196">
      <c r="A196" s="165" t="s">
        <v>1044</v>
      </c>
      <c r="B196" s="160" t="s">
        <v>114</v>
      </c>
      <c r="C196" s="161" t="s">
        <v>1025</v>
      </c>
      <c r="D196" s="162" t="s">
        <v>1220</v>
      </c>
      <c r="E196" s="161" t="s">
        <v>1243</v>
      </c>
      <c r="F196" s="163" t="s">
        <v>726</v>
      </c>
      <c r="G196" s="161" t="s">
        <v>1310</v>
      </c>
    </row>
    <row r="197">
      <c r="A197" s="165" t="s">
        <v>1044</v>
      </c>
      <c r="B197" s="160" t="s">
        <v>114</v>
      </c>
      <c r="C197" s="161" t="s">
        <v>1025</v>
      </c>
      <c r="D197" s="162" t="s">
        <v>1220</v>
      </c>
      <c r="E197" s="161" t="s">
        <v>1243</v>
      </c>
      <c r="F197" s="163" t="s">
        <v>1008</v>
      </c>
      <c r="G197" s="161" t="s">
        <v>1446</v>
      </c>
    </row>
    <row r="198">
      <c r="A198" s="165" t="s">
        <v>1044</v>
      </c>
      <c r="B198" s="160" t="s">
        <v>114</v>
      </c>
      <c r="C198" s="161" t="s">
        <v>1025</v>
      </c>
      <c r="D198" s="162" t="s">
        <v>1220</v>
      </c>
      <c r="E198" s="161" t="s">
        <v>1243</v>
      </c>
      <c r="F198" s="163" t="s">
        <v>881</v>
      </c>
      <c r="G198" s="161" t="s">
        <v>1244</v>
      </c>
    </row>
    <row r="199">
      <c r="A199" s="159" t="s">
        <v>1031</v>
      </c>
      <c r="B199" s="160" t="s">
        <v>108</v>
      </c>
      <c r="C199" s="161" t="s">
        <v>1025</v>
      </c>
      <c r="D199" s="162" t="s">
        <v>1447</v>
      </c>
      <c r="E199" s="161" t="s">
        <v>1448</v>
      </c>
      <c r="F199" s="163" t="s">
        <v>1005</v>
      </c>
      <c r="G199" s="161" t="s">
        <v>1449</v>
      </c>
    </row>
    <row r="200">
      <c r="A200" s="159" t="s">
        <v>1031</v>
      </c>
      <c r="B200" s="160" t="s">
        <v>108</v>
      </c>
      <c r="C200" s="161" t="s">
        <v>1025</v>
      </c>
      <c r="D200" s="162" t="s">
        <v>1447</v>
      </c>
      <c r="E200" s="161" t="s">
        <v>1448</v>
      </c>
      <c r="F200" s="163" t="s">
        <v>627</v>
      </c>
      <c r="G200" s="161" t="s">
        <v>1451</v>
      </c>
    </row>
    <row r="201">
      <c r="A201" s="159" t="s">
        <v>1031</v>
      </c>
      <c r="B201" s="160" t="s">
        <v>108</v>
      </c>
      <c r="C201" s="161" t="s">
        <v>1025</v>
      </c>
      <c r="D201" s="162" t="s">
        <v>1447</v>
      </c>
      <c r="E201" s="161" t="s">
        <v>1448</v>
      </c>
      <c r="F201" s="163" t="s">
        <v>1452</v>
      </c>
      <c r="G201" s="161" t="s">
        <v>1453</v>
      </c>
    </row>
    <row r="202">
      <c r="A202" s="159" t="s">
        <v>1031</v>
      </c>
      <c r="B202" s="160" t="s">
        <v>108</v>
      </c>
      <c r="C202" s="161" t="s">
        <v>1025</v>
      </c>
      <c r="D202" s="162" t="s">
        <v>1447</v>
      </c>
      <c r="E202" s="161" t="s">
        <v>1448</v>
      </c>
      <c r="F202" s="163" t="s">
        <v>1457</v>
      </c>
      <c r="G202" s="161" t="s">
        <v>1458</v>
      </c>
    </row>
    <row r="203">
      <c r="A203" s="159" t="s">
        <v>1031</v>
      </c>
      <c r="B203" s="160" t="s">
        <v>108</v>
      </c>
      <c r="C203" s="161" t="s">
        <v>1025</v>
      </c>
      <c r="D203" s="162" t="s">
        <v>1200</v>
      </c>
      <c r="E203" s="161" t="s">
        <v>1201</v>
      </c>
      <c r="F203" s="163" t="s">
        <v>720</v>
      </c>
      <c r="G203" s="161" t="s">
        <v>1202</v>
      </c>
    </row>
    <row r="204">
      <c r="A204" s="159" t="s">
        <v>1031</v>
      </c>
      <c r="B204" s="160" t="s">
        <v>108</v>
      </c>
      <c r="C204" s="161" t="s">
        <v>1025</v>
      </c>
      <c r="D204" s="162" t="s">
        <v>1200</v>
      </c>
      <c r="E204" s="161" t="s">
        <v>1201</v>
      </c>
      <c r="F204" s="163" t="s">
        <v>700</v>
      </c>
      <c r="G204" s="161" t="s">
        <v>1334</v>
      </c>
    </row>
    <row r="205">
      <c r="A205" s="159" t="s">
        <v>1031</v>
      </c>
      <c r="B205" s="160" t="s">
        <v>108</v>
      </c>
      <c r="C205" s="161" t="s">
        <v>1025</v>
      </c>
      <c r="D205" s="162" t="s">
        <v>1200</v>
      </c>
      <c r="E205" s="161" t="s">
        <v>1201</v>
      </c>
      <c r="F205" s="163" t="s">
        <v>714</v>
      </c>
      <c r="G205" s="161" t="s">
        <v>1462</v>
      </c>
    </row>
    <row r="206">
      <c r="A206" s="159" t="s">
        <v>1031</v>
      </c>
      <c r="B206" s="160" t="s">
        <v>108</v>
      </c>
      <c r="C206" s="161" t="s">
        <v>1025</v>
      </c>
      <c r="D206" s="162" t="s">
        <v>1200</v>
      </c>
      <c r="E206" s="161" t="s">
        <v>1201</v>
      </c>
      <c r="F206" s="163" t="s">
        <v>833</v>
      </c>
      <c r="G206" s="161" t="s">
        <v>1463</v>
      </c>
    </row>
    <row r="207">
      <c r="A207" s="159" t="s">
        <v>1031</v>
      </c>
      <c r="B207" s="160" t="s">
        <v>108</v>
      </c>
      <c r="C207" s="161" t="s">
        <v>1025</v>
      </c>
      <c r="D207" s="162" t="s">
        <v>1200</v>
      </c>
      <c r="E207" s="161" t="s">
        <v>1201</v>
      </c>
      <c r="F207" s="163" t="s">
        <v>649</v>
      </c>
      <c r="G207" s="161" t="s">
        <v>1466</v>
      </c>
    </row>
    <row r="208">
      <c r="A208" s="159" t="s">
        <v>1031</v>
      </c>
      <c r="B208" s="160" t="s">
        <v>108</v>
      </c>
      <c r="C208" s="161" t="s">
        <v>1025</v>
      </c>
      <c r="D208" s="162" t="s">
        <v>1200</v>
      </c>
      <c r="E208" s="161" t="s">
        <v>1201</v>
      </c>
      <c r="F208" s="163" t="s">
        <v>630</v>
      </c>
      <c r="G208" s="161" t="s">
        <v>1468</v>
      </c>
    </row>
    <row r="209">
      <c r="A209" s="159" t="s">
        <v>1031</v>
      </c>
      <c r="B209" s="160" t="s">
        <v>108</v>
      </c>
      <c r="C209" s="161" t="s">
        <v>1025</v>
      </c>
      <c r="D209" s="162" t="s">
        <v>1200</v>
      </c>
      <c r="E209" s="161" t="s">
        <v>1201</v>
      </c>
      <c r="F209" s="163" t="s">
        <v>764</v>
      </c>
      <c r="G209" s="161" t="s">
        <v>1336</v>
      </c>
    </row>
    <row r="210">
      <c r="A210" s="159" t="s">
        <v>1031</v>
      </c>
      <c r="B210" s="160" t="s">
        <v>108</v>
      </c>
      <c r="C210" s="161" t="s">
        <v>1025</v>
      </c>
      <c r="D210" s="162" t="s">
        <v>1200</v>
      </c>
      <c r="E210" s="161" t="s">
        <v>1201</v>
      </c>
      <c r="F210" s="163" t="s">
        <v>762</v>
      </c>
      <c r="G210" s="161" t="s">
        <v>1469</v>
      </c>
    </row>
    <row r="211">
      <c r="A211" s="159" t="s">
        <v>1031</v>
      </c>
      <c r="B211" s="160" t="s">
        <v>108</v>
      </c>
      <c r="C211" s="161" t="s">
        <v>1025</v>
      </c>
      <c r="D211" s="162" t="s">
        <v>1200</v>
      </c>
      <c r="E211" s="161" t="s">
        <v>1201</v>
      </c>
      <c r="F211" s="163" t="s">
        <v>974</v>
      </c>
      <c r="G211" s="161" t="s">
        <v>1471</v>
      </c>
    </row>
    <row r="212">
      <c r="A212" s="159" t="s">
        <v>1031</v>
      </c>
      <c r="B212" s="160" t="s">
        <v>108</v>
      </c>
      <c r="C212" s="161" t="s">
        <v>1025</v>
      </c>
      <c r="D212" s="162" t="s">
        <v>1415</v>
      </c>
      <c r="E212" s="161" t="s">
        <v>1472</v>
      </c>
      <c r="F212" s="163" t="s">
        <v>515</v>
      </c>
      <c r="G212" s="161" t="s">
        <v>1473</v>
      </c>
    </row>
    <row r="213">
      <c r="A213" s="159" t="s">
        <v>1031</v>
      </c>
      <c r="B213" s="160" t="s">
        <v>108</v>
      </c>
      <c r="C213" s="161" t="s">
        <v>1025</v>
      </c>
      <c r="D213" s="162" t="s">
        <v>1415</v>
      </c>
      <c r="E213" s="161" t="s">
        <v>1472</v>
      </c>
      <c r="F213" s="163" t="s">
        <v>842</v>
      </c>
      <c r="G213" s="161" t="s">
        <v>1474</v>
      </c>
    </row>
    <row r="214">
      <c r="A214" s="159" t="s">
        <v>1031</v>
      </c>
      <c r="B214" s="160" t="s">
        <v>108</v>
      </c>
      <c r="C214" s="161" t="s">
        <v>1025</v>
      </c>
      <c r="D214" s="162" t="s">
        <v>1415</v>
      </c>
      <c r="E214" s="161" t="s">
        <v>1472</v>
      </c>
      <c r="F214" s="163" t="s">
        <v>816</v>
      </c>
      <c r="G214" s="161" t="s">
        <v>1475</v>
      </c>
    </row>
    <row r="215">
      <c r="A215" s="159" t="s">
        <v>1031</v>
      </c>
      <c r="B215" s="160" t="s">
        <v>108</v>
      </c>
      <c r="C215" s="161" t="s">
        <v>1025</v>
      </c>
      <c r="D215" s="162" t="s">
        <v>1415</v>
      </c>
      <c r="E215" s="161" t="s">
        <v>1472</v>
      </c>
      <c r="F215" s="163" t="s">
        <v>809</v>
      </c>
      <c r="G215" s="161" t="s">
        <v>1476</v>
      </c>
    </row>
    <row r="216">
      <c r="A216" s="159" t="s">
        <v>1031</v>
      </c>
      <c r="B216" s="160" t="s">
        <v>108</v>
      </c>
      <c r="C216" s="161" t="s">
        <v>1025</v>
      </c>
      <c r="D216" s="162" t="s">
        <v>1415</v>
      </c>
      <c r="E216" s="161" t="s">
        <v>1472</v>
      </c>
      <c r="F216" s="163" t="s">
        <v>568</v>
      </c>
      <c r="G216" s="161" t="s">
        <v>1477</v>
      </c>
    </row>
    <row r="217">
      <c r="A217" s="159" t="s">
        <v>1031</v>
      </c>
      <c r="B217" s="160" t="s">
        <v>108</v>
      </c>
      <c r="C217" s="161" t="s">
        <v>1025</v>
      </c>
      <c r="D217" s="162" t="s">
        <v>1415</v>
      </c>
      <c r="E217" s="161" t="s">
        <v>1472</v>
      </c>
      <c r="F217" s="163" t="s">
        <v>816</v>
      </c>
      <c r="G217" s="161" t="s">
        <v>1478</v>
      </c>
    </row>
    <row r="218">
      <c r="A218" s="159" t="s">
        <v>1031</v>
      </c>
      <c r="B218" s="160" t="s">
        <v>108</v>
      </c>
      <c r="C218" s="161" t="s">
        <v>1025</v>
      </c>
      <c r="D218" s="162" t="s">
        <v>1204</v>
      </c>
      <c r="E218" s="161" t="s">
        <v>1205</v>
      </c>
      <c r="F218" s="163" t="s">
        <v>617</v>
      </c>
      <c r="G218" s="161" t="s">
        <v>1479</v>
      </c>
    </row>
    <row r="219">
      <c r="A219" s="159" t="s">
        <v>1031</v>
      </c>
      <c r="B219" s="160" t="s">
        <v>108</v>
      </c>
      <c r="C219" s="161" t="s">
        <v>1025</v>
      </c>
      <c r="D219" s="162" t="s">
        <v>1204</v>
      </c>
      <c r="E219" s="161" t="s">
        <v>1205</v>
      </c>
      <c r="F219" s="163" t="s">
        <v>115</v>
      </c>
      <c r="G219" s="161" t="s">
        <v>1480</v>
      </c>
    </row>
    <row r="220">
      <c r="A220" s="159" t="s">
        <v>1031</v>
      </c>
      <c r="B220" s="160" t="s">
        <v>108</v>
      </c>
      <c r="C220" s="161" t="s">
        <v>1025</v>
      </c>
      <c r="D220" s="162" t="s">
        <v>1204</v>
      </c>
      <c r="E220" s="161" t="s">
        <v>1205</v>
      </c>
      <c r="F220" s="163" t="s">
        <v>537</v>
      </c>
      <c r="G220" s="161" t="s">
        <v>1481</v>
      </c>
    </row>
    <row r="221">
      <c r="A221" s="159" t="s">
        <v>1031</v>
      </c>
      <c r="B221" s="160" t="s">
        <v>108</v>
      </c>
      <c r="C221" s="161" t="s">
        <v>1025</v>
      </c>
      <c r="D221" s="162" t="s">
        <v>1204</v>
      </c>
      <c r="E221" s="161" t="s">
        <v>1205</v>
      </c>
      <c r="F221" s="163" t="s">
        <v>704</v>
      </c>
      <c r="G221" s="161" t="s">
        <v>1206</v>
      </c>
    </row>
    <row r="222">
      <c r="A222" s="159" t="s">
        <v>1031</v>
      </c>
      <c r="B222" s="160" t="s">
        <v>108</v>
      </c>
      <c r="C222" s="161" t="s">
        <v>1025</v>
      </c>
      <c r="D222" s="162" t="s">
        <v>1192</v>
      </c>
      <c r="E222" s="161" t="s">
        <v>1485</v>
      </c>
      <c r="F222" s="163" t="s">
        <v>566</v>
      </c>
      <c r="G222" s="161" t="s">
        <v>1486</v>
      </c>
    </row>
    <row r="223">
      <c r="A223" s="159" t="s">
        <v>1031</v>
      </c>
      <c r="B223" s="160" t="s">
        <v>108</v>
      </c>
      <c r="C223" s="161" t="s">
        <v>1025</v>
      </c>
      <c r="D223" s="162" t="s">
        <v>1192</v>
      </c>
      <c r="E223" s="161" t="s">
        <v>1485</v>
      </c>
      <c r="F223" s="163" t="s">
        <v>573</v>
      </c>
      <c r="G223" s="161" t="s">
        <v>1487</v>
      </c>
    </row>
    <row r="224">
      <c r="A224" s="159" t="s">
        <v>1031</v>
      </c>
      <c r="B224" s="160" t="s">
        <v>108</v>
      </c>
      <c r="C224" s="161" t="s">
        <v>1025</v>
      </c>
      <c r="D224" s="162" t="s">
        <v>1192</v>
      </c>
      <c r="E224" s="161" t="s">
        <v>1485</v>
      </c>
      <c r="F224" s="163" t="s">
        <v>637</v>
      </c>
      <c r="G224" s="161" t="s">
        <v>1488</v>
      </c>
    </row>
    <row r="225">
      <c r="A225" s="159" t="s">
        <v>1031</v>
      </c>
      <c r="B225" s="160" t="s">
        <v>108</v>
      </c>
      <c r="C225" s="161" t="s">
        <v>1025</v>
      </c>
      <c r="D225" s="162" t="s">
        <v>1210</v>
      </c>
      <c r="E225" s="161" t="s">
        <v>1211</v>
      </c>
      <c r="F225" s="163" t="s">
        <v>589</v>
      </c>
      <c r="G225" s="161" t="s">
        <v>1489</v>
      </c>
    </row>
    <row r="226">
      <c r="A226" s="159" t="s">
        <v>1031</v>
      </c>
      <c r="B226" s="160" t="s">
        <v>108</v>
      </c>
      <c r="C226" s="161" t="s">
        <v>1025</v>
      </c>
      <c r="D226" s="162" t="s">
        <v>1210</v>
      </c>
      <c r="E226" s="161" t="s">
        <v>1211</v>
      </c>
      <c r="F226" s="163" t="s">
        <v>644</v>
      </c>
      <c r="G226" s="161" t="s">
        <v>1490</v>
      </c>
    </row>
    <row r="227">
      <c r="A227" s="159" t="s">
        <v>1031</v>
      </c>
      <c r="B227" s="160" t="s">
        <v>108</v>
      </c>
      <c r="C227" s="161" t="s">
        <v>1025</v>
      </c>
      <c r="D227" s="162" t="s">
        <v>1210</v>
      </c>
      <c r="E227" s="161" t="s">
        <v>1211</v>
      </c>
      <c r="F227" s="163" t="s">
        <v>518</v>
      </c>
      <c r="G227" s="161" t="s">
        <v>1491</v>
      </c>
    </row>
    <row r="228">
      <c r="A228" s="159" t="s">
        <v>1031</v>
      </c>
      <c r="B228" s="160" t="s">
        <v>108</v>
      </c>
      <c r="C228" s="161" t="s">
        <v>1025</v>
      </c>
      <c r="D228" s="162" t="s">
        <v>1210</v>
      </c>
      <c r="E228" s="161" t="s">
        <v>1211</v>
      </c>
      <c r="F228" s="163" t="s">
        <v>1492</v>
      </c>
      <c r="G228" s="161" t="s">
        <v>1493</v>
      </c>
    </row>
    <row r="229">
      <c r="A229" s="159" t="s">
        <v>1031</v>
      </c>
      <c r="B229" s="160" t="s">
        <v>108</v>
      </c>
      <c r="C229" s="161" t="s">
        <v>1025</v>
      </c>
      <c r="D229" s="162" t="s">
        <v>1210</v>
      </c>
      <c r="E229" s="161" t="s">
        <v>1211</v>
      </c>
      <c r="F229" s="163" t="s">
        <v>707</v>
      </c>
      <c r="G229" s="161" t="s">
        <v>1494</v>
      </c>
    </row>
    <row r="230">
      <c r="A230" s="159" t="s">
        <v>1031</v>
      </c>
      <c r="B230" s="160" t="s">
        <v>108</v>
      </c>
      <c r="C230" s="161" t="s">
        <v>1025</v>
      </c>
      <c r="D230" s="162" t="s">
        <v>1210</v>
      </c>
      <c r="E230" s="161" t="s">
        <v>1211</v>
      </c>
      <c r="F230" s="163" t="s">
        <v>1212</v>
      </c>
      <c r="G230" s="161" t="s">
        <v>1213</v>
      </c>
    </row>
    <row r="231">
      <c r="A231" s="159" t="s">
        <v>1031</v>
      </c>
      <c r="B231" s="160" t="s">
        <v>108</v>
      </c>
      <c r="C231" s="161" t="s">
        <v>1025</v>
      </c>
      <c r="D231" s="162" t="s">
        <v>1210</v>
      </c>
      <c r="E231" s="161" t="s">
        <v>1211</v>
      </c>
      <c r="F231" s="163" t="s">
        <v>951</v>
      </c>
      <c r="G231" s="161" t="s">
        <v>1497</v>
      </c>
    </row>
    <row r="232">
      <c r="A232" s="159" t="s">
        <v>1031</v>
      </c>
      <c r="B232" s="160" t="s">
        <v>108</v>
      </c>
      <c r="C232" s="161" t="s">
        <v>1025</v>
      </c>
      <c r="D232" s="162" t="s">
        <v>1210</v>
      </c>
      <c r="E232" s="161" t="s">
        <v>1211</v>
      </c>
      <c r="F232" s="163" t="s">
        <v>590</v>
      </c>
      <c r="G232" s="161" t="s">
        <v>1498</v>
      </c>
    </row>
    <row r="233">
      <c r="A233" s="159" t="s">
        <v>1031</v>
      </c>
      <c r="B233" s="160" t="s">
        <v>108</v>
      </c>
      <c r="C233" s="161" t="s">
        <v>1025</v>
      </c>
      <c r="D233" s="162" t="s">
        <v>1208</v>
      </c>
      <c r="E233" s="161" t="s">
        <v>1295</v>
      </c>
      <c r="F233" s="163" t="s">
        <v>962</v>
      </c>
      <c r="G233" s="161" t="s">
        <v>1499</v>
      </c>
    </row>
    <row r="234">
      <c r="A234" s="159" t="s">
        <v>1031</v>
      </c>
      <c r="B234" s="160" t="s">
        <v>108</v>
      </c>
      <c r="C234" s="161" t="s">
        <v>1025</v>
      </c>
      <c r="D234" s="162" t="s">
        <v>1208</v>
      </c>
      <c r="E234" s="161" t="s">
        <v>1295</v>
      </c>
      <c r="F234" s="163" t="s">
        <v>763</v>
      </c>
      <c r="G234" s="161" t="s">
        <v>1500</v>
      </c>
    </row>
    <row r="235">
      <c r="A235" s="159" t="s">
        <v>1031</v>
      </c>
      <c r="B235" s="160" t="s">
        <v>108</v>
      </c>
      <c r="C235" s="161" t="s">
        <v>1025</v>
      </c>
      <c r="D235" s="162" t="s">
        <v>1208</v>
      </c>
      <c r="E235" s="161" t="s">
        <v>1295</v>
      </c>
      <c r="F235" s="163" t="s">
        <v>749</v>
      </c>
      <c r="G235" s="161" t="s">
        <v>1501</v>
      </c>
    </row>
    <row r="236">
      <c r="A236" s="159" t="s">
        <v>1031</v>
      </c>
      <c r="B236" s="160" t="s">
        <v>108</v>
      </c>
      <c r="C236" s="161" t="s">
        <v>1025</v>
      </c>
      <c r="D236" s="162" t="s">
        <v>1208</v>
      </c>
      <c r="E236" s="161" t="s">
        <v>1295</v>
      </c>
      <c r="F236" s="163" t="s">
        <v>688</v>
      </c>
      <c r="G236" s="161" t="s">
        <v>1502</v>
      </c>
    </row>
    <row r="237">
      <c r="A237" s="159" t="s">
        <v>1031</v>
      </c>
      <c r="B237" s="160" t="s">
        <v>108</v>
      </c>
      <c r="C237" s="161" t="s">
        <v>1025</v>
      </c>
      <c r="D237" s="162" t="s">
        <v>1208</v>
      </c>
      <c r="E237" s="161" t="s">
        <v>1295</v>
      </c>
      <c r="F237" s="163" t="s">
        <v>802</v>
      </c>
      <c r="G237" s="161" t="s">
        <v>1506</v>
      </c>
    </row>
    <row r="238">
      <c r="A238" s="159" t="s">
        <v>1031</v>
      </c>
      <c r="B238" s="160" t="s">
        <v>108</v>
      </c>
      <c r="C238" s="161" t="s">
        <v>1025</v>
      </c>
      <c r="D238" s="162" t="s">
        <v>1208</v>
      </c>
      <c r="E238" s="161" t="s">
        <v>1295</v>
      </c>
      <c r="F238" s="163" t="s">
        <v>845</v>
      </c>
      <c r="G238" s="161" t="s">
        <v>1296</v>
      </c>
    </row>
    <row r="239">
      <c r="A239" s="159" t="s">
        <v>1031</v>
      </c>
      <c r="B239" s="160" t="s">
        <v>108</v>
      </c>
      <c r="C239" s="161" t="s">
        <v>1025</v>
      </c>
      <c r="D239" s="162" t="s">
        <v>1208</v>
      </c>
      <c r="E239" s="161" t="s">
        <v>1295</v>
      </c>
      <c r="F239" s="163" t="s">
        <v>685</v>
      </c>
      <c r="G239" s="161" t="s">
        <v>1508</v>
      </c>
    </row>
    <row r="240">
      <c r="A240" s="165" t="s">
        <v>1044</v>
      </c>
      <c r="B240" s="160" t="s">
        <v>108</v>
      </c>
      <c r="C240" s="161" t="s">
        <v>1025</v>
      </c>
      <c r="D240" s="162" t="s">
        <v>1415</v>
      </c>
      <c r="E240" s="161" t="s">
        <v>1472</v>
      </c>
      <c r="F240" s="163" t="s">
        <v>640</v>
      </c>
      <c r="G240" s="161" t="s">
        <v>1510</v>
      </c>
    </row>
    <row r="241">
      <c r="A241" s="165" t="s">
        <v>1044</v>
      </c>
      <c r="B241" s="160" t="s">
        <v>108</v>
      </c>
      <c r="C241" s="161" t="s">
        <v>1025</v>
      </c>
      <c r="D241" s="162" t="s">
        <v>1415</v>
      </c>
      <c r="E241" s="161" t="s">
        <v>1472</v>
      </c>
      <c r="F241" s="163" t="s">
        <v>980</v>
      </c>
      <c r="G241" s="161" t="s">
        <v>1511</v>
      </c>
    </row>
    <row r="242">
      <c r="A242" s="165" t="s">
        <v>1044</v>
      </c>
      <c r="B242" s="160" t="s">
        <v>108</v>
      </c>
      <c r="C242" s="161" t="s">
        <v>1025</v>
      </c>
      <c r="D242" s="162" t="s">
        <v>1041</v>
      </c>
      <c r="E242" s="161" t="s">
        <v>1512</v>
      </c>
      <c r="F242" s="163" t="s">
        <v>657</v>
      </c>
      <c r="G242" s="161" t="s">
        <v>1514</v>
      </c>
    </row>
    <row r="243">
      <c r="A243" s="165" t="s">
        <v>1044</v>
      </c>
      <c r="B243" s="160" t="s">
        <v>108</v>
      </c>
      <c r="C243" s="161" t="s">
        <v>1025</v>
      </c>
      <c r="D243" s="162" t="s">
        <v>1041</v>
      </c>
      <c r="E243" s="161" t="s">
        <v>1512</v>
      </c>
      <c r="F243" s="163" t="s">
        <v>694</v>
      </c>
      <c r="G243" s="161" t="s">
        <v>1515</v>
      </c>
    </row>
    <row r="244">
      <c r="A244" s="165" t="s">
        <v>1044</v>
      </c>
      <c r="B244" s="160" t="s">
        <v>108</v>
      </c>
      <c r="C244" s="161" t="s">
        <v>1025</v>
      </c>
      <c r="D244" s="162" t="s">
        <v>1041</v>
      </c>
      <c r="E244" s="161" t="s">
        <v>1512</v>
      </c>
      <c r="F244" s="163" t="s">
        <v>857</v>
      </c>
      <c r="G244" s="161" t="s">
        <v>1516</v>
      </c>
    </row>
    <row r="245">
      <c r="A245" s="165" t="s">
        <v>1044</v>
      </c>
      <c r="B245" s="160" t="s">
        <v>108</v>
      </c>
      <c r="C245" s="161" t="s">
        <v>1025</v>
      </c>
      <c r="D245" s="162" t="s">
        <v>1041</v>
      </c>
      <c r="E245" s="161" t="s">
        <v>1512</v>
      </c>
      <c r="F245" s="163" t="s">
        <v>702</v>
      </c>
      <c r="G245" s="161" t="s">
        <v>1518</v>
      </c>
    </row>
    <row r="246">
      <c r="A246" s="165" t="s">
        <v>1044</v>
      </c>
      <c r="B246" s="160" t="s">
        <v>108</v>
      </c>
      <c r="C246" s="161" t="s">
        <v>1025</v>
      </c>
      <c r="D246" s="162" t="s">
        <v>1041</v>
      </c>
      <c r="E246" s="161" t="s">
        <v>1512</v>
      </c>
      <c r="F246" s="163" t="s">
        <v>946</v>
      </c>
      <c r="G246" s="161" t="s">
        <v>1519</v>
      </c>
    </row>
    <row r="247">
      <c r="A247" s="165" t="s">
        <v>1044</v>
      </c>
      <c r="B247" s="160" t="s">
        <v>108</v>
      </c>
      <c r="C247" s="161" t="s">
        <v>1025</v>
      </c>
      <c r="D247" s="162" t="s">
        <v>1041</v>
      </c>
      <c r="E247" s="161" t="s">
        <v>1512</v>
      </c>
      <c r="F247" s="163" t="s">
        <v>618</v>
      </c>
      <c r="G247" s="161" t="s">
        <v>1520</v>
      </c>
    </row>
    <row r="248">
      <c r="A248" s="165" t="s">
        <v>1044</v>
      </c>
      <c r="B248" s="160" t="s">
        <v>108</v>
      </c>
      <c r="C248" s="161" t="s">
        <v>1025</v>
      </c>
      <c r="D248" s="162" t="s">
        <v>1041</v>
      </c>
      <c r="E248" s="161" t="s">
        <v>1512</v>
      </c>
      <c r="F248" s="163" t="s">
        <v>625</v>
      </c>
      <c r="G248" s="161" t="s">
        <v>1521</v>
      </c>
    </row>
    <row r="249">
      <c r="A249" s="165" t="s">
        <v>1044</v>
      </c>
      <c r="B249" s="160" t="s">
        <v>108</v>
      </c>
      <c r="C249" s="161" t="s">
        <v>1025</v>
      </c>
      <c r="D249" s="162" t="s">
        <v>1041</v>
      </c>
      <c r="E249" s="161" t="s">
        <v>1512</v>
      </c>
      <c r="F249" s="163" t="s">
        <v>1011</v>
      </c>
      <c r="G249" s="161" t="s">
        <v>1522</v>
      </c>
    </row>
    <row r="250">
      <c r="A250" s="165" t="s">
        <v>1044</v>
      </c>
      <c r="B250" s="160" t="s">
        <v>108</v>
      </c>
      <c r="C250" s="161" t="s">
        <v>1025</v>
      </c>
      <c r="D250" s="162" t="s">
        <v>1041</v>
      </c>
      <c r="E250" s="161" t="s">
        <v>1512</v>
      </c>
      <c r="F250" s="163" t="s">
        <v>779</v>
      </c>
      <c r="G250" s="161" t="s">
        <v>1523</v>
      </c>
    </row>
    <row r="251">
      <c r="A251" s="165" t="s">
        <v>1044</v>
      </c>
      <c r="B251" s="160" t="s">
        <v>108</v>
      </c>
      <c r="C251" s="161" t="s">
        <v>1025</v>
      </c>
      <c r="D251" s="162" t="s">
        <v>1041</v>
      </c>
      <c r="E251" s="161" t="s">
        <v>1512</v>
      </c>
      <c r="F251" s="163" t="s">
        <v>783</v>
      </c>
      <c r="G251" s="161" t="s">
        <v>1524</v>
      </c>
    </row>
    <row r="252">
      <c r="A252" s="159" t="s">
        <v>1031</v>
      </c>
      <c r="B252" s="160" t="s">
        <v>147</v>
      </c>
      <c r="C252" s="161" t="s">
        <v>1025</v>
      </c>
      <c r="D252" s="162" t="s">
        <v>1525</v>
      </c>
      <c r="E252" s="161" t="s">
        <v>1526</v>
      </c>
      <c r="F252" s="163" t="s">
        <v>821</v>
      </c>
      <c r="G252" s="161" t="s">
        <v>1527</v>
      </c>
    </row>
    <row r="253">
      <c r="A253" s="159" t="s">
        <v>1031</v>
      </c>
      <c r="B253" s="160" t="s">
        <v>147</v>
      </c>
      <c r="C253" s="161" t="s">
        <v>1025</v>
      </c>
      <c r="D253" s="162" t="s">
        <v>1525</v>
      </c>
      <c r="E253" s="161" t="s">
        <v>1526</v>
      </c>
      <c r="F253" s="163" t="s">
        <v>581</v>
      </c>
      <c r="G253" s="161" t="s">
        <v>1530</v>
      </c>
    </row>
    <row r="254">
      <c r="A254" s="159" t="s">
        <v>1031</v>
      </c>
      <c r="B254" s="160" t="s">
        <v>147</v>
      </c>
      <c r="C254" s="161" t="s">
        <v>1025</v>
      </c>
      <c r="D254" s="162" t="s">
        <v>1525</v>
      </c>
      <c r="E254" s="161" t="s">
        <v>1526</v>
      </c>
      <c r="F254" s="163" t="s">
        <v>511</v>
      </c>
      <c r="G254" s="161" t="s">
        <v>1531</v>
      </c>
    </row>
    <row r="255">
      <c r="A255" s="159" t="s">
        <v>1031</v>
      </c>
      <c r="B255" s="160" t="s">
        <v>147</v>
      </c>
      <c r="C255" s="161" t="s">
        <v>1025</v>
      </c>
      <c r="D255" s="162" t="s">
        <v>1525</v>
      </c>
      <c r="E255" s="161" t="s">
        <v>1526</v>
      </c>
      <c r="F255" s="163" t="s">
        <v>874</v>
      </c>
      <c r="G255" s="161" t="s">
        <v>1532</v>
      </c>
    </row>
    <row r="256">
      <c r="A256" s="159" t="s">
        <v>1031</v>
      </c>
      <c r="B256" s="160" t="s">
        <v>147</v>
      </c>
      <c r="C256" s="161" t="s">
        <v>1025</v>
      </c>
      <c r="D256" s="162" t="s">
        <v>1525</v>
      </c>
      <c r="E256" s="161" t="s">
        <v>1526</v>
      </c>
      <c r="F256" s="163" t="s">
        <v>760</v>
      </c>
      <c r="G256" s="161" t="s">
        <v>1533</v>
      </c>
    </row>
    <row r="257">
      <c r="A257" s="159" t="s">
        <v>1031</v>
      </c>
      <c r="B257" s="160" t="s">
        <v>147</v>
      </c>
      <c r="C257" s="161" t="s">
        <v>1025</v>
      </c>
      <c r="D257" s="162" t="s">
        <v>1525</v>
      </c>
      <c r="E257" s="161" t="s">
        <v>1526</v>
      </c>
      <c r="F257" s="163" t="s">
        <v>595</v>
      </c>
      <c r="G257" s="161" t="s">
        <v>1534</v>
      </c>
    </row>
    <row r="258">
      <c r="A258" s="159" t="s">
        <v>1031</v>
      </c>
      <c r="B258" s="160" t="s">
        <v>147</v>
      </c>
      <c r="C258" s="161" t="s">
        <v>1025</v>
      </c>
      <c r="D258" s="162" t="s">
        <v>1525</v>
      </c>
      <c r="E258" s="161" t="s">
        <v>1526</v>
      </c>
      <c r="F258" s="163" t="s">
        <v>578</v>
      </c>
      <c r="G258" s="161" t="s">
        <v>1538</v>
      </c>
    </row>
    <row r="259">
      <c r="A259" s="159" t="s">
        <v>1031</v>
      </c>
      <c r="B259" s="160" t="s">
        <v>147</v>
      </c>
      <c r="C259" s="161" t="s">
        <v>1025</v>
      </c>
      <c r="D259" s="162" t="s">
        <v>1525</v>
      </c>
      <c r="E259" s="161" t="s">
        <v>1526</v>
      </c>
      <c r="F259" s="163" t="s">
        <v>672</v>
      </c>
      <c r="G259" s="161" t="s">
        <v>1540</v>
      </c>
    </row>
    <row r="260">
      <c r="A260" s="159" t="s">
        <v>1031</v>
      </c>
      <c r="B260" s="160" t="s">
        <v>147</v>
      </c>
      <c r="C260" s="161" t="s">
        <v>1025</v>
      </c>
      <c r="D260" s="162" t="s">
        <v>1233</v>
      </c>
      <c r="E260" s="161" t="s">
        <v>1541</v>
      </c>
      <c r="F260" s="163" t="s">
        <v>592</v>
      </c>
      <c r="G260" s="161" t="s">
        <v>1542</v>
      </c>
    </row>
    <row r="261">
      <c r="A261" s="159" t="s">
        <v>1031</v>
      </c>
      <c r="B261" s="160" t="s">
        <v>147</v>
      </c>
      <c r="C261" s="161" t="s">
        <v>1025</v>
      </c>
      <c r="D261" s="162" t="s">
        <v>1233</v>
      </c>
      <c r="E261" s="161" t="s">
        <v>1541</v>
      </c>
      <c r="F261" s="163" t="s">
        <v>533</v>
      </c>
      <c r="G261" s="161" t="s">
        <v>1544</v>
      </c>
    </row>
    <row r="262">
      <c r="A262" s="159" t="s">
        <v>1031</v>
      </c>
      <c r="B262" s="160" t="s">
        <v>147</v>
      </c>
      <c r="C262" s="161" t="s">
        <v>1025</v>
      </c>
      <c r="D262" s="162" t="s">
        <v>1174</v>
      </c>
      <c r="E262" s="161" t="s">
        <v>1545</v>
      </c>
      <c r="F262" s="163" t="s">
        <v>545</v>
      </c>
      <c r="G262" s="161" t="s">
        <v>1546</v>
      </c>
    </row>
    <row r="263">
      <c r="A263" s="159" t="s">
        <v>1031</v>
      </c>
      <c r="B263" s="160" t="s">
        <v>147</v>
      </c>
      <c r="C263" s="161" t="s">
        <v>1025</v>
      </c>
      <c r="D263" s="162" t="s">
        <v>1174</v>
      </c>
      <c r="E263" s="161" t="s">
        <v>1545</v>
      </c>
      <c r="F263" s="163" t="s">
        <v>600</v>
      </c>
      <c r="G263" s="161" t="s">
        <v>1547</v>
      </c>
    </row>
    <row r="264">
      <c r="A264" s="159" t="s">
        <v>1031</v>
      </c>
      <c r="B264" s="160" t="s">
        <v>147</v>
      </c>
      <c r="C264" s="161" t="s">
        <v>1025</v>
      </c>
      <c r="D264" s="162" t="s">
        <v>1174</v>
      </c>
      <c r="E264" s="161" t="s">
        <v>1545</v>
      </c>
      <c r="F264" s="163" t="s">
        <v>680</v>
      </c>
      <c r="G264" s="161" t="s">
        <v>1549</v>
      </c>
    </row>
    <row r="265">
      <c r="A265" s="159" t="s">
        <v>1031</v>
      </c>
      <c r="B265" s="160" t="s">
        <v>147</v>
      </c>
      <c r="C265" s="161" t="s">
        <v>1025</v>
      </c>
      <c r="D265" s="162" t="s">
        <v>1174</v>
      </c>
      <c r="E265" s="161" t="s">
        <v>1545</v>
      </c>
      <c r="F265" s="163" t="s">
        <v>634</v>
      </c>
      <c r="G265" s="161" t="s">
        <v>1550</v>
      </c>
    </row>
    <row r="266">
      <c r="A266" s="159" t="s">
        <v>1031</v>
      </c>
      <c r="B266" s="160" t="s">
        <v>147</v>
      </c>
      <c r="C266" s="161" t="s">
        <v>1025</v>
      </c>
      <c r="D266" s="162" t="s">
        <v>1174</v>
      </c>
      <c r="E266" s="161" t="s">
        <v>1545</v>
      </c>
      <c r="F266" s="163" t="s">
        <v>733</v>
      </c>
      <c r="G266" s="161" t="s">
        <v>1551</v>
      </c>
    </row>
    <row r="267">
      <c r="A267" s="159" t="s">
        <v>1031</v>
      </c>
      <c r="B267" s="160" t="s">
        <v>147</v>
      </c>
      <c r="C267" s="161" t="s">
        <v>1025</v>
      </c>
      <c r="D267" s="162" t="s">
        <v>1174</v>
      </c>
      <c r="E267" s="161" t="s">
        <v>1545</v>
      </c>
      <c r="F267" s="163" t="s">
        <v>967</v>
      </c>
      <c r="G267" s="161" t="s">
        <v>1553</v>
      </c>
    </row>
    <row r="268">
      <c r="A268" s="159" t="s">
        <v>1031</v>
      </c>
      <c r="B268" s="160" t="s">
        <v>147</v>
      </c>
      <c r="C268" s="161" t="s">
        <v>1025</v>
      </c>
      <c r="D268" s="162" t="s">
        <v>1174</v>
      </c>
      <c r="E268" s="161" t="s">
        <v>1545</v>
      </c>
      <c r="F268" s="163" t="s">
        <v>659</v>
      </c>
      <c r="G268" s="161" t="s">
        <v>1554</v>
      </c>
    </row>
    <row r="269">
      <c r="A269" s="159" t="s">
        <v>1031</v>
      </c>
      <c r="B269" s="160" t="s">
        <v>147</v>
      </c>
      <c r="C269" s="161" t="s">
        <v>1025</v>
      </c>
      <c r="D269" s="162" t="s">
        <v>1174</v>
      </c>
      <c r="E269" s="161" t="s">
        <v>1545</v>
      </c>
      <c r="F269" s="163" t="s">
        <v>901</v>
      </c>
      <c r="G269" s="161" t="s">
        <v>1555</v>
      </c>
    </row>
    <row r="270">
      <c r="A270" s="159" t="s">
        <v>1031</v>
      </c>
      <c r="B270" s="160" t="s">
        <v>147</v>
      </c>
      <c r="C270" s="161" t="s">
        <v>1025</v>
      </c>
      <c r="D270" s="162" t="s">
        <v>1174</v>
      </c>
      <c r="E270" s="161" t="s">
        <v>1545</v>
      </c>
      <c r="F270" s="163" t="s">
        <v>602</v>
      </c>
      <c r="G270" s="161" t="s">
        <v>1559</v>
      </c>
    </row>
    <row r="271">
      <c r="A271" s="159" t="s">
        <v>1031</v>
      </c>
      <c r="B271" s="160" t="s">
        <v>147</v>
      </c>
      <c r="C271" s="161" t="s">
        <v>1025</v>
      </c>
      <c r="D271" s="162" t="s">
        <v>1174</v>
      </c>
      <c r="E271" s="161" t="s">
        <v>1545</v>
      </c>
      <c r="F271" s="163" t="s">
        <v>860</v>
      </c>
      <c r="G271" s="161" t="s">
        <v>1560</v>
      </c>
    </row>
    <row r="272">
      <c r="A272" s="159" t="s">
        <v>1031</v>
      </c>
      <c r="B272" s="160" t="s">
        <v>147</v>
      </c>
      <c r="C272" s="161" t="s">
        <v>1025</v>
      </c>
      <c r="D272" s="162" t="s">
        <v>1174</v>
      </c>
      <c r="E272" s="161" t="s">
        <v>1545</v>
      </c>
      <c r="F272" s="163" t="s">
        <v>781</v>
      </c>
      <c r="G272" s="161" t="s">
        <v>1561</v>
      </c>
    </row>
    <row r="273">
      <c r="A273" s="159" t="s">
        <v>1031</v>
      </c>
      <c r="B273" s="160" t="s">
        <v>147</v>
      </c>
      <c r="C273" s="161" t="s">
        <v>1025</v>
      </c>
      <c r="D273" s="162" t="s">
        <v>1174</v>
      </c>
      <c r="E273" s="161" t="s">
        <v>1545</v>
      </c>
      <c r="F273" s="163" t="s">
        <v>899</v>
      </c>
      <c r="G273" s="161" t="s">
        <v>1563</v>
      </c>
    </row>
    <row r="274">
      <c r="A274" s="159" t="s">
        <v>1031</v>
      </c>
      <c r="B274" s="160" t="s">
        <v>147</v>
      </c>
      <c r="C274" s="161" t="s">
        <v>1025</v>
      </c>
      <c r="D274" s="162" t="s">
        <v>1174</v>
      </c>
      <c r="E274" s="161" t="s">
        <v>1545</v>
      </c>
      <c r="F274" s="163" t="s">
        <v>878</v>
      </c>
      <c r="G274" s="161" t="s">
        <v>1564</v>
      </c>
    </row>
    <row r="275">
      <c r="A275" s="159" t="s">
        <v>1031</v>
      </c>
      <c r="B275" s="160" t="s">
        <v>147</v>
      </c>
      <c r="C275" s="161" t="s">
        <v>1025</v>
      </c>
      <c r="D275" s="162" t="s">
        <v>1174</v>
      </c>
      <c r="E275" s="161" t="s">
        <v>1545</v>
      </c>
      <c r="F275" s="163" t="s">
        <v>580</v>
      </c>
      <c r="G275" s="161" t="s">
        <v>1565</v>
      </c>
    </row>
    <row r="276">
      <c r="A276" s="159" t="s">
        <v>1031</v>
      </c>
      <c r="B276" s="160" t="s">
        <v>147</v>
      </c>
      <c r="C276" s="161" t="s">
        <v>1025</v>
      </c>
      <c r="D276" s="162" t="s">
        <v>1507</v>
      </c>
      <c r="E276" s="161" t="s">
        <v>1566</v>
      </c>
      <c r="F276" s="163" t="s">
        <v>628</v>
      </c>
      <c r="G276" s="161" t="s">
        <v>1567</v>
      </c>
    </row>
    <row r="277">
      <c r="A277" s="159" t="s">
        <v>1031</v>
      </c>
      <c r="B277" s="160" t="s">
        <v>147</v>
      </c>
      <c r="C277" s="161" t="s">
        <v>1025</v>
      </c>
      <c r="D277" s="162" t="s">
        <v>1507</v>
      </c>
      <c r="E277" s="161" t="s">
        <v>1566</v>
      </c>
      <c r="F277" s="163" t="s">
        <v>730</v>
      </c>
      <c r="G277" s="161" t="s">
        <v>1568</v>
      </c>
    </row>
    <row r="278">
      <c r="A278" s="159" t="s">
        <v>1031</v>
      </c>
      <c r="B278" s="160" t="s">
        <v>147</v>
      </c>
      <c r="C278" s="161" t="s">
        <v>1025</v>
      </c>
      <c r="D278" s="162" t="s">
        <v>1121</v>
      </c>
      <c r="E278" s="161" t="s">
        <v>1570</v>
      </c>
      <c r="F278" s="163" t="s">
        <v>675</v>
      </c>
      <c r="G278" s="161" t="s">
        <v>1572</v>
      </c>
    </row>
    <row r="279">
      <c r="A279" s="159" t="s">
        <v>1031</v>
      </c>
      <c r="B279" s="160" t="s">
        <v>147</v>
      </c>
      <c r="C279" s="161" t="s">
        <v>1025</v>
      </c>
      <c r="D279" s="162" t="s">
        <v>1121</v>
      </c>
      <c r="E279" s="161" t="s">
        <v>1570</v>
      </c>
      <c r="F279" s="163" t="s">
        <v>791</v>
      </c>
      <c r="G279" s="161" t="s">
        <v>1573</v>
      </c>
    </row>
    <row r="280">
      <c r="A280" s="159" t="s">
        <v>1031</v>
      </c>
      <c r="B280" s="160" t="s">
        <v>147</v>
      </c>
      <c r="C280" s="161" t="s">
        <v>1025</v>
      </c>
      <c r="D280" s="162" t="s">
        <v>1121</v>
      </c>
      <c r="E280" s="161" t="s">
        <v>1570</v>
      </c>
      <c r="F280" s="163" t="s">
        <v>615</v>
      </c>
      <c r="G280" s="161" t="s">
        <v>1574</v>
      </c>
    </row>
    <row r="281">
      <c r="A281" s="159" t="s">
        <v>1031</v>
      </c>
      <c r="B281" s="160" t="s">
        <v>147</v>
      </c>
      <c r="C281" s="161" t="s">
        <v>1025</v>
      </c>
      <c r="D281" s="162" t="s">
        <v>1575</v>
      </c>
      <c r="E281" s="161" t="s">
        <v>1576</v>
      </c>
      <c r="F281" s="163" t="s">
        <v>524</v>
      </c>
      <c r="G281" s="161" t="s">
        <v>1577</v>
      </c>
    </row>
    <row r="282">
      <c r="A282" s="159" t="s">
        <v>1031</v>
      </c>
      <c r="B282" s="160" t="s">
        <v>147</v>
      </c>
      <c r="C282" s="161" t="s">
        <v>1025</v>
      </c>
      <c r="D282" s="162" t="s">
        <v>1575</v>
      </c>
      <c r="E282" s="161" t="s">
        <v>1576</v>
      </c>
      <c r="F282" s="163" t="s">
        <v>656</v>
      </c>
      <c r="G282" s="161" t="s">
        <v>1578</v>
      </c>
    </row>
    <row r="283">
      <c r="A283" s="159" t="s">
        <v>1031</v>
      </c>
      <c r="B283" s="160" t="s">
        <v>147</v>
      </c>
      <c r="C283" s="161" t="s">
        <v>1025</v>
      </c>
      <c r="D283" s="162" t="s">
        <v>1575</v>
      </c>
      <c r="E283" s="161" t="s">
        <v>1576</v>
      </c>
      <c r="F283" s="163" t="s">
        <v>550</v>
      </c>
      <c r="G283" s="161" t="s">
        <v>1579</v>
      </c>
    </row>
    <row r="284">
      <c r="A284" s="159" t="s">
        <v>1031</v>
      </c>
      <c r="B284" s="160" t="s">
        <v>147</v>
      </c>
      <c r="C284" s="161" t="s">
        <v>1025</v>
      </c>
      <c r="D284" s="162" t="s">
        <v>1575</v>
      </c>
      <c r="E284" s="161" t="s">
        <v>1576</v>
      </c>
      <c r="F284" s="163" t="s">
        <v>797</v>
      </c>
      <c r="G284" s="161" t="s">
        <v>1580</v>
      </c>
    </row>
    <row r="285">
      <c r="A285" s="165" t="s">
        <v>1044</v>
      </c>
      <c r="B285" s="160" t="s">
        <v>147</v>
      </c>
      <c r="C285" s="161" t="s">
        <v>1025</v>
      </c>
      <c r="D285" s="162" t="s">
        <v>1412</v>
      </c>
      <c r="E285" s="161" t="s">
        <v>1413</v>
      </c>
      <c r="F285" s="163" t="s">
        <v>986</v>
      </c>
      <c r="G285" s="161" t="s">
        <v>1581</v>
      </c>
    </row>
    <row r="286">
      <c r="A286" s="165" t="s">
        <v>1044</v>
      </c>
      <c r="B286" s="160" t="s">
        <v>147</v>
      </c>
      <c r="C286" s="161" t="s">
        <v>1025</v>
      </c>
      <c r="D286" s="162" t="s">
        <v>1412</v>
      </c>
      <c r="E286" s="161" t="s">
        <v>1413</v>
      </c>
      <c r="F286" s="163" t="s">
        <v>863</v>
      </c>
      <c r="G286" s="161" t="s">
        <v>1582</v>
      </c>
    </row>
    <row r="287">
      <c r="A287" s="165" t="s">
        <v>1044</v>
      </c>
      <c r="B287" s="160" t="s">
        <v>147</v>
      </c>
      <c r="C287" s="161" t="s">
        <v>1025</v>
      </c>
      <c r="D287" s="162" t="s">
        <v>1412</v>
      </c>
      <c r="E287" s="161" t="s">
        <v>1413</v>
      </c>
      <c r="F287" s="163" t="s">
        <v>953</v>
      </c>
      <c r="G287" s="161" t="s">
        <v>1583</v>
      </c>
    </row>
    <row r="288">
      <c r="A288" s="165" t="s">
        <v>1044</v>
      </c>
      <c r="B288" s="160" t="s">
        <v>147</v>
      </c>
      <c r="C288" s="161" t="s">
        <v>1025</v>
      </c>
      <c r="D288" s="162" t="s">
        <v>1412</v>
      </c>
      <c r="E288" s="161" t="s">
        <v>1413</v>
      </c>
      <c r="F288" s="163" t="s">
        <v>708</v>
      </c>
      <c r="G288" s="161" t="s">
        <v>1414</v>
      </c>
    </row>
    <row r="289">
      <c r="A289" s="165" t="s">
        <v>1044</v>
      </c>
      <c r="B289" s="160" t="s">
        <v>147</v>
      </c>
      <c r="C289" s="161" t="s">
        <v>1025</v>
      </c>
      <c r="D289" s="162" t="s">
        <v>1029</v>
      </c>
      <c r="E289" s="161" t="s">
        <v>1586</v>
      </c>
      <c r="F289" s="163" t="s">
        <v>585</v>
      </c>
      <c r="G289" s="161" t="s">
        <v>1587</v>
      </c>
    </row>
    <row r="290">
      <c r="A290" s="165" t="s">
        <v>1044</v>
      </c>
      <c r="B290" s="160" t="s">
        <v>147</v>
      </c>
      <c r="C290" s="161" t="s">
        <v>1025</v>
      </c>
      <c r="D290" s="162" t="s">
        <v>1029</v>
      </c>
      <c r="E290" s="161" t="s">
        <v>1586</v>
      </c>
      <c r="F290" s="163" t="s">
        <v>703</v>
      </c>
      <c r="G290" s="161" t="s">
        <v>1591</v>
      </c>
    </row>
    <row r="291">
      <c r="A291" s="165" t="s">
        <v>1044</v>
      </c>
      <c r="B291" s="160" t="s">
        <v>147</v>
      </c>
      <c r="C291" s="161" t="s">
        <v>1025</v>
      </c>
      <c r="D291" s="162" t="s">
        <v>1029</v>
      </c>
      <c r="E291" s="161" t="s">
        <v>1586</v>
      </c>
      <c r="F291" s="163" t="s">
        <v>748</v>
      </c>
      <c r="G291" s="161" t="s">
        <v>1594</v>
      </c>
    </row>
    <row r="292">
      <c r="A292" s="165" t="s">
        <v>1044</v>
      </c>
      <c r="B292" s="160" t="s">
        <v>57</v>
      </c>
      <c r="C292" s="161" t="s">
        <v>1025</v>
      </c>
      <c r="D292" s="162" t="s">
        <v>1122</v>
      </c>
      <c r="E292" s="161" t="s">
        <v>1123</v>
      </c>
      <c r="F292" s="163" t="s">
        <v>798</v>
      </c>
      <c r="G292" s="161" t="s">
        <v>1598</v>
      </c>
    </row>
    <row r="293">
      <c r="A293" s="165" t="s">
        <v>1044</v>
      </c>
      <c r="B293" s="160" t="s">
        <v>57</v>
      </c>
      <c r="C293" s="161" t="s">
        <v>1025</v>
      </c>
      <c r="D293" s="162" t="s">
        <v>1122</v>
      </c>
      <c r="E293" s="161" t="s">
        <v>1123</v>
      </c>
      <c r="F293" s="163" t="s">
        <v>547</v>
      </c>
      <c r="G293" s="161" t="s">
        <v>1600</v>
      </c>
    </row>
    <row r="294">
      <c r="A294" s="165" t="s">
        <v>1044</v>
      </c>
      <c r="B294" s="160" t="s">
        <v>57</v>
      </c>
      <c r="C294" s="161" t="s">
        <v>1025</v>
      </c>
      <c r="D294" s="162" t="s">
        <v>1122</v>
      </c>
      <c r="E294" s="161" t="s">
        <v>1123</v>
      </c>
      <c r="F294" s="163" t="s">
        <v>1124</v>
      </c>
      <c r="G294" s="161" t="s">
        <v>1125</v>
      </c>
    </row>
    <row r="295">
      <c r="A295" s="165" t="s">
        <v>1044</v>
      </c>
      <c r="B295" s="160" t="s">
        <v>57</v>
      </c>
      <c r="C295" s="161" t="s">
        <v>1025</v>
      </c>
      <c r="D295" s="162" t="s">
        <v>1122</v>
      </c>
      <c r="E295" s="161" t="s">
        <v>1123</v>
      </c>
      <c r="F295" s="163" t="s">
        <v>972</v>
      </c>
      <c r="G295" s="161" t="s">
        <v>1609</v>
      </c>
    </row>
    <row r="296">
      <c r="A296" s="165" t="s">
        <v>1044</v>
      </c>
      <c r="B296" s="160" t="s">
        <v>57</v>
      </c>
      <c r="C296" s="161" t="s">
        <v>1025</v>
      </c>
      <c r="D296" s="162" t="s">
        <v>1122</v>
      </c>
      <c r="E296" s="161" t="s">
        <v>1123</v>
      </c>
      <c r="F296" s="163" t="s">
        <v>758</v>
      </c>
      <c r="G296" s="161" t="s">
        <v>1355</v>
      </c>
    </row>
    <row r="297">
      <c r="A297" s="165" t="s">
        <v>1044</v>
      </c>
      <c r="B297" s="160" t="s">
        <v>57</v>
      </c>
      <c r="C297" s="161" t="s">
        <v>1025</v>
      </c>
      <c r="D297" s="162" t="s">
        <v>1122</v>
      </c>
      <c r="E297" s="161" t="s">
        <v>1123</v>
      </c>
      <c r="F297" s="163" t="s">
        <v>603</v>
      </c>
      <c r="G297" s="161" t="s">
        <v>1617</v>
      </c>
    </row>
    <row r="298">
      <c r="A298" s="165" t="s">
        <v>1044</v>
      </c>
      <c r="B298" s="160" t="s">
        <v>57</v>
      </c>
      <c r="C298" s="161" t="s">
        <v>1025</v>
      </c>
      <c r="D298" s="162" t="s">
        <v>1122</v>
      </c>
      <c r="E298" s="161" t="s">
        <v>1123</v>
      </c>
      <c r="F298" s="163" t="s">
        <v>1004</v>
      </c>
      <c r="G298" s="161" t="s">
        <v>1623</v>
      </c>
    </row>
    <row r="299">
      <c r="A299" s="165" t="s">
        <v>1044</v>
      </c>
      <c r="B299" s="160" t="s">
        <v>57</v>
      </c>
      <c r="C299" s="161" t="s">
        <v>1025</v>
      </c>
      <c r="D299" s="162" t="s">
        <v>1122</v>
      </c>
      <c r="E299" s="161" t="s">
        <v>1123</v>
      </c>
      <c r="F299" s="163" t="s">
        <v>633</v>
      </c>
      <c r="G299" s="161" t="s">
        <v>1630</v>
      </c>
    </row>
    <row r="300">
      <c r="A300" s="165" t="s">
        <v>1044</v>
      </c>
      <c r="B300" s="160" t="s">
        <v>57</v>
      </c>
      <c r="C300" s="161" t="s">
        <v>1025</v>
      </c>
      <c r="D300" s="162" t="s">
        <v>1122</v>
      </c>
      <c r="E300" s="161" t="s">
        <v>1123</v>
      </c>
      <c r="F300" s="163" t="s">
        <v>955</v>
      </c>
      <c r="G300" s="161" t="s">
        <v>1633</v>
      </c>
    </row>
    <row r="301">
      <c r="A301" s="165" t="s">
        <v>1044</v>
      </c>
      <c r="B301" s="160" t="s">
        <v>57</v>
      </c>
      <c r="C301" s="161" t="s">
        <v>1025</v>
      </c>
      <c r="D301" s="162" t="s">
        <v>1122</v>
      </c>
      <c r="E301" s="161" t="s">
        <v>1123</v>
      </c>
      <c r="F301" s="163" t="s">
        <v>594</v>
      </c>
      <c r="G301" s="161" t="s">
        <v>1641</v>
      </c>
    </row>
    <row r="302">
      <c r="A302" s="165" t="s">
        <v>1044</v>
      </c>
      <c r="B302" s="160" t="s">
        <v>57</v>
      </c>
      <c r="C302" s="161" t="s">
        <v>1025</v>
      </c>
      <c r="D302" s="162" t="s">
        <v>1122</v>
      </c>
      <c r="E302" s="161" t="s">
        <v>1123</v>
      </c>
      <c r="F302" s="163" t="s">
        <v>582</v>
      </c>
      <c r="G302" s="161" t="s">
        <v>1645</v>
      </c>
    </row>
    <row r="303">
      <c r="A303" s="165" t="s">
        <v>1044</v>
      </c>
      <c r="B303" s="160" t="s">
        <v>57</v>
      </c>
      <c r="C303" s="161" t="s">
        <v>1025</v>
      </c>
      <c r="D303" s="162" t="s">
        <v>1122</v>
      </c>
      <c r="E303" s="161" t="s">
        <v>1123</v>
      </c>
      <c r="F303" s="163" t="s">
        <v>789</v>
      </c>
      <c r="G303" s="161" t="s">
        <v>1313</v>
      </c>
    </row>
    <row r="304">
      <c r="A304" s="165" t="s">
        <v>1044</v>
      </c>
      <c r="B304" s="160" t="s">
        <v>57</v>
      </c>
      <c r="C304" s="161" t="s">
        <v>1025</v>
      </c>
      <c r="D304" s="162" t="s">
        <v>1246</v>
      </c>
      <c r="E304" s="161" t="s">
        <v>1248</v>
      </c>
      <c r="F304" s="163" t="s">
        <v>643</v>
      </c>
      <c r="G304" s="161" t="s">
        <v>1652</v>
      </c>
    </row>
    <row r="305">
      <c r="A305" s="165" t="s">
        <v>1044</v>
      </c>
      <c r="B305" s="160" t="s">
        <v>57</v>
      </c>
      <c r="C305" s="161" t="s">
        <v>1025</v>
      </c>
      <c r="D305" s="162" t="s">
        <v>1246</v>
      </c>
      <c r="E305" s="161" t="s">
        <v>1248</v>
      </c>
      <c r="F305" s="163" t="s">
        <v>908</v>
      </c>
      <c r="G305" s="161" t="s">
        <v>1656</v>
      </c>
    </row>
    <row r="306">
      <c r="A306" s="165" t="s">
        <v>1044</v>
      </c>
      <c r="B306" s="160" t="s">
        <v>57</v>
      </c>
      <c r="C306" s="161" t="s">
        <v>1025</v>
      </c>
      <c r="D306" s="162" t="s">
        <v>1246</v>
      </c>
      <c r="E306" s="161" t="s">
        <v>1248</v>
      </c>
      <c r="F306" s="163" t="s">
        <v>954</v>
      </c>
      <c r="G306" s="161" t="s">
        <v>1249</v>
      </c>
    </row>
    <row r="307">
      <c r="A307" s="165" t="s">
        <v>1044</v>
      </c>
      <c r="B307" s="160" t="s">
        <v>57</v>
      </c>
      <c r="C307" s="161" t="s">
        <v>1025</v>
      </c>
      <c r="D307" s="162" t="s">
        <v>1246</v>
      </c>
      <c r="E307" s="161" t="s">
        <v>1248</v>
      </c>
      <c r="F307" s="163" t="s">
        <v>960</v>
      </c>
      <c r="G307" s="161" t="s">
        <v>1664</v>
      </c>
    </row>
    <row r="308">
      <c r="A308" s="165" t="s">
        <v>1044</v>
      </c>
      <c r="B308" s="160" t="s">
        <v>57</v>
      </c>
      <c r="C308" s="161" t="s">
        <v>1025</v>
      </c>
      <c r="D308" s="162" t="s">
        <v>1291</v>
      </c>
      <c r="E308" s="161" t="s">
        <v>1420</v>
      </c>
      <c r="F308" s="163" t="s">
        <v>956</v>
      </c>
      <c r="G308" s="161" t="s">
        <v>1668</v>
      </c>
    </row>
    <row r="309">
      <c r="A309" s="165" t="s">
        <v>1044</v>
      </c>
      <c r="B309" s="160" t="s">
        <v>57</v>
      </c>
      <c r="C309" s="161" t="s">
        <v>1025</v>
      </c>
      <c r="D309" s="162" t="s">
        <v>1291</v>
      </c>
      <c r="E309" s="161" t="s">
        <v>1420</v>
      </c>
      <c r="F309" s="163" t="s">
        <v>790</v>
      </c>
      <c r="G309" s="161" t="s">
        <v>1674</v>
      </c>
    </row>
    <row r="310">
      <c r="A310" s="165" t="s">
        <v>1044</v>
      </c>
      <c r="B310" s="160" t="s">
        <v>57</v>
      </c>
      <c r="C310" s="161" t="s">
        <v>1025</v>
      </c>
      <c r="D310" s="162" t="s">
        <v>1291</v>
      </c>
      <c r="E310" s="161" t="s">
        <v>1420</v>
      </c>
      <c r="F310" s="163" t="s">
        <v>804</v>
      </c>
      <c r="G310" s="161" t="s">
        <v>1678</v>
      </c>
    </row>
    <row r="311">
      <c r="A311" s="165" t="s">
        <v>1044</v>
      </c>
      <c r="B311" s="160" t="s">
        <v>57</v>
      </c>
      <c r="C311" s="161" t="s">
        <v>1025</v>
      </c>
      <c r="D311" s="162" t="s">
        <v>1291</v>
      </c>
      <c r="E311" s="161" t="s">
        <v>1420</v>
      </c>
      <c r="F311" s="163" t="s">
        <v>989</v>
      </c>
      <c r="G311" s="161" t="s">
        <v>1683</v>
      </c>
    </row>
    <row r="312">
      <c r="A312" s="165" t="s">
        <v>1044</v>
      </c>
      <c r="B312" s="160" t="s">
        <v>57</v>
      </c>
      <c r="C312" s="161" t="s">
        <v>1025</v>
      </c>
      <c r="D312" s="162" t="s">
        <v>1291</v>
      </c>
      <c r="E312" s="161" t="s">
        <v>1420</v>
      </c>
      <c r="F312" s="163" t="s">
        <v>866</v>
      </c>
      <c r="G312" s="161" t="s">
        <v>1421</v>
      </c>
    </row>
    <row r="313">
      <c r="A313" s="165" t="s">
        <v>1044</v>
      </c>
      <c r="B313" s="160" t="s">
        <v>57</v>
      </c>
      <c r="C313" s="161" t="s">
        <v>1025</v>
      </c>
      <c r="D313" s="162" t="s">
        <v>1291</v>
      </c>
      <c r="E313" s="161" t="s">
        <v>1420</v>
      </c>
      <c r="F313" s="163" t="s">
        <v>668</v>
      </c>
      <c r="G313" s="161" t="s">
        <v>1689</v>
      </c>
    </row>
    <row r="314">
      <c r="A314" s="165" t="s">
        <v>1044</v>
      </c>
      <c r="B314" s="160" t="s">
        <v>57</v>
      </c>
      <c r="C314" s="161" t="s">
        <v>1025</v>
      </c>
      <c r="D314" s="162" t="s">
        <v>1254</v>
      </c>
      <c r="E314" s="161" t="s">
        <v>1255</v>
      </c>
      <c r="F314" s="163" t="s">
        <v>612</v>
      </c>
      <c r="G314" s="161" t="s">
        <v>1694</v>
      </c>
    </row>
    <row r="315">
      <c r="A315" s="165" t="s">
        <v>1044</v>
      </c>
      <c r="B315" s="160" t="s">
        <v>57</v>
      </c>
      <c r="C315" s="161" t="s">
        <v>1025</v>
      </c>
      <c r="D315" s="162" t="s">
        <v>1254</v>
      </c>
      <c r="E315" s="161" t="s">
        <v>1255</v>
      </c>
      <c r="F315" s="163" t="s">
        <v>800</v>
      </c>
      <c r="G315" s="161" t="s">
        <v>1697</v>
      </c>
    </row>
    <row r="316">
      <c r="A316" s="165" t="s">
        <v>1044</v>
      </c>
      <c r="B316" s="160" t="s">
        <v>57</v>
      </c>
      <c r="C316" s="161" t="s">
        <v>1025</v>
      </c>
      <c r="D316" s="162" t="s">
        <v>1254</v>
      </c>
      <c r="E316" s="161" t="s">
        <v>1255</v>
      </c>
      <c r="F316" s="163" t="s">
        <v>742</v>
      </c>
      <c r="G316" s="161" t="s">
        <v>1702</v>
      </c>
    </row>
    <row r="317">
      <c r="A317" s="165" t="s">
        <v>1044</v>
      </c>
      <c r="B317" s="160" t="s">
        <v>57</v>
      </c>
      <c r="C317" s="161" t="s">
        <v>1025</v>
      </c>
      <c r="D317" s="162" t="s">
        <v>1254</v>
      </c>
      <c r="E317" s="161" t="s">
        <v>1255</v>
      </c>
      <c r="F317" s="163" t="s">
        <v>544</v>
      </c>
      <c r="G317" s="161" t="s">
        <v>1707</v>
      </c>
    </row>
    <row r="318">
      <c r="A318" s="165" t="s">
        <v>1044</v>
      </c>
      <c r="B318" s="160" t="s">
        <v>57</v>
      </c>
      <c r="C318" s="161" t="s">
        <v>1025</v>
      </c>
      <c r="D318" s="162" t="s">
        <v>1254</v>
      </c>
      <c r="E318" s="161" t="s">
        <v>1255</v>
      </c>
      <c r="F318" s="163" t="s">
        <v>784</v>
      </c>
      <c r="G318" s="161" t="s">
        <v>1256</v>
      </c>
    </row>
    <row r="319">
      <c r="A319" s="165" t="s">
        <v>1044</v>
      </c>
      <c r="B319" s="160" t="s">
        <v>57</v>
      </c>
      <c r="C319" s="161" t="s">
        <v>1025</v>
      </c>
      <c r="D319" s="162" t="s">
        <v>1254</v>
      </c>
      <c r="E319" s="161" t="s">
        <v>1255</v>
      </c>
      <c r="F319" s="163" t="s">
        <v>579</v>
      </c>
      <c r="G319" s="161" t="s">
        <v>1714</v>
      </c>
    </row>
    <row r="320">
      <c r="A320" s="165" t="s">
        <v>1044</v>
      </c>
      <c r="B320" s="160" t="s">
        <v>57</v>
      </c>
      <c r="C320" s="161" t="s">
        <v>1025</v>
      </c>
      <c r="D320" s="162" t="s">
        <v>1254</v>
      </c>
      <c r="E320" s="161" t="s">
        <v>1255</v>
      </c>
      <c r="F320" s="163" t="s">
        <v>852</v>
      </c>
      <c r="G320" s="161" t="s">
        <v>1425</v>
      </c>
    </row>
    <row r="321">
      <c r="A321" s="165" t="s">
        <v>1044</v>
      </c>
      <c r="B321" s="160" t="s">
        <v>57</v>
      </c>
      <c r="C321" s="161" t="s">
        <v>1025</v>
      </c>
      <c r="D321" s="162" t="s">
        <v>1254</v>
      </c>
      <c r="E321" s="161" t="s">
        <v>1255</v>
      </c>
      <c r="F321" s="163" t="s">
        <v>844</v>
      </c>
      <c r="G321" s="161" t="s">
        <v>1720</v>
      </c>
    </row>
    <row r="322">
      <c r="A322" s="167" t="s">
        <v>1181</v>
      </c>
      <c r="B322" s="160" t="s">
        <v>169</v>
      </c>
      <c r="C322" s="161" t="s">
        <v>1025</v>
      </c>
      <c r="D322" s="162" t="s">
        <v>1459</v>
      </c>
      <c r="E322" s="161" t="s">
        <v>1724</v>
      </c>
      <c r="F322" s="163" t="s">
        <v>576</v>
      </c>
      <c r="G322" s="161" t="s">
        <v>1726</v>
      </c>
    </row>
    <row r="323">
      <c r="A323" s="159" t="s">
        <v>1031</v>
      </c>
      <c r="B323" s="160" t="s">
        <v>169</v>
      </c>
      <c r="C323" s="161" t="s">
        <v>1025</v>
      </c>
      <c r="D323" s="162" t="s">
        <v>1164</v>
      </c>
      <c r="E323" s="161" t="s">
        <v>1729</v>
      </c>
      <c r="F323" s="163" t="s">
        <v>567</v>
      </c>
      <c r="G323" s="161" t="s">
        <v>1731</v>
      </c>
    </row>
    <row r="324">
      <c r="A324" s="159" t="s">
        <v>1031</v>
      </c>
      <c r="B324" s="160" t="s">
        <v>169</v>
      </c>
      <c r="C324" s="161" t="s">
        <v>1025</v>
      </c>
      <c r="D324" s="162" t="s">
        <v>1164</v>
      </c>
      <c r="E324" s="161" t="s">
        <v>1729</v>
      </c>
      <c r="F324" s="163" t="s">
        <v>631</v>
      </c>
      <c r="G324" s="161" t="s">
        <v>1735</v>
      </c>
    </row>
    <row r="325">
      <c r="A325" s="159" t="s">
        <v>1031</v>
      </c>
      <c r="B325" s="160" t="s">
        <v>169</v>
      </c>
      <c r="C325" s="161" t="s">
        <v>1025</v>
      </c>
      <c r="D325" s="162" t="s">
        <v>1164</v>
      </c>
      <c r="E325" s="161" t="s">
        <v>1729</v>
      </c>
      <c r="F325" s="163" t="s">
        <v>692</v>
      </c>
      <c r="G325" s="161" t="s">
        <v>1739</v>
      </c>
    </row>
    <row r="326">
      <c r="A326" s="159" t="s">
        <v>1031</v>
      </c>
      <c r="B326" s="160" t="s">
        <v>169</v>
      </c>
      <c r="C326" s="161" t="s">
        <v>1025</v>
      </c>
      <c r="D326" s="162" t="s">
        <v>1164</v>
      </c>
      <c r="E326" s="161" t="s">
        <v>1729</v>
      </c>
      <c r="F326" s="163" t="s">
        <v>697</v>
      </c>
      <c r="G326" s="161" t="s">
        <v>1743</v>
      </c>
    </row>
    <row r="327">
      <c r="A327" s="159" t="s">
        <v>1031</v>
      </c>
      <c r="B327" s="160" t="s">
        <v>169</v>
      </c>
      <c r="C327" s="161" t="s">
        <v>1025</v>
      </c>
      <c r="D327" s="162" t="s">
        <v>1164</v>
      </c>
      <c r="E327" s="161" t="s">
        <v>1729</v>
      </c>
      <c r="F327" s="163" t="s">
        <v>619</v>
      </c>
      <c r="G327" s="161" t="s">
        <v>1747</v>
      </c>
    </row>
    <row r="328">
      <c r="A328" s="159" t="s">
        <v>1031</v>
      </c>
      <c r="B328" s="160" t="s">
        <v>169</v>
      </c>
      <c r="C328" s="161" t="s">
        <v>1025</v>
      </c>
      <c r="D328" s="162" t="s">
        <v>1164</v>
      </c>
      <c r="E328" s="161" t="s">
        <v>1729</v>
      </c>
      <c r="F328" s="163" t="s">
        <v>958</v>
      </c>
      <c r="G328" s="161" t="s">
        <v>1750</v>
      </c>
    </row>
    <row r="329">
      <c r="A329" s="159" t="s">
        <v>1031</v>
      </c>
      <c r="B329" s="160" t="s">
        <v>169</v>
      </c>
      <c r="C329" s="161" t="s">
        <v>1025</v>
      </c>
      <c r="D329" s="162" t="s">
        <v>1753</v>
      </c>
      <c r="E329" s="161" t="s">
        <v>1754</v>
      </c>
      <c r="F329" s="163" t="s">
        <v>591</v>
      </c>
      <c r="G329" s="161" t="s">
        <v>1757</v>
      </c>
    </row>
    <row r="330">
      <c r="A330" s="159" t="s">
        <v>1031</v>
      </c>
      <c r="B330" s="160" t="s">
        <v>169</v>
      </c>
      <c r="C330" s="161" t="s">
        <v>1025</v>
      </c>
      <c r="D330" s="162" t="s">
        <v>1753</v>
      </c>
      <c r="E330" s="161" t="s">
        <v>1754</v>
      </c>
      <c r="F330" s="163" t="s">
        <v>553</v>
      </c>
      <c r="G330" s="161" t="s">
        <v>1761</v>
      </c>
    </row>
    <row r="331">
      <c r="A331" s="159" t="s">
        <v>1031</v>
      </c>
      <c r="B331" s="160" t="s">
        <v>169</v>
      </c>
      <c r="C331" s="161" t="s">
        <v>1025</v>
      </c>
      <c r="D331" s="162" t="s">
        <v>1482</v>
      </c>
      <c r="E331" s="161" t="s">
        <v>1483</v>
      </c>
      <c r="F331" s="163" t="s">
        <v>646</v>
      </c>
      <c r="G331" s="161" t="s">
        <v>1765</v>
      </c>
    </row>
    <row r="332">
      <c r="A332" s="159" t="s">
        <v>1031</v>
      </c>
      <c r="B332" s="160" t="s">
        <v>169</v>
      </c>
      <c r="C332" s="161" t="s">
        <v>1025</v>
      </c>
      <c r="D332" s="162" t="s">
        <v>1482</v>
      </c>
      <c r="E332" s="161" t="s">
        <v>1483</v>
      </c>
      <c r="F332" s="163" t="s">
        <v>522</v>
      </c>
      <c r="G332" s="161" t="s">
        <v>1771</v>
      </c>
    </row>
    <row r="333">
      <c r="A333" s="159" t="s">
        <v>1031</v>
      </c>
      <c r="B333" s="160" t="s">
        <v>169</v>
      </c>
      <c r="C333" s="161" t="s">
        <v>1025</v>
      </c>
      <c r="D333" s="162" t="s">
        <v>1482</v>
      </c>
      <c r="E333" s="161" t="s">
        <v>1483</v>
      </c>
      <c r="F333" s="163" t="s">
        <v>799</v>
      </c>
      <c r="G333" s="161" t="s">
        <v>1774</v>
      </c>
    </row>
    <row r="334">
      <c r="A334" s="159" t="s">
        <v>1031</v>
      </c>
      <c r="B334" s="160" t="s">
        <v>169</v>
      </c>
      <c r="C334" s="161" t="s">
        <v>1025</v>
      </c>
      <c r="D334" s="162" t="s">
        <v>1482</v>
      </c>
      <c r="E334" s="161" t="s">
        <v>1483</v>
      </c>
      <c r="F334" s="163" t="s">
        <v>686</v>
      </c>
      <c r="G334" s="161" t="s">
        <v>1778</v>
      </c>
    </row>
    <row r="335">
      <c r="A335" s="159" t="s">
        <v>1031</v>
      </c>
      <c r="B335" s="160" t="s">
        <v>169</v>
      </c>
      <c r="C335" s="161" t="s">
        <v>1025</v>
      </c>
      <c r="D335" s="162" t="s">
        <v>1482</v>
      </c>
      <c r="E335" s="161" t="s">
        <v>1483</v>
      </c>
      <c r="F335" s="163" t="s">
        <v>737</v>
      </c>
      <c r="G335" s="161" t="s">
        <v>1783</v>
      </c>
    </row>
    <row r="336">
      <c r="A336" s="159" t="s">
        <v>1031</v>
      </c>
      <c r="B336" s="160" t="s">
        <v>169</v>
      </c>
      <c r="C336" s="161" t="s">
        <v>1025</v>
      </c>
      <c r="D336" s="162" t="s">
        <v>1482</v>
      </c>
      <c r="E336" s="161" t="s">
        <v>1483</v>
      </c>
      <c r="F336" s="163" t="s">
        <v>926</v>
      </c>
      <c r="G336" s="161" t="s">
        <v>1787</v>
      </c>
    </row>
    <row r="337">
      <c r="A337" s="159" t="s">
        <v>1031</v>
      </c>
      <c r="B337" s="160" t="s">
        <v>169</v>
      </c>
      <c r="C337" s="161" t="s">
        <v>1025</v>
      </c>
      <c r="D337" s="162" t="s">
        <v>1482</v>
      </c>
      <c r="E337" s="161" t="s">
        <v>1483</v>
      </c>
      <c r="F337" s="163" t="s">
        <v>872</v>
      </c>
      <c r="G337" s="161" t="s">
        <v>1484</v>
      </c>
    </row>
    <row r="338">
      <c r="A338" s="159" t="s">
        <v>1031</v>
      </c>
      <c r="B338" s="160" t="s">
        <v>169</v>
      </c>
      <c r="C338" s="161" t="s">
        <v>1025</v>
      </c>
      <c r="D338" s="162" t="s">
        <v>1459</v>
      </c>
      <c r="E338" s="161" t="s">
        <v>1724</v>
      </c>
      <c r="F338" s="163" t="s">
        <v>886</v>
      </c>
      <c r="G338" s="161" t="s">
        <v>1796</v>
      </c>
    </row>
    <row r="339">
      <c r="A339" s="159" t="s">
        <v>1031</v>
      </c>
      <c r="B339" s="160" t="s">
        <v>169</v>
      </c>
      <c r="C339" s="161" t="s">
        <v>1025</v>
      </c>
      <c r="D339" s="162" t="s">
        <v>1459</v>
      </c>
      <c r="E339" s="161" t="s">
        <v>1724</v>
      </c>
      <c r="F339" s="163" t="s">
        <v>583</v>
      </c>
      <c r="G339" s="161" t="s">
        <v>1801</v>
      </c>
    </row>
    <row r="340">
      <c r="A340" s="159" t="s">
        <v>1031</v>
      </c>
      <c r="B340" s="160" t="s">
        <v>169</v>
      </c>
      <c r="C340" s="161" t="s">
        <v>1025</v>
      </c>
      <c r="D340" s="162" t="s">
        <v>1459</v>
      </c>
      <c r="E340" s="161" t="s">
        <v>1724</v>
      </c>
      <c r="F340" s="163" t="s">
        <v>509</v>
      </c>
      <c r="G340" s="161" t="s">
        <v>1807</v>
      </c>
    </row>
    <row r="341">
      <c r="A341" s="159" t="s">
        <v>1031</v>
      </c>
      <c r="B341" s="160" t="s">
        <v>169</v>
      </c>
      <c r="C341" s="161" t="s">
        <v>1025</v>
      </c>
      <c r="D341" s="162" t="s">
        <v>1459</v>
      </c>
      <c r="E341" s="161" t="s">
        <v>1724</v>
      </c>
      <c r="F341" s="163" t="s">
        <v>684</v>
      </c>
      <c r="G341" s="161" t="s">
        <v>1810</v>
      </c>
    </row>
    <row r="342">
      <c r="A342" s="159" t="s">
        <v>1031</v>
      </c>
      <c r="B342" s="160" t="s">
        <v>169</v>
      </c>
      <c r="C342" s="161" t="s">
        <v>1025</v>
      </c>
      <c r="D342" s="162" t="s">
        <v>1459</v>
      </c>
      <c r="E342" s="161" t="s">
        <v>1724</v>
      </c>
      <c r="F342" s="163" t="s">
        <v>679</v>
      </c>
      <c r="G342" s="161" t="s">
        <v>1816</v>
      </c>
    </row>
    <row r="343">
      <c r="A343" s="159" t="s">
        <v>1031</v>
      </c>
      <c r="B343" s="160" t="s">
        <v>169</v>
      </c>
      <c r="C343" s="161" t="s">
        <v>1025</v>
      </c>
      <c r="D343" s="162" t="s">
        <v>1459</v>
      </c>
      <c r="E343" s="161" t="s">
        <v>1724</v>
      </c>
      <c r="F343" s="163" t="s">
        <v>609</v>
      </c>
      <c r="G343" s="161" t="s">
        <v>1820</v>
      </c>
    </row>
    <row r="344">
      <c r="A344" s="165" t="s">
        <v>1044</v>
      </c>
      <c r="B344" s="160" t="s">
        <v>169</v>
      </c>
      <c r="C344" s="161" t="s">
        <v>1025</v>
      </c>
      <c r="D344" s="162" t="s">
        <v>1482</v>
      </c>
      <c r="E344" s="161" t="s">
        <v>1483</v>
      </c>
      <c r="F344" s="163" t="s">
        <v>1007</v>
      </c>
      <c r="G344" s="161" t="s">
        <v>1825</v>
      </c>
    </row>
    <row r="345">
      <c r="A345" s="165" t="s">
        <v>1044</v>
      </c>
      <c r="B345" s="160" t="s">
        <v>169</v>
      </c>
      <c r="C345" s="161" t="s">
        <v>1025</v>
      </c>
      <c r="D345" s="162" t="s">
        <v>1482</v>
      </c>
      <c r="E345" s="161" t="s">
        <v>1483</v>
      </c>
      <c r="F345" s="163" t="s">
        <v>882</v>
      </c>
      <c r="G345" s="161" t="s">
        <v>1830</v>
      </c>
    </row>
    <row r="346">
      <c r="A346" s="165" t="s">
        <v>1044</v>
      </c>
      <c r="B346" s="160" t="s">
        <v>169</v>
      </c>
      <c r="C346" s="161" t="s">
        <v>1025</v>
      </c>
      <c r="D346" s="162" t="s">
        <v>1482</v>
      </c>
      <c r="E346" s="161" t="s">
        <v>1483</v>
      </c>
      <c r="F346" s="163" t="s">
        <v>713</v>
      </c>
      <c r="G346" s="161" t="s">
        <v>1834</v>
      </c>
    </row>
    <row r="347">
      <c r="A347" s="165" t="s">
        <v>1044</v>
      </c>
      <c r="B347" s="160" t="s">
        <v>169</v>
      </c>
      <c r="C347" s="161" t="s">
        <v>1025</v>
      </c>
      <c r="D347" s="162" t="s">
        <v>1482</v>
      </c>
      <c r="E347" s="161" t="s">
        <v>1483</v>
      </c>
      <c r="F347" s="163" t="s">
        <v>913</v>
      </c>
      <c r="G347" s="161" t="s">
        <v>1756</v>
      </c>
    </row>
    <row r="348">
      <c r="A348" s="165" t="s">
        <v>1044</v>
      </c>
      <c r="B348" s="160" t="s">
        <v>159</v>
      </c>
      <c r="C348" s="161" t="s">
        <v>1025</v>
      </c>
      <c r="D348" s="162" t="s">
        <v>1427</v>
      </c>
      <c r="E348" s="161" t="s">
        <v>1428</v>
      </c>
      <c r="F348" s="163" t="s">
        <v>570</v>
      </c>
      <c r="G348" s="161" t="s">
        <v>1841</v>
      </c>
    </row>
    <row r="349">
      <c r="A349" s="165" t="s">
        <v>1044</v>
      </c>
      <c r="B349" s="160" t="s">
        <v>159</v>
      </c>
      <c r="C349" s="161" t="s">
        <v>1025</v>
      </c>
      <c r="D349" s="162" t="s">
        <v>1427</v>
      </c>
      <c r="E349" s="161" t="s">
        <v>1428</v>
      </c>
      <c r="F349" s="163" t="s">
        <v>769</v>
      </c>
      <c r="G349" s="161" t="s">
        <v>1625</v>
      </c>
    </row>
    <row r="350">
      <c r="A350" s="165" t="s">
        <v>1044</v>
      </c>
      <c r="B350" s="160" t="s">
        <v>159</v>
      </c>
      <c r="C350" s="161" t="s">
        <v>1025</v>
      </c>
      <c r="D350" s="162" t="s">
        <v>1427</v>
      </c>
      <c r="E350" s="161" t="s">
        <v>1428</v>
      </c>
      <c r="F350" s="163" t="s">
        <v>1009</v>
      </c>
      <c r="G350" s="161" t="s">
        <v>1430</v>
      </c>
    </row>
    <row r="351">
      <c r="A351" s="165" t="s">
        <v>1044</v>
      </c>
      <c r="B351" s="160" t="s">
        <v>159</v>
      </c>
      <c r="C351" s="161" t="s">
        <v>1025</v>
      </c>
      <c r="D351" s="162" t="s">
        <v>1427</v>
      </c>
      <c r="E351" s="161" t="s">
        <v>1428</v>
      </c>
      <c r="F351" s="163" t="s">
        <v>948</v>
      </c>
      <c r="G351" s="161" t="s">
        <v>1850</v>
      </c>
    </row>
    <row r="352">
      <c r="A352" s="165" t="s">
        <v>1044</v>
      </c>
      <c r="B352" s="160" t="s">
        <v>159</v>
      </c>
      <c r="C352" s="161" t="s">
        <v>1025</v>
      </c>
      <c r="D352" s="162" t="s">
        <v>1427</v>
      </c>
      <c r="E352" s="161" t="s">
        <v>1428</v>
      </c>
      <c r="F352" s="163" t="s">
        <v>969</v>
      </c>
      <c r="G352" s="161" t="s">
        <v>1852</v>
      </c>
    </row>
    <row r="353">
      <c r="A353" s="165" t="s">
        <v>1044</v>
      </c>
      <c r="B353" s="160" t="s">
        <v>159</v>
      </c>
      <c r="C353" s="161" t="s">
        <v>1025</v>
      </c>
      <c r="D353" s="162" t="s">
        <v>1637</v>
      </c>
      <c r="E353" s="161" t="s">
        <v>1639</v>
      </c>
      <c r="F353" s="163" t="s">
        <v>905</v>
      </c>
      <c r="G353" s="161" t="s">
        <v>1642</v>
      </c>
    </row>
    <row r="354">
      <c r="A354" s="165" t="s">
        <v>1044</v>
      </c>
      <c r="B354" s="160" t="s">
        <v>159</v>
      </c>
      <c r="C354" s="161" t="s">
        <v>1025</v>
      </c>
      <c r="D354" s="162" t="s">
        <v>1637</v>
      </c>
      <c r="E354" s="161" t="s">
        <v>1639</v>
      </c>
      <c r="F354" s="163" t="s">
        <v>575</v>
      </c>
      <c r="G354" s="161" t="s">
        <v>1858</v>
      </c>
    </row>
    <row r="355">
      <c r="A355" s="165" t="s">
        <v>1044</v>
      </c>
      <c r="B355" s="160" t="s">
        <v>159</v>
      </c>
      <c r="C355" s="161" t="s">
        <v>1025</v>
      </c>
      <c r="D355" s="162" t="s">
        <v>1637</v>
      </c>
      <c r="E355" s="161" t="s">
        <v>1639</v>
      </c>
      <c r="F355" s="163" t="s">
        <v>660</v>
      </c>
      <c r="G355" s="161" t="s">
        <v>1767</v>
      </c>
    </row>
    <row r="356">
      <c r="A356" s="165" t="s">
        <v>1044</v>
      </c>
      <c r="B356" s="160" t="s">
        <v>159</v>
      </c>
      <c r="C356" s="161" t="s">
        <v>1025</v>
      </c>
      <c r="D356" s="162" t="s">
        <v>1637</v>
      </c>
      <c r="E356" s="161" t="s">
        <v>1639</v>
      </c>
      <c r="F356" s="163" t="s">
        <v>607</v>
      </c>
      <c r="G356" s="161" t="s">
        <v>1866</v>
      </c>
    </row>
    <row r="357">
      <c r="A357" s="165" t="s">
        <v>1044</v>
      </c>
      <c r="B357" s="160" t="s">
        <v>159</v>
      </c>
      <c r="C357" s="161" t="s">
        <v>1025</v>
      </c>
      <c r="D357" s="162" t="s">
        <v>1637</v>
      </c>
      <c r="E357" s="161" t="s">
        <v>1639</v>
      </c>
      <c r="F357" s="163" t="s">
        <v>961</v>
      </c>
      <c r="G357" s="161" t="s">
        <v>1870</v>
      </c>
    </row>
    <row r="358">
      <c r="A358" s="165" t="s">
        <v>1044</v>
      </c>
      <c r="B358" s="160" t="s">
        <v>159</v>
      </c>
      <c r="C358" s="161" t="s">
        <v>1025</v>
      </c>
      <c r="D358" s="162" t="s">
        <v>1637</v>
      </c>
      <c r="E358" s="161" t="s">
        <v>1639</v>
      </c>
      <c r="F358" s="163" t="s">
        <v>572</v>
      </c>
      <c r="G358" s="161" t="s">
        <v>1874</v>
      </c>
    </row>
    <row r="359">
      <c r="A359" s="165" t="s">
        <v>1044</v>
      </c>
      <c r="B359" s="160" t="s">
        <v>159</v>
      </c>
      <c r="C359" s="161" t="s">
        <v>1025</v>
      </c>
      <c r="D359" s="162" t="s">
        <v>1637</v>
      </c>
      <c r="E359" s="161" t="s">
        <v>1639</v>
      </c>
      <c r="F359" s="163" t="s">
        <v>556</v>
      </c>
      <c r="G359" s="161" t="s">
        <v>1880</v>
      </c>
    </row>
    <row r="360">
      <c r="A360" s="165" t="s">
        <v>1044</v>
      </c>
      <c r="B360" s="160" t="s">
        <v>159</v>
      </c>
      <c r="C360" s="161" t="s">
        <v>1025</v>
      </c>
      <c r="D360" s="162" t="s">
        <v>1637</v>
      </c>
      <c r="E360" s="161" t="s">
        <v>1639</v>
      </c>
      <c r="F360" s="163" t="s">
        <v>782</v>
      </c>
      <c r="G360" s="161" t="s">
        <v>1884</v>
      </c>
    </row>
    <row r="361">
      <c r="A361" s="165" t="s">
        <v>1044</v>
      </c>
      <c r="B361" s="160" t="s">
        <v>159</v>
      </c>
      <c r="C361" s="161" t="s">
        <v>1025</v>
      </c>
      <c r="D361" s="162" t="s">
        <v>1637</v>
      </c>
      <c r="E361" s="161" t="s">
        <v>1639</v>
      </c>
      <c r="F361" s="163" t="s">
        <v>526</v>
      </c>
      <c r="G361" s="161" t="s">
        <v>1888</v>
      </c>
    </row>
    <row r="362">
      <c r="A362" s="165" t="s">
        <v>1044</v>
      </c>
      <c r="B362" s="160" t="s">
        <v>159</v>
      </c>
      <c r="C362" s="161" t="s">
        <v>1025</v>
      </c>
      <c r="D362" s="162" t="s">
        <v>1637</v>
      </c>
      <c r="E362" s="161" t="s">
        <v>1639</v>
      </c>
      <c r="F362" s="163" t="s">
        <v>525</v>
      </c>
      <c r="G362" s="161" t="s">
        <v>1893</v>
      </c>
    </row>
    <row r="363">
      <c r="A363" s="165" t="s">
        <v>1044</v>
      </c>
      <c r="B363" s="160" t="s">
        <v>159</v>
      </c>
      <c r="C363" s="161" t="s">
        <v>1025</v>
      </c>
      <c r="D363" s="162" t="s">
        <v>1637</v>
      </c>
      <c r="E363" s="161" t="s">
        <v>1639</v>
      </c>
      <c r="F363" s="163" t="s">
        <v>667</v>
      </c>
      <c r="G363" s="161" t="s">
        <v>1897</v>
      </c>
    </row>
    <row r="364">
      <c r="A364" s="165" t="s">
        <v>1044</v>
      </c>
      <c r="B364" s="160" t="s">
        <v>159</v>
      </c>
      <c r="C364" s="161" t="s">
        <v>1025</v>
      </c>
      <c r="D364" s="162" t="s">
        <v>1637</v>
      </c>
      <c r="E364" s="161" t="s">
        <v>1639</v>
      </c>
      <c r="F364" s="163" t="s">
        <v>687</v>
      </c>
      <c r="G364" s="161" t="s">
        <v>1902</v>
      </c>
    </row>
    <row r="365">
      <c r="A365" s="165" t="s">
        <v>1044</v>
      </c>
      <c r="B365" s="160" t="s">
        <v>159</v>
      </c>
      <c r="C365" s="161" t="s">
        <v>1025</v>
      </c>
      <c r="D365" s="162" t="s">
        <v>1637</v>
      </c>
      <c r="E365" s="161" t="s">
        <v>1639</v>
      </c>
      <c r="F365" s="163" t="s">
        <v>554</v>
      </c>
      <c r="G365" s="161" t="s">
        <v>1906</v>
      </c>
    </row>
    <row r="366">
      <c r="A366" s="165" t="s">
        <v>1044</v>
      </c>
      <c r="B366" s="160" t="s">
        <v>159</v>
      </c>
      <c r="C366" s="161" t="s">
        <v>1025</v>
      </c>
      <c r="D366" s="162" t="s">
        <v>1637</v>
      </c>
      <c r="E366" s="161" t="s">
        <v>1639</v>
      </c>
      <c r="F366" s="163" t="s">
        <v>558</v>
      </c>
      <c r="G366" s="161" t="s">
        <v>1910</v>
      </c>
    </row>
    <row r="367">
      <c r="A367" s="165" t="s">
        <v>1044</v>
      </c>
      <c r="B367" s="160" t="s">
        <v>159</v>
      </c>
      <c r="C367" s="161" t="s">
        <v>1025</v>
      </c>
      <c r="D367" s="162" t="s">
        <v>1637</v>
      </c>
      <c r="E367" s="161" t="s">
        <v>1639</v>
      </c>
      <c r="F367" s="163" t="s">
        <v>663</v>
      </c>
      <c r="G367" s="161" t="s">
        <v>1915</v>
      </c>
    </row>
    <row r="368">
      <c r="A368" s="165" t="s">
        <v>1044</v>
      </c>
      <c r="B368" s="160" t="s">
        <v>159</v>
      </c>
      <c r="C368" s="161" t="s">
        <v>1025</v>
      </c>
      <c r="D368" s="162" t="s">
        <v>1637</v>
      </c>
      <c r="E368" s="161" t="s">
        <v>1639</v>
      </c>
      <c r="F368" s="163" t="s">
        <v>542</v>
      </c>
      <c r="G368" s="161" t="s">
        <v>1919</v>
      </c>
    </row>
    <row r="369">
      <c r="A369" s="165" t="s">
        <v>1044</v>
      </c>
      <c r="B369" s="160" t="s">
        <v>159</v>
      </c>
      <c r="C369" s="161" t="s">
        <v>1025</v>
      </c>
      <c r="D369" s="162" t="s">
        <v>1924</v>
      </c>
      <c r="E369" s="161" t="s">
        <v>1925</v>
      </c>
      <c r="F369" s="163" t="s">
        <v>681</v>
      </c>
      <c r="G369" s="161" t="s">
        <v>1927</v>
      </c>
    </row>
    <row r="370">
      <c r="A370" s="165" t="s">
        <v>1044</v>
      </c>
      <c r="B370" s="160" t="s">
        <v>159</v>
      </c>
      <c r="C370" s="161" t="s">
        <v>1025</v>
      </c>
      <c r="D370" s="162" t="s">
        <v>1924</v>
      </c>
      <c r="E370" s="161" t="s">
        <v>1925</v>
      </c>
      <c r="F370" s="163" t="s">
        <v>705</v>
      </c>
      <c r="G370" s="161" t="s">
        <v>1931</v>
      </c>
    </row>
    <row r="371">
      <c r="A371" s="165" t="s">
        <v>1044</v>
      </c>
      <c r="B371" s="160" t="s">
        <v>159</v>
      </c>
      <c r="C371" s="161" t="s">
        <v>1025</v>
      </c>
      <c r="D371" s="162" t="s">
        <v>1924</v>
      </c>
      <c r="E371" s="161" t="s">
        <v>1925</v>
      </c>
      <c r="F371" s="163" t="s">
        <v>1935</v>
      </c>
      <c r="G371" s="161" t="s">
        <v>1936</v>
      </c>
    </row>
    <row r="372">
      <c r="A372" s="165" t="s">
        <v>1044</v>
      </c>
      <c r="B372" s="160" t="s">
        <v>159</v>
      </c>
      <c r="C372" s="161" t="s">
        <v>1025</v>
      </c>
      <c r="D372" s="162" t="s">
        <v>1503</v>
      </c>
      <c r="E372" s="161" t="s">
        <v>1504</v>
      </c>
      <c r="F372" s="163" t="s">
        <v>734</v>
      </c>
      <c r="G372" s="161" t="s">
        <v>1941</v>
      </c>
    </row>
    <row r="373">
      <c r="A373" s="165" t="s">
        <v>1044</v>
      </c>
      <c r="B373" s="160" t="s">
        <v>159</v>
      </c>
      <c r="C373" s="161" t="s">
        <v>1025</v>
      </c>
      <c r="D373" s="162" t="s">
        <v>1503</v>
      </c>
      <c r="E373" s="161" t="s">
        <v>1504</v>
      </c>
      <c r="F373" s="163" t="s">
        <v>712</v>
      </c>
      <c r="G373" s="161" t="s">
        <v>1944</v>
      </c>
    </row>
    <row r="374">
      <c r="A374" s="165" t="s">
        <v>1044</v>
      </c>
      <c r="B374" s="160" t="s">
        <v>159</v>
      </c>
      <c r="C374" s="161" t="s">
        <v>1025</v>
      </c>
      <c r="D374" s="162" t="s">
        <v>1503</v>
      </c>
      <c r="E374" s="161" t="s">
        <v>1504</v>
      </c>
      <c r="F374" s="163" t="s">
        <v>807</v>
      </c>
      <c r="G374" s="161" t="s">
        <v>1505</v>
      </c>
    </row>
    <row r="375">
      <c r="A375" s="165" t="s">
        <v>1044</v>
      </c>
      <c r="B375" s="160" t="s">
        <v>159</v>
      </c>
      <c r="C375" s="161" t="s">
        <v>1025</v>
      </c>
      <c r="D375" s="162" t="s">
        <v>1503</v>
      </c>
      <c r="E375" s="161" t="s">
        <v>1504</v>
      </c>
      <c r="F375" s="163" t="s">
        <v>788</v>
      </c>
      <c r="G375" s="161" t="s">
        <v>1952</v>
      </c>
    </row>
    <row r="376">
      <c r="A376" s="165" t="s">
        <v>1044</v>
      </c>
      <c r="B376" s="160" t="s">
        <v>159</v>
      </c>
      <c r="C376" s="161" t="s">
        <v>1025</v>
      </c>
      <c r="D376" s="162" t="s">
        <v>1503</v>
      </c>
      <c r="E376" s="161" t="s">
        <v>1504</v>
      </c>
      <c r="F376" s="163" t="s">
        <v>907</v>
      </c>
      <c r="G376" s="161" t="s">
        <v>1956</v>
      </c>
    </row>
    <row r="377">
      <c r="A377" s="165" t="s">
        <v>1044</v>
      </c>
      <c r="B377" s="160" t="s">
        <v>60</v>
      </c>
      <c r="C377" s="161" t="s">
        <v>1025</v>
      </c>
      <c r="D377" s="162" t="s">
        <v>1130</v>
      </c>
      <c r="E377" s="161" t="s">
        <v>1131</v>
      </c>
      <c r="F377" s="163" t="s">
        <v>1132</v>
      </c>
      <c r="G377" s="161" t="s">
        <v>1133</v>
      </c>
    </row>
    <row r="378">
      <c r="A378" s="165" t="s">
        <v>1044</v>
      </c>
      <c r="B378" s="160" t="s">
        <v>60</v>
      </c>
      <c r="C378" s="161" t="s">
        <v>1025</v>
      </c>
      <c r="D378" s="162" t="s">
        <v>1130</v>
      </c>
      <c r="E378" s="161" t="s">
        <v>1131</v>
      </c>
      <c r="F378" s="163" t="s">
        <v>1964</v>
      </c>
      <c r="G378" s="161" t="s">
        <v>1965</v>
      </c>
    </row>
    <row r="379">
      <c r="A379" s="165" t="s">
        <v>1044</v>
      </c>
      <c r="B379" s="160" t="s">
        <v>60</v>
      </c>
      <c r="C379" s="161" t="s">
        <v>1025</v>
      </c>
      <c r="D379" s="162" t="s">
        <v>1130</v>
      </c>
      <c r="E379" s="161" t="s">
        <v>1131</v>
      </c>
      <c r="F379" s="163" t="s">
        <v>1969</v>
      </c>
      <c r="G379" s="161" t="s">
        <v>1970</v>
      </c>
    </row>
    <row r="380">
      <c r="A380" s="165" t="s">
        <v>1044</v>
      </c>
      <c r="B380" s="160" t="s">
        <v>60</v>
      </c>
      <c r="C380" s="161" t="s">
        <v>1025</v>
      </c>
      <c r="D380" s="162" t="s">
        <v>1130</v>
      </c>
      <c r="E380" s="161" t="s">
        <v>1131</v>
      </c>
      <c r="F380" s="163" t="s">
        <v>1974</v>
      </c>
      <c r="G380" s="161" t="s">
        <v>1975</v>
      </c>
    </row>
    <row r="381">
      <c r="A381" s="165" t="s">
        <v>1044</v>
      </c>
      <c r="B381" s="160" t="s">
        <v>60</v>
      </c>
      <c r="C381" s="161" t="s">
        <v>1025</v>
      </c>
      <c r="D381" s="162" t="s">
        <v>1130</v>
      </c>
      <c r="E381" s="161" t="s">
        <v>1131</v>
      </c>
      <c r="F381" s="163" t="s">
        <v>1977</v>
      </c>
      <c r="G381" s="161" t="s">
        <v>1978</v>
      </c>
    </row>
    <row r="382">
      <c r="A382" s="165" t="s">
        <v>1044</v>
      </c>
      <c r="B382" s="160" t="s">
        <v>60</v>
      </c>
      <c r="C382" s="161" t="s">
        <v>1025</v>
      </c>
      <c r="D382" s="162" t="s">
        <v>1130</v>
      </c>
      <c r="E382" s="161" t="s">
        <v>1131</v>
      </c>
      <c r="F382" s="163" t="s">
        <v>1982</v>
      </c>
      <c r="G382" s="161" t="s">
        <v>1984</v>
      </c>
    </row>
    <row r="383">
      <c r="A383" s="165" t="s">
        <v>1044</v>
      </c>
      <c r="B383" s="160" t="s">
        <v>60</v>
      </c>
      <c r="C383" s="161" t="s">
        <v>1025</v>
      </c>
      <c r="D383" s="162" t="s">
        <v>1130</v>
      </c>
      <c r="E383" s="161" t="s">
        <v>1131</v>
      </c>
      <c r="F383" s="163" t="s">
        <v>1988</v>
      </c>
      <c r="G383" s="161" t="s">
        <v>1989</v>
      </c>
    </row>
    <row r="384">
      <c r="A384" s="165" t="s">
        <v>1044</v>
      </c>
      <c r="B384" s="160" t="s">
        <v>60</v>
      </c>
      <c r="C384" s="161" t="s">
        <v>1025</v>
      </c>
      <c r="D384" s="162" t="s">
        <v>1259</v>
      </c>
      <c r="E384" s="161" t="s">
        <v>1260</v>
      </c>
      <c r="F384" s="163" t="s">
        <v>822</v>
      </c>
      <c r="G384" s="161" t="s">
        <v>1261</v>
      </c>
    </row>
    <row r="385">
      <c r="A385" s="165" t="s">
        <v>1044</v>
      </c>
      <c r="B385" s="160" t="s">
        <v>60</v>
      </c>
      <c r="C385" s="161" t="s">
        <v>1025</v>
      </c>
      <c r="D385" s="162" t="s">
        <v>1259</v>
      </c>
      <c r="E385" s="161" t="s">
        <v>1260</v>
      </c>
      <c r="F385" s="163" t="s">
        <v>1998</v>
      </c>
      <c r="G385" s="161" t="s">
        <v>2000</v>
      </c>
    </row>
    <row r="386">
      <c r="A386" s="165" t="s">
        <v>1044</v>
      </c>
      <c r="B386" s="160" t="s">
        <v>60</v>
      </c>
      <c r="C386" s="161" t="s">
        <v>1025</v>
      </c>
      <c r="D386" s="162" t="s">
        <v>1535</v>
      </c>
      <c r="E386" s="161" t="s">
        <v>1536</v>
      </c>
      <c r="F386" s="163" t="s">
        <v>906</v>
      </c>
      <c r="G386" s="161" t="s">
        <v>1537</v>
      </c>
    </row>
    <row r="387">
      <c r="A387" s="165" t="s">
        <v>1044</v>
      </c>
      <c r="B387" s="160" t="s">
        <v>78</v>
      </c>
      <c r="C387" s="161" t="s">
        <v>1025</v>
      </c>
      <c r="D387" s="162" t="s">
        <v>1074</v>
      </c>
      <c r="E387" s="161" t="s">
        <v>1315</v>
      </c>
      <c r="F387" s="163" t="s">
        <v>796</v>
      </c>
      <c r="G387" s="161" t="s">
        <v>2012</v>
      </c>
    </row>
    <row r="388">
      <c r="A388" s="165" t="s">
        <v>1044</v>
      </c>
      <c r="B388" s="160" t="s">
        <v>78</v>
      </c>
      <c r="C388" s="161" t="s">
        <v>1025</v>
      </c>
      <c r="D388" s="162" t="s">
        <v>1074</v>
      </c>
      <c r="E388" s="161" t="s">
        <v>1315</v>
      </c>
      <c r="F388" s="163" t="s">
        <v>610</v>
      </c>
      <c r="G388" s="161" t="s">
        <v>2017</v>
      </c>
    </row>
    <row r="389">
      <c r="A389" s="165" t="s">
        <v>1044</v>
      </c>
      <c r="B389" s="160" t="s">
        <v>78</v>
      </c>
      <c r="C389" s="161" t="s">
        <v>1025</v>
      </c>
      <c r="D389" s="162" t="s">
        <v>1074</v>
      </c>
      <c r="E389" s="161" t="s">
        <v>1315</v>
      </c>
      <c r="F389" s="163" t="s">
        <v>932</v>
      </c>
      <c r="G389" s="161" t="s">
        <v>1316</v>
      </c>
    </row>
    <row r="390">
      <c r="A390" s="165" t="s">
        <v>1044</v>
      </c>
      <c r="B390" s="160" t="s">
        <v>78</v>
      </c>
      <c r="C390" s="161" t="s">
        <v>1025</v>
      </c>
      <c r="D390" s="162" t="s">
        <v>1074</v>
      </c>
      <c r="E390" s="161" t="s">
        <v>1315</v>
      </c>
      <c r="F390" s="163" t="s">
        <v>651</v>
      </c>
      <c r="G390" s="161" t="s">
        <v>2027</v>
      </c>
    </row>
    <row r="391">
      <c r="A391" s="165" t="s">
        <v>1044</v>
      </c>
      <c r="B391" s="160" t="s">
        <v>78</v>
      </c>
      <c r="C391" s="161" t="s">
        <v>1025</v>
      </c>
      <c r="D391" s="162" t="s">
        <v>1074</v>
      </c>
      <c r="E391" s="161" t="s">
        <v>1315</v>
      </c>
      <c r="F391" s="163" t="s">
        <v>875</v>
      </c>
      <c r="G391" s="161" t="s">
        <v>1779</v>
      </c>
    </row>
    <row r="392">
      <c r="A392" s="165" t="s">
        <v>1044</v>
      </c>
      <c r="B392" s="160" t="s">
        <v>78</v>
      </c>
      <c r="C392" s="161" t="s">
        <v>1025</v>
      </c>
      <c r="D392" s="162" t="s">
        <v>1074</v>
      </c>
      <c r="E392" s="161" t="s">
        <v>1315</v>
      </c>
      <c r="F392" s="163" t="s">
        <v>854</v>
      </c>
      <c r="G392" s="161" t="s">
        <v>1436</v>
      </c>
    </row>
    <row r="393">
      <c r="A393" s="165" t="s">
        <v>1044</v>
      </c>
      <c r="B393" s="160" t="s">
        <v>78</v>
      </c>
      <c r="C393" s="161" t="s">
        <v>1025</v>
      </c>
      <c r="D393" s="162" t="s">
        <v>1074</v>
      </c>
      <c r="E393" s="161" t="s">
        <v>1315</v>
      </c>
      <c r="F393" s="163" t="s">
        <v>2040</v>
      </c>
      <c r="G393" s="161" t="s">
        <v>2041</v>
      </c>
    </row>
    <row r="394">
      <c r="A394" s="165" t="s">
        <v>1044</v>
      </c>
      <c r="B394" s="160" t="s">
        <v>78</v>
      </c>
      <c r="C394" s="161" t="s">
        <v>1025</v>
      </c>
      <c r="D394" s="162" t="s">
        <v>1074</v>
      </c>
      <c r="E394" s="161" t="s">
        <v>1315</v>
      </c>
      <c r="F394" s="163" t="s">
        <v>768</v>
      </c>
      <c r="G394" s="161" t="s">
        <v>1441</v>
      </c>
    </row>
    <row r="395">
      <c r="A395" s="165" t="s">
        <v>1044</v>
      </c>
      <c r="B395" s="160" t="s">
        <v>78</v>
      </c>
      <c r="C395" s="161" t="s">
        <v>1025</v>
      </c>
      <c r="D395" s="162" t="s">
        <v>1074</v>
      </c>
      <c r="E395" s="161" t="s">
        <v>1315</v>
      </c>
      <c r="F395" s="163" t="s">
        <v>835</v>
      </c>
      <c r="G395" s="161" t="s">
        <v>1509</v>
      </c>
    </row>
    <row r="396">
      <c r="A396" s="165" t="s">
        <v>1044</v>
      </c>
      <c r="B396" s="160" t="s">
        <v>78</v>
      </c>
      <c r="C396" s="161" t="s">
        <v>1025</v>
      </c>
      <c r="D396" s="162" t="s">
        <v>1074</v>
      </c>
      <c r="E396" s="161" t="s">
        <v>1315</v>
      </c>
      <c r="F396" s="163" t="s">
        <v>968</v>
      </c>
      <c r="G396" s="161" t="s">
        <v>1539</v>
      </c>
    </row>
    <row r="397">
      <c r="A397" s="165" t="s">
        <v>1044</v>
      </c>
      <c r="B397" s="160" t="s">
        <v>78</v>
      </c>
      <c r="C397" s="161" t="s">
        <v>1025</v>
      </c>
      <c r="D397" s="162" t="s">
        <v>1074</v>
      </c>
      <c r="E397" s="161" t="s">
        <v>1315</v>
      </c>
      <c r="F397" s="163" t="s">
        <v>995</v>
      </c>
      <c r="G397" s="161" t="s">
        <v>2053</v>
      </c>
    </row>
    <row r="398">
      <c r="A398" s="165" t="s">
        <v>1044</v>
      </c>
      <c r="B398" s="160" t="s">
        <v>78</v>
      </c>
      <c r="C398" s="161" t="s">
        <v>1025</v>
      </c>
      <c r="D398" s="162" t="s">
        <v>1136</v>
      </c>
      <c r="E398" s="161" t="s">
        <v>1138</v>
      </c>
      <c r="F398" s="163" t="s">
        <v>815</v>
      </c>
      <c r="G398" s="161" t="s">
        <v>1263</v>
      </c>
    </row>
    <row r="399">
      <c r="A399" s="165" t="s">
        <v>1044</v>
      </c>
      <c r="B399" s="160" t="s">
        <v>78</v>
      </c>
      <c r="C399" s="161" t="s">
        <v>1025</v>
      </c>
      <c r="D399" s="162" t="s">
        <v>1136</v>
      </c>
      <c r="E399" s="161" t="s">
        <v>1138</v>
      </c>
      <c r="F399" s="163" t="s">
        <v>834</v>
      </c>
      <c r="G399" s="161" t="s">
        <v>2060</v>
      </c>
    </row>
    <row r="400">
      <c r="A400" s="165" t="s">
        <v>1044</v>
      </c>
      <c r="B400" s="160" t="s">
        <v>78</v>
      </c>
      <c r="C400" s="161" t="s">
        <v>1025</v>
      </c>
      <c r="D400" s="162" t="s">
        <v>1136</v>
      </c>
      <c r="E400" s="161" t="s">
        <v>1138</v>
      </c>
      <c r="F400" s="163" t="s">
        <v>2061</v>
      </c>
      <c r="G400" s="161" t="s">
        <v>2062</v>
      </c>
    </row>
    <row r="401">
      <c r="A401" s="165" t="s">
        <v>1044</v>
      </c>
      <c r="B401" s="160" t="s">
        <v>78</v>
      </c>
      <c r="C401" s="161" t="s">
        <v>1025</v>
      </c>
      <c r="D401" s="162" t="s">
        <v>1136</v>
      </c>
      <c r="E401" s="161" t="s">
        <v>1138</v>
      </c>
      <c r="F401" s="163" t="s">
        <v>2065</v>
      </c>
      <c r="G401" s="161" t="s">
        <v>2067</v>
      </c>
    </row>
    <row r="402">
      <c r="A402" s="165" t="s">
        <v>1044</v>
      </c>
      <c r="B402" s="160" t="s">
        <v>78</v>
      </c>
      <c r="C402" s="161" t="s">
        <v>1025</v>
      </c>
      <c r="D402" s="162" t="s">
        <v>1136</v>
      </c>
      <c r="E402" s="161" t="s">
        <v>1138</v>
      </c>
      <c r="F402" s="163" t="s">
        <v>2070</v>
      </c>
      <c r="G402" s="161" t="s">
        <v>2073</v>
      </c>
    </row>
    <row r="403">
      <c r="A403" s="165" t="s">
        <v>1044</v>
      </c>
      <c r="B403" s="160" t="s">
        <v>78</v>
      </c>
      <c r="C403" s="161" t="s">
        <v>1025</v>
      </c>
      <c r="D403" s="162" t="s">
        <v>1136</v>
      </c>
      <c r="E403" s="161" t="s">
        <v>1138</v>
      </c>
      <c r="F403" s="163" t="s">
        <v>750</v>
      </c>
      <c r="G403" s="161" t="s">
        <v>1317</v>
      </c>
    </row>
    <row r="404">
      <c r="A404" s="165" t="s">
        <v>1044</v>
      </c>
      <c r="B404" s="160" t="s">
        <v>78</v>
      </c>
      <c r="C404" s="161" t="s">
        <v>1025</v>
      </c>
      <c r="D404" s="162" t="s">
        <v>1136</v>
      </c>
      <c r="E404" s="161" t="s">
        <v>1138</v>
      </c>
      <c r="F404" s="163" t="s">
        <v>941</v>
      </c>
      <c r="G404" s="161" t="s">
        <v>1543</v>
      </c>
    </row>
    <row r="405">
      <c r="A405" s="165" t="s">
        <v>1044</v>
      </c>
      <c r="B405" s="160" t="s">
        <v>78</v>
      </c>
      <c r="C405" s="161" t="s">
        <v>1025</v>
      </c>
      <c r="D405" s="162" t="s">
        <v>1136</v>
      </c>
      <c r="E405" s="161" t="s">
        <v>1138</v>
      </c>
      <c r="F405" s="163" t="s">
        <v>916</v>
      </c>
      <c r="G405" s="161" t="s">
        <v>1139</v>
      </c>
    </row>
    <row r="406">
      <c r="A406" s="165" t="s">
        <v>1044</v>
      </c>
      <c r="B406" s="160" t="s">
        <v>78</v>
      </c>
      <c r="C406" s="161" t="s">
        <v>1025</v>
      </c>
      <c r="D406" s="162" t="s">
        <v>1136</v>
      </c>
      <c r="E406" s="161" t="s">
        <v>1138</v>
      </c>
      <c r="F406" s="163" t="s">
        <v>674</v>
      </c>
      <c r="G406" s="161" t="s">
        <v>1360</v>
      </c>
    </row>
    <row r="407">
      <c r="A407" s="165" t="s">
        <v>1044</v>
      </c>
      <c r="B407" s="160" t="s">
        <v>78</v>
      </c>
      <c r="C407" s="161" t="s">
        <v>1025</v>
      </c>
      <c r="D407" s="162" t="s">
        <v>1136</v>
      </c>
      <c r="E407" s="161" t="s">
        <v>1138</v>
      </c>
      <c r="F407" s="163" t="s">
        <v>709</v>
      </c>
      <c r="G407" s="161" t="s">
        <v>1319</v>
      </c>
    </row>
    <row r="408">
      <c r="A408" s="165" t="s">
        <v>1044</v>
      </c>
      <c r="B408" s="160" t="s">
        <v>78</v>
      </c>
      <c r="C408" s="161" t="s">
        <v>1025</v>
      </c>
      <c r="D408" s="162" t="s">
        <v>1143</v>
      </c>
      <c r="E408" s="161" t="s">
        <v>1144</v>
      </c>
      <c r="F408" s="163" t="s">
        <v>855</v>
      </c>
      <c r="G408" s="161" t="s">
        <v>1145</v>
      </c>
    </row>
    <row r="409">
      <c r="A409" s="165" t="s">
        <v>1044</v>
      </c>
      <c r="B409" s="160" t="s">
        <v>78</v>
      </c>
      <c r="C409" s="161" t="s">
        <v>1025</v>
      </c>
      <c r="D409" s="162" t="s">
        <v>1143</v>
      </c>
      <c r="E409" s="161" t="s">
        <v>1144</v>
      </c>
      <c r="F409" s="163" t="s">
        <v>746</v>
      </c>
      <c r="G409" s="161" t="s">
        <v>1443</v>
      </c>
    </row>
    <row r="410">
      <c r="A410" s="165" t="s">
        <v>1044</v>
      </c>
      <c r="B410" s="160" t="s">
        <v>78</v>
      </c>
      <c r="C410" s="161" t="s">
        <v>1025</v>
      </c>
      <c r="D410" s="162" t="s">
        <v>1143</v>
      </c>
      <c r="E410" s="161" t="s">
        <v>1144</v>
      </c>
      <c r="F410" s="163" t="s">
        <v>959</v>
      </c>
      <c r="G410" s="161" t="s">
        <v>2101</v>
      </c>
    </row>
    <row r="411">
      <c r="A411" s="165" t="s">
        <v>1044</v>
      </c>
      <c r="B411" s="160" t="s">
        <v>78</v>
      </c>
      <c r="C411" s="161" t="s">
        <v>1025</v>
      </c>
      <c r="D411" s="162" t="s">
        <v>1143</v>
      </c>
      <c r="E411" s="161" t="s">
        <v>1144</v>
      </c>
      <c r="F411" s="163" t="s">
        <v>658</v>
      </c>
      <c r="G411" s="161" t="s">
        <v>2106</v>
      </c>
    </row>
    <row r="412">
      <c r="A412" s="165" t="s">
        <v>1044</v>
      </c>
      <c r="B412" s="160" t="s">
        <v>78</v>
      </c>
      <c r="C412" s="161" t="s">
        <v>1025</v>
      </c>
      <c r="D412" s="162" t="s">
        <v>1143</v>
      </c>
      <c r="E412" s="161" t="s">
        <v>1144</v>
      </c>
      <c r="F412" s="163" t="s">
        <v>862</v>
      </c>
      <c r="G412" s="161" t="s">
        <v>1265</v>
      </c>
    </row>
    <row r="413">
      <c r="A413" s="165" t="s">
        <v>1044</v>
      </c>
      <c r="B413" s="160" t="s">
        <v>78</v>
      </c>
      <c r="C413" s="161" t="s">
        <v>1025</v>
      </c>
      <c r="D413" s="162" t="s">
        <v>1143</v>
      </c>
      <c r="E413" s="161" t="s">
        <v>1144</v>
      </c>
      <c r="F413" s="163" t="s">
        <v>715</v>
      </c>
      <c r="G413" s="161" t="s">
        <v>2116</v>
      </c>
    </row>
    <row r="414">
      <c r="A414" s="165" t="s">
        <v>1044</v>
      </c>
      <c r="B414" s="160" t="s">
        <v>78</v>
      </c>
      <c r="C414" s="161" t="s">
        <v>1025</v>
      </c>
      <c r="D414" s="162" t="s">
        <v>1143</v>
      </c>
      <c r="E414" s="161" t="s">
        <v>1144</v>
      </c>
      <c r="F414" s="163" t="s">
        <v>917</v>
      </c>
      <c r="G414" s="161" t="s">
        <v>2121</v>
      </c>
    </row>
    <row r="415">
      <c r="A415" s="165" t="s">
        <v>1044</v>
      </c>
      <c r="B415" s="160" t="s">
        <v>78</v>
      </c>
      <c r="C415" s="161" t="s">
        <v>1025</v>
      </c>
      <c r="D415" s="162" t="s">
        <v>1089</v>
      </c>
      <c r="E415" s="161" t="s">
        <v>1147</v>
      </c>
      <c r="F415" s="163" t="s">
        <v>794</v>
      </c>
      <c r="G415" s="161" t="s">
        <v>1148</v>
      </c>
    </row>
    <row r="416">
      <c r="A416" s="165" t="s">
        <v>1044</v>
      </c>
      <c r="B416" s="160" t="s">
        <v>78</v>
      </c>
      <c r="C416" s="161" t="s">
        <v>1025</v>
      </c>
      <c r="D416" s="162" t="s">
        <v>1089</v>
      </c>
      <c r="E416" s="161" t="s">
        <v>1147</v>
      </c>
      <c r="F416" s="163" t="s">
        <v>885</v>
      </c>
      <c r="G416" s="161" t="s">
        <v>1363</v>
      </c>
    </row>
    <row r="417">
      <c r="A417" s="165" t="s">
        <v>1044</v>
      </c>
      <c r="B417" s="160" t="s">
        <v>78</v>
      </c>
      <c r="C417" s="161" t="s">
        <v>1025</v>
      </c>
      <c r="D417" s="162" t="s">
        <v>1089</v>
      </c>
      <c r="E417" s="161" t="s">
        <v>1147</v>
      </c>
      <c r="F417" s="163" t="s">
        <v>937</v>
      </c>
      <c r="G417" s="161" t="s">
        <v>1364</v>
      </c>
    </row>
    <row r="418">
      <c r="A418" s="165" t="s">
        <v>1044</v>
      </c>
      <c r="B418" s="160" t="s">
        <v>78</v>
      </c>
      <c r="C418" s="161" t="s">
        <v>1025</v>
      </c>
      <c r="D418" s="162" t="s">
        <v>1089</v>
      </c>
      <c r="E418" s="161" t="s">
        <v>1147</v>
      </c>
      <c r="F418" s="163" t="s">
        <v>753</v>
      </c>
      <c r="G418" s="161" t="s">
        <v>1548</v>
      </c>
    </row>
    <row r="419">
      <c r="A419" s="165" t="s">
        <v>1044</v>
      </c>
      <c r="B419" s="160" t="s">
        <v>78</v>
      </c>
      <c r="C419" s="161" t="s">
        <v>1025</v>
      </c>
      <c r="D419" s="162" t="s">
        <v>1089</v>
      </c>
      <c r="E419" s="161" t="s">
        <v>1147</v>
      </c>
      <c r="F419" s="163" t="s">
        <v>848</v>
      </c>
      <c r="G419" s="161" t="s">
        <v>1321</v>
      </c>
    </row>
    <row r="420">
      <c r="A420" s="165" t="s">
        <v>1044</v>
      </c>
      <c r="B420" s="160" t="s">
        <v>78</v>
      </c>
      <c r="C420" s="161" t="s">
        <v>1025</v>
      </c>
      <c r="D420" s="162" t="s">
        <v>1089</v>
      </c>
      <c r="E420" s="161" t="s">
        <v>1147</v>
      </c>
      <c r="F420" s="163" t="s">
        <v>2147</v>
      </c>
      <c r="G420" s="161" t="s">
        <v>2149</v>
      </c>
    </row>
    <row r="421">
      <c r="A421" s="165" t="s">
        <v>1044</v>
      </c>
      <c r="B421" s="160" t="s">
        <v>78</v>
      </c>
      <c r="C421" s="161" t="s">
        <v>1025</v>
      </c>
      <c r="D421" s="162" t="s">
        <v>1089</v>
      </c>
      <c r="E421" s="161" t="s">
        <v>1147</v>
      </c>
      <c r="F421" s="163" t="s">
        <v>670</v>
      </c>
      <c r="G421" s="161" t="s">
        <v>2155</v>
      </c>
    </row>
    <row r="422">
      <c r="A422" s="165" t="s">
        <v>1044</v>
      </c>
      <c r="B422" s="160" t="s">
        <v>78</v>
      </c>
      <c r="C422" s="161" t="s">
        <v>1025</v>
      </c>
      <c r="D422" s="162" t="s">
        <v>1089</v>
      </c>
      <c r="E422" s="161" t="s">
        <v>1147</v>
      </c>
      <c r="F422" s="163" t="s">
        <v>893</v>
      </c>
      <c r="G422" s="161" t="s">
        <v>1269</v>
      </c>
    </row>
    <row r="423">
      <c r="A423" s="165" t="s">
        <v>1044</v>
      </c>
      <c r="B423" s="160" t="s">
        <v>78</v>
      </c>
      <c r="C423" s="161" t="s">
        <v>1025</v>
      </c>
      <c r="D423" s="162" t="s">
        <v>1089</v>
      </c>
      <c r="E423" s="161" t="s">
        <v>1147</v>
      </c>
      <c r="F423" s="163" t="s">
        <v>719</v>
      </c>
      <c r="G423" s="161" t="s">
        <v>2160</v>
      </c>
    </row>
    <row r="424">
      <c r="A424" s="165" t="s">
        <v>1044</v>
      </c>
      <c r="B424" s="160" t="s">
        <v>78</v>
      </c>
      <c r="C424" s="161" t="s">
        <v>1025</v>
      </c>
      <c r="D424" s="162" t="s">
        <v>1089</v>
      </c>
      <c r="E424" s="161" t="s">
        <v>1147</v>
      </c>
      <c r="F424" s="163" t="s">
        <v>642</v>
      </c>
      <c r="G424" s="161" t="s">
        <v>2165</v>
      </c>
    </row>
    <row r="425">
      <c r="A425" s="165" t="s">
        <v>1044</v>
      </c>
      <c r="B425" s="160" t="s">
        <v>78</v>
      </c>
      <c r="C425" s="161" t="s">
        <v>1025</v>
      </c>
      <c r="D425" s="162" t="s">
        <v>1089</v>
      </c>
      <c r="E425" s="161" t="s">
        <v>1147</v>
      </c>
      <c r="F425" s="163" t="s">
        <v>2168</v>
      </c>
      <c r="G425" s="161" t="s">
        <v>2170</v>
      </c>
    </row>
    <row r="426">
      <c r="A426" s="165" t="s">
        <v>1044</v>
      </c>
      <c r="B426" s="160" t="s">
        <v>78</v>
      </c>
      <c r="C426" s="161" t="s">
        <v>1025</v>
      </c>
      <c r="D426" s="162" t="s">
        <v>1089</v>
      </c>
      <c r="E426" s="161" t="s">
        <v>1147</v>
      </c>
      <c r="F426" s="163" t="s">
        <v>2174</v>
      </c>
      <c r="G426" s="161" t="s">
        <v>2175</v>
      </c>
    </row>
    <row r="427">
      <c r="A427" s="165" t="s">
        <v>1044</v>
      </c>
      <c r="B427" s="160" t="s">
        <v>78</v>
      </c>
      <c r="C427" s="161" t="s">
        <v>1025</v>
      </c>
      <c r="D427" s="162" t="s">
        <v>1089</v>
      </c>
      <c r="E427" s="161" t="s">
        <v>1147</v>
      </c>
      <c r="F427" s="163" t="s">
        <v>837</v>
      </c>
      <c r="G427" s="161" t="s">
        <v>1513</v>
      </c>
    </row>
    <row r="428">
      <c r="A428" s="165" t="s">
        <v>1044</v>
      </c>
      <c r="B428" s="160" t="s">
        <v>78</v>
      </c>
      <c r="C428" s="161" t="s">
        <v>1025</v>
      </c>
      <c r="D428" s="162" t="s">
        <v>1089</v>
      </c>
      <c r="E428" s="161" t="s">
        <v>1147</v>
      </c>
      <c r="F428" s="163" t="s">
        <v>890</v>
      </c>
      <c r="G428" s="161" t="s">
        <v>1322</v>
      </c>
    </row>
    <row r="429">
      <c r="A429" s="165" t="s">
        <v>1044</v>
      </c>
      <c r="B429" s="160" t="s">
        <v>78</v>
      </c>
      <c r="C429" s="161" t="s">
        <v>1025</v>
      </c>
      <c r="D429" s="162" t="s">
        <v>1089</v>
      </c>
      <c r="E429" s="161" t="s">
        <v>1147</v>
      </c>
      <c r="F429" s="163" t="s">
        <v>904</v>
      </c>
      <c r="G429" s="161" t="s">
        <v>1151</v>
      </c>
    </row>
    <row r="430">
      <c r="A430" s="165" t="s">
        <v>1044</v>
      </c>
      <c r="B430" s="160" t="s">
        <v>78</v>
      </c>
      <c r="C430" s="161" t="s">
        <v>1025</v>
      </c>
      <c r="D430" s="162" t="s">
        <v>1089</v>
      </c>
      <c r="E430" s="161" t="s">
        <v>1147</v>
      </c>
      <c r="F430" s="163" t="s">
        <v>787</v>
      </c>
      <c r="G430" s="161" t="s">
        <v>2059</v>
      </c>
    </row>
    <row r="431">
      <c r="A431" s="165" t="s">
        <v>1044</v>
      </c>
      <c r="B431" s="160" t="s">
        <v>78</v>
      </c>
      <c r="C431" s="161" t="s">
        <v>1025</v>
      </c>
      <c r="D431" s="162" t="s">
        <v>1089</v>
      </c>
      <c r="E431" s="161" t="s">
        <v>1147</v>
      </c>
      <c r="F431" s="163" t="s">
        <v>910</v>
      </c>
      <c r="G431" s="161" t="s">
        <v>2203</v>
      </c>
    </row>
    <row r="432">
      <c r="A432" s="165" t="s">
        <v>1044</v>
      </c>
      <c r="B432" s="160" t="s">
        <v>78</v>
      </c>
      <c r="C432" s="161" t="s">
        <v>1025</v>
      </c>
      <c r="D432" s="162" t="s">
        <v>1089</v>
      </c>
      <c r="E432" s="161" t="s">
        <v>1147</v>
      </c>
      <c r="F432" s="163" t="s">
        <v>776</v>
      </c>
      <c r="G432" s="161" t="s">
        <v>1324</v>
      </c>
    </row>
    <row r="433">
      <c r="A433" s="165" t="s">
        <v>1044</v>
      </c>
      <c r="B433" s="160" t="s">
        <v>78</v>
      </c>
      <c r="C433" s="161" t="s">
        <v>1025</v>
      </c>
      <c r="D433" s="162" t="s">
        <v>1089</v>
      </c>
      <c r="E433" s="161" t="s">
        <v>1147</v>
      </c>
      <c r="F433" s="163" t="s">
        <v>621</v>
      </c>
      <c r="G433" s="161" t="s">
        <v>1270</v>
      </c>
    </row>
    <row r="434">
      <c r="A434" s="165" t="s">
        <v>1044</v>
      </c>
      <c r="B434" s="160" t="s">
        <v>78</v>
      </c>
      <c r="C434" s="161" t="s">
        <v>1025</v>
      </c>
      <c r="D434" s="162" t="s">
        <v>1089</v>
      </c>
      <c r="E434" s="161" t="s">
        <v>1147</v>
      </c>
      <c r="F434" s="163" t="s">
        <v>2215</v>
      </c>
      <c r="G434" s="161" t="s">
        <v>2217</v>
      </c>
    </row>
    <row r="435">
      <c r="A435" s="165" t="s">
        <v>1044</v>
      </c>
      <c r="B435" s="160" t="s">
        <v>78</v>
      </c>
      <c r="C435" s="161" t="s">
        <v>1025</v>
      </c>
      <c r="D435" s="162" t="s">
        <v>1153</v>
      </c>
      <c r="E435" s="161" t="s">
        <v>1154</v>
      </c>
      <c r="F435" s="163" t="s">
        <v>654</v>
      </c>
      <c r="G435" s="161" t="s">
        <v>1273</v>
      </c>
    </row>
    <row r="436">
      <c r="A436" s="165" t="s">
        <v>1044</v>
      </c>
      <c r="B436" s="160" t="s">
        <v>78</v>
      </c>
      <c r="C436" s="161" t="s">
        <v>1025</v>
      </c>
      <c r="D436" s="162" t="s">
        <v>1153</v>
      </c>
      <c r="E436" s="161" t="s">
        <v>1154</v>
      </c>
      <c r="F436" s="163" t="s">
        <v>690</v>
      </c>
      <c r="G436" s="161" t="s">
        <v>1155</v>
      </c>
    </row>
    <row r="437">
      <c r="A437" s="165" t="s">
        <v>1044</v>
      </c>
      <c r="B437" s="160" t="s">
        <v>78</v>
      </c>
      <c r="C437" s="161" t="s">
        <v>1025</v>
      </c>
      <c r="D437" s="162" t="s">
        <v>1153</v>
      </c>
      <c r="E437" s="161" t="s">
        <v>1154</v>
      </c>
      <c r="F437" s="163" t="s">
        <v>819</v>
      </c>
      <c r="G437" s="161" t="s">
        <v>1552</v>
      </c>
    </row>
    <row r="438">
      <c r="A438" s="165" t="s">
        <v>1044</v>
      </c>
      <c r="B438" s="160" t="s">
        <v>78</v>
      </c>
      <c r="C438" s="161" t="s">
        <v>1025</v>
      </c>
      <c r="D438" s="162" t="s">
        <v>1153</v>
      </c>
      <c r="E438" s="161" t="s">
        <v>1154</v>
      </c>
      <c r="F438" s="163" t="s">
        <v>818</v>
      </c>
      <c r="G438" s="161" t="s">
        <v>1158</v>
      </c>
    </row>
    <row r="439">
      <c r="A439" s="165" t="s">
        <v>1044</v>
      </c>
      <c r="B439" s="160" t="s">
        <v>78</v>
      </c>
      <c r="C439" s="161" t="s">
        <v>1025</v>
      </c>
      <c r="D439" s="162" t="s">
        <v>1153</v>
      </c>
      <c r="E439" s="161" t="s">
        <v>1154</v>
      </c>
      <c r="F439" s="163" t="s">
        <v>884</v>
      </c>
      <c r="G439" s="161" t="s">
        <v>1162</v>
      </c>
    </row>
    <row r="440">
      <c r="A440" s="165" t="s">
        <v>1044</v>
      </c>
      <c r="B440" s="160" t="s">
        <v>78</v>
      </c>
      <c r="C440" s="161" t="s">
        <v>1025</v>
      </c>
      <c r="D440" s="162" t="s">
        <v>1153</v>
      </c>
      <c r="E440" s="161" t="s">
        <v>1154</v>
      </c>
      <c r="F440" s="163" t="s">
        <v>970</v>
      </c>
      <c r="G440" s="161" t="s">
        <v>1369</v>
      </c>
    </row>
    <row r="441">
      <c r="A441" s="165" t="s">
        <v>1044</v>
      </c>
      <c r="B441" s="160" t="s">
        <v>78</v>
      </c>
      <c r="C441" s="161" t="s">
        <v>1025</v>
      </c>
      <c r="D441" s="162" t="s">
        <v>1153</v>
      </c>
      <c r="E441" s="161" t="s">
        <v>1154</v>
      </c>
      <c r="F441" s="163" t="s">
        <v>839</v>
      </c>
      <c r="G441" s="161" t="s">
        <v>1445</v>
      </c>
    </row>
    <row r="442">
      <c r="A442" s="165" t="s">
        <v>1044</v>
      </c>
      <c r="B442" s="160" t="s">
        <v>78</v>
      </c>
      <c r="C442" s="161" t="s">
        <v>1025</v>
      </c>
      <c r="D442" s="162" t="s">
        <v>1153</v>
      </c>
      <c r="E442" s="161" t="s">
        <v>1154</v>
      </c>
      <c r="F442" s="163" t="s">
        <v>695</v>
      </c>
      <c r="G442" s="161" t="s">
        <v>1326</v>
      </c>
    </row>
    <row r="443">
      <c r="A443" s="165" t="s">
        <v>1044</v>
      </c>
      <c r="B443" s="160" t="s">
        <v>78</v>
      </c>
      <c r="C443" s="161" t="s">
        <v>1025</v>
      </c>
      <c r="D443" s="162" t="s">
        <v>1153</v>
      </c>
      <c r="E443" s="161" t="s">
        <v>1154</v>
      </c>
      <c r="F443" s="163" t="s">
        <v>698</v>
      </c>
      <c r="G443" s="161" t="s">
        <v>2254</v>
      </c>
    </row>
    <row r="444">
      <c r="A444" s="165" t="s">
        <v>1044</v>
      </c>
      <c r="B444" s="160" t="s">
        <v>78</v>
      </c>
      <c r="C444" s="161" t="s">
        <v>1025</v>
      </c>
      <c r="D444" s="162" t="s">
        <v>1167</v>
      </c>
      <c r="E444" s="161" t="s">
        <v>1168</v>
      </c>
      <c r="F444" s="163" t="s">
        <v>984</v>
      </c>
      <c r="G444" s="161" t="s">
        <v>2259</v>
      </c>
    </row>
    <row r="445">
      <c r="A445" s="165" t="s">
        <v>1044</v>
      </c>
      <c r="B445" s="160" t="s">
        <v>78</v>
      </c>
      <c r="C445" s="161" t="s">
        <v>1025</v>
      </c>
      <c r="D445" s="162" t="s">
        <v>1167</v>
      </c>
      <c r="E445" s="161" t="s">
        <v>1168</v>
      </c>
      <c r="F445" s="163" t="s">
        <v>1014</v>
      </c>
      <c r="G445" s="161" t="s">
        <v>2264</v>
      </c>
    </row>
    <row r="446">
      <c r="A446" s="165" t="s">
        <v>1044</v>
      </c>
      <c r="B446" s="160" t="s">
        <v>78</v>
      </c>
      <c r="C446" s="161" t="s">
        <v>1025</v>
      </c>
      <c r="D446" s="162" t="s">
        <v>1167</v>
      </c>
      <c r="E446" s="161" t="s">
        <v>1168</v>
      </c>
      <c r="F446" s="163" t="s">
        <v>944</v>
      </c>
      <c r="G446" s="161" t="s">
        <v>1169</v>
      </c>
    </row>
    <row r="447">
      <c r="A447" s="165" t="s">
        <v>1044</v>
      </c>
      <c r="B447" s="160" t="s">
        <v>78</v>
      </c>
      <c r="C447" s="161" t="s">
        <v>1025</v>
      </c>
      <c r="D447" s="162" t="s">
        <v>1167</v>
      </c>
      <c r="E447" s="161" t="s">
        <v>1168</v>
      </c>
      <c r="F447" s="163" t="s">
        <v>669</v>
      </c>
      <c r="G447" s="161" t="s">
        <v>1450</v>
      </c>
    </row>
    <row r="448">
      <c r="A448" s="165" t="s">
        <v>1044</v>
      </c>
      <c r="B448" s="160" t="s">
        <v>78</v>
      </c>
      <c r="C448" s="161" t="s">
        <v>1025</v>
      </c>
      <c r="D448" s="162" t="s">
        <v>1167</v>
      </c>
      <c r="E448" s="161" t="s">
        <v>1168</v>
      </c>
      <c r="F448" s="163" t="s">
        <v>2275</v>
      </c>
      <c r="G448" s="161" t="s">
        <v>2277</v>
      </c>
    </row>
    <row r="449">
      <c r="A449" s="165" t="s">
        <v>1044</v>
      </c>
      <c r="B449" s="160" t="s">
        <v>78</v>
      </c>
      <c r="C449" s="161" t="s">
        <v>1025</v>
      </c>
      <c r="D449" s="162" t="s">
        <v>1167</v>
      </c>
      <c r="E449" s="161" t="s">
        <v>1168</v>
      </c>
      <c r="F449" s="163" t="s">
        <v>616</v>
      </c>
      <c r="G449" s="161" t="s">
        <v>2281</v>
      </c>
    </row>
    <row r="450">
      <c r="A450" s="165" t="s">
        <v>1044</v>
      </c>
      <c r="B450" s="160" t="s">
        <v>78</v>
      </c>
      <c r="C450" s="161" t="s">
        <v>1025</v>
      </c>
      <c r="D450" s="162" t="s">
        <v>1167</v>
      </c>
      <c r="E450" s="161" t="s">
        <v>1168</v>
      </c>
      <c r="F450" s="163" t="s">
        <v>856</v>
      </c>
      <c r="G450" s="161" t="s">
        <v>2178</v>
      </c>
    </row>
    <row r="451">
      <c r="A451" s="165" t="s">
        <v>1044</v>
      </c>
      <c r="B451" s="160" t="s">
        <v>78</v>
      </c>
      <c r="C451" s="161" t="s">
        <v>1025</v>
      </c>
      <c r="D451" s="162" t="s">
        <v>1167</v>
      </c>
      <c r="E451" s="161" t="s">
        <v>1168</v>
      </c>
      <c r="F451" s="163" t="s">
        <v>773</v>
      </c>
      <c r="G451" s="161" t="s">
        <v>1173</v>
      </c>
    </row>
    <row r="452">
      <c r="A452" s="165" t="s">
        <v>1044</v>
      </c>
      <c r="B452" s="160" t="s">
        <v>78</v>
      </c>
      <c r="C452" s="161" t="s">
        <v>1025</v>
      </c>
      <c r="D452" s="162" t="s">
        <v>1245</v>
      </c>
      <c r="E452" s="161" t="s">
        <v>1328</v>
      </c>
      <c r="F452" s="163" t="s">
        <v>915</v>
      </c>
      <c r="G452" s="161" t="s">
        <v>1373</v>
      </c>
    </row>
    <row r="453">
      <c r="A453" s="165" t="s">
        <v>1044</v>
      </c>
      <c r="B453" s="160" t="s">
        <v>78</v>
      </c>
      <c r="C453" s="161" t="s">
        <v>1025</v>
      </c>
      <c r="D453" s="162" t="s">
        <v>1245</v>
      </c>
      <c r="E453" s="161" t="s">
        <v>1328</v>
      </c>
      <c r="F453" s="163" t="s">
        <v>639</v>
      </c>
      <c r="G453" s="161" t="s">
        <v>1997</v>
      </c>
    </row>
    <row r="454">
      <c r="A454" s="165" t="s">
        <v>1044</v>
      </c>
      <c r="B454" s="160" t="s">
        <v>78</v>
      </c>
      <c r="C454" s="161" t="s">
        <v>1025</v>
      </c>
      <c r="D454" s="162" t="s">
        <v>1245</v>
      </c>
      <c r="E454" s="161" t="s">
        <v>1328</v>
      </c>
      <c r="F454" s="163" t="s">
        <v>650</v>
      </c>
      <c r="G454" s="161" t="s">
        <v>2298</v>
      </c>
    </row>
    <row r="455">
      <c r="A455" s="165" t="s">
        <v>1044</v>
      </c>
      <c r="B455" s="160" t="s">
        <v>78</v>
      </c>
      <c r="C455" s="161" t="s">
        <v>1025</v>
      </c>
      <c r="D455" s="162" t="s">
        <v>1245</v>
      </c>
      <c r="E455" s="161" t="s">
        <v>1328</v>
      </c>
      <c r="F455" s="163" t="s">
        <v>982</v>
      </c>
      <c r="G455" s="161" t="s">
        <v>1329</v>
      </c>
    </row>
    <row r="456">
      <c r="A456" s="165" t="s">
        <v>1044</v>
      </c>
      <c r="B456" s="160" t="s">
        <v>78</v>
      </c>
      <c r="C456" s="161" t="s">
        <v>1025</v>
      </c>
      <c r="D456" s="162" t="s">
        <v>1245</v>
      </c>
      <c r="E456" s="161" t="s">
        <v>1328</v>
      </c>
      <c r="F456" s="163" t="s">
        <v>745</v>
      </c>
      <c r="G456" s="161" t="s">
        <v>2306</v>
      </c>
    </row>
    <row r="457">
      <c r="A457" s="165" t="s">
        <v>1044</v>
      </c>
      <c r="B457" s="160" t="s">
        <v>78</v>
      </c>
      <c r="C457" s="161" t="s">
        <v>1025</v>
      </c>
      <c r="D457" s="162" t="s">
        <v>1245</v>
      </c>
      <c r="E457" s="161" t="s">
        <v>1328</v>
      </c>
      <c r="F457" s="163" t="s">
        <v>611</v>
      </c>
      <c r="G457" s="161" t="s">
        <v>2310</v>
      </c>
    </row>
    <row r="458">
      <c r="A458" s="165" t="s">
        <v>1044</v>
      </c>
      <c r="B458" s="160" t="s">
        <v>78</v>
      </c>
      <c r="C458" s="161" t="s">
        <v>1025</v>
      </c>
      <c r="D458" s="162" t="s">
        <v>1245</v>
      </c>
      <c r="E458" s="161" t="s">
        <v>1328</v>
      </c>
      <c r="F458" s="163" t="s">
        <v>682</v>
      </c>
      <c r="G458" s="161" t="s">
        <v>2315</v>
      </c>
    </row>
    <row r="459">
      <c r="A459" s="165" t="s">
        <v>1044</v>
      </c>
      <c r="B459" s="160" t="s">
        <v>78</v>
      </c>
      <c r="C459" s="161" t="s">
        <v>1025</v>
      </c>
      <c r="D459" s="162" t="s">
        <v>1376</v>
      </c>
      <c r="E459" s="161" t="s">
        <v>1377</v>
      </c>
      <c r="F459" s="163" t="s">
        <v>993</v>
      </c>
      <c r="G459" s="161" t="s">
        <v>2320</v>
      </c>
    </row>
    <row r="460">
      <c r="A460" s="165" t="s">
        <v>1044</v>
      </c>
      <c r="B460" s="160" t="s">
        <v>78</v>
      </c>
      <c r="C460" s="161" t="s">
        <v>1025</v>
      </c>
      <c r="D460" s="162" t="s">
        <v>1376</v>
      </c>
      <c r="E460" s="161" t="s">
        <v>1377</v>
      </c>
      <c r="F460" s="163" t="s">
        <v>721</v>
      </c>
      <c r="G460" s="161" t="s">
        <v>2007</v>
      </c>
    </row>
    <row r="461">
      <c r="A461" s="165" t="s">
        <v>1044</v>
      </c>
      <c r="B461" s="160" t="s">
        <v>78</v>
      </c>
      <c r="C461" s="161" t="s">
        <v>1025</v>
      </c>
      <c r="D461" s="162" t="s">
        <v>1376</v>
      </c>
      <c r="E461" s="161" t="s">
        <v>1377</v>
      </c>
      <c r="F461" s="163" t="s">
        <v>876</v>
      </c>
      <c r="G461" s="161" t="s">
        <v>2188</v>
      </c>
    </row>
    <row r="462">
      <c r="A462" s="165" t="s">
        <v>1044</v>
      </c>
      <c r="B462" s="160" t="s">
        <v>78</v>
      </c>
      <c r="C462" s="161" t="s">
        <v>1025</v>
      </c>
      <c r="D462" s="162" t="s">
        <v>1376</v>
      </c>
      <c r="E462" s="161" t="s">
        <v>1377</v>
      </c>
      <c r="F462" s="163" t="s">
        <v>805</v>
      </c>
      <c r="G462" s="161" t="s">
        <v>1790</v>
      </c>
    </row>
    <row r="463">
      <c r="A463" s="165" t="s">
        <v>1044</v>
      </c>
      <c r="B463" s="160" t="s">
        <v>78</v>
      </c>
      <c r="C463" s="161" t="s">
        <v>1025</v>
      </c>
      <c r="D463" s="162" t="s">
        <v>1376</v>
      </c>
      <c r="E463" s="161" t="s">
        <v>1377</v>
      </c>
      <c r="F463" s="163" t="s">
        <v>838</v>
      </c>
      <c r="G463" s="161" t="s">
        <v>1378</v>
      </c>
    </row>
    <row r="464">
      <c r="A464" s="165" t="s">
        <v>1044</v>
      </c>
      <c r="B464" s="160" t="s">
        <v>78</v>
      </c>
      <c r="C464" s="161" t="s">
        <v>1025</v>
      </c>
      <c r="D464" s="162" t="s">
        <v>1376</v>
      </c>
      <c r="E464" s="161" t="s">
        <v>1377</v>
      </c>
      <c r="F464" s="163" t="s">
        <v>991</v>
      </c>
      <c r="G464" s="161" t="s">
        <v>2341</v>
      </c>
    </row>
    <row r="465">
      <c r="A465" s="165" t="s">
        <v>1044</v>
      </c>
      <c r="B465" s="160" t="s">
        <v>84</v>
      </c>
      <c r="C465" s="161" t="s">
        <v>1025</v>
      </c>
      <c r="D465" s="162" t="s">
        <v>2344</v>
      </c>
      <c r="E465" s="161" t="s">
        <v>2346</v>
      </c>
      <c r="F465" s="163" t="s">
        <v>767</v>
      </c>
      <c r="G465" s="161" t="s">
        <v>2346</v>
      </c>
    </row>
    <row r="466">
      <c r="A466" s="165" t="s">
        <v>1044</v>
      </c>
      <c r="B466" s="160" t="s">
        <v>84</v>
      </c>
      <c r="C466" s="161" t="s">
        <v>1025</v>
      </c>
      <c r="D466" s="162" t="s">
        <v>1176</v>
      </c>
      <c r="E466" s="161" t="s">
        <v>1177</v>
      </c>
      <c r="F466" s="163" t="s">
        <v>593</v>
      </c>
      <c r="G466" s="161" t="s">
        <v>2351</v>
      </c>
    </row>
    <row r="467">
      <c r="A467" s="165" t="s">
        <v>1044</v>
      </c>
      <c r="B467" s="160" t="s">
        <v>84</v>
      </c>
      <c r="C467" s="161" t="s">
        <v>1025</v>
      </c>
      <c r="D467" s="162" t="s">
        <v>1176</v>
      </c>
      <c r="E467" s="161" t="s">
        <v>1177</v>
      </c>
      <c r="F467" s="163" t="s">
        <v>1178</v>
      </c>
      <c r="G467" s="161" t="s">
        <v>1179</v>
      </c>
    </row>
    <row r="468">
      <c r="A468" s="165" t="s">
        <v>1044</v>
      </c>
      <c r="B468" s="160" t="s">
        <v>84</v>
      </c>
      <c r="C468" s="161" t="s">
        <v>1025</v>
      </c>
      <c r="D468" s="162" t="s">
        <v>1176</v>
      </c>
      <c r="E468" s="161" t="s">
        <v>1177</v>
      </c>
      <c r="F468" s="163" t="s">
        <v>605</v>
      </c>
      <c r="G468" s="161" t="s">
        <v>2360</v>
      </c>
    </row>
    <row r="469">
      <c r="A469" s="165" t="s">
        <v>1044</v>
      </c>
      <c r="B469" s="160" t="s">
        <v>84</v>
      </c>
      <c r="C469" s="161" t="s">
        <v>1025</v>
      </c>
      <c r="D469" s="162" t="s">
        <v>1176</v>
      </c>
      <c r="E469" s="161" t="s">
        <v>1177</v>
      </c>
      <c r="F469" s="163" t="s">
        <v>539</v>
      </c>
      <c r="G469" s="161" t="s">
        <v>2365</v>
      </c>
    </row>
    <row r="470">
      <c r="A470" s="165" t="s">
        <v>1044</v>
      </c>
      <c r="B470" s="160" t="s">
        <v>84</v>
      </c>
      <c r="C470" s="161" t="s">
        <v>1025</v>
      </c>
      <c r="D470" s="162" t="s">
        <v>1176</v>
      </c>
      <c r="E470" s="161" t="s">
        <v>1177</v>
      </c>
      <c r="F470" s="163" t="s">
        <v>541</v>
      </c>
      <c r="G470" s="161" t="s">
        <v>2369</v>
      </c>
    </row>
    <row r="471">
      <c r="A471" s="165" t="s">
        <v>1044</v>
      </c>
      <c r="B471" s="160" t="s">
        <v>84</v>
      </c>
      <c r="C471" s="161" t="s">
        <v>1025</v>
      </c>
      <c r="D471" s="162" t="s">
        <v>1176</v>
      </c>
      <c r="E471" s="161" t="s">
        <v>1177</v>
      </c>
      <c r="F471" s="163" t="s">
        <v>647</v>
      </c>
      <c r="G471" s="161" t="s">
        <v>1657</v>
      </c>
    </row>
    <row r="472">
      <c r="A472" s="165" t="s">
        <v>1044</v>
      </c>
      <c r="B472" s="160" t="s">
        <v>84</v>
      </c>
      <c r="C472" s="161" t="s">
        <v>1025</v>
      </c>
      <c r="D472" s="162" t="s">
        <v>1176</v>
      </c>
      <c r="E472" s="161" t="s">
        <v>1177</v>
      </c>
      <c r="F472" s="163" t="s">
        <v>930</v>
      </c>
      <c r="G472" s="161" t="s">
        <v>2381</v>
      </c>
    </row>
    <row r="473">
      <c r="A473" s="165" t="s">
        <v>1044</v>
      </c>
      <c r="B473" s="160" t="s">
        <v>84</v>
      </c>
      <c r="C473" s="161" t="s">
        <v>1025</v>
      </c>
      <c r="D473" s="162" t="s">
        <v>1176</v>
      </c>
      <c r="E473" s="161" t="s">
        <v>1177</v>
      </c>
      <c r="F473" s="163" t="s">
        <v>755</v>
      </c>
      <c r="G473" s="161" t="s">
        <v>2386</v>
      </c>
    </row>
    <row r="474">
      <c r="A474" s="165" t="s">
        <v>1044</v>
      </c>
      <c r="B474" s="160" t="s">
        <v>84</v>
      </c>
      <c r="C474" s="161" t="s">
        <v>1025</v>
      </c>
      <c r="D474" s="162" t="s">
        <v>1454</v>
      </c>
      <c r="E474" s="161" t="s">
        <v>1455</v>
      </c>
      <c r="F474" s="163" t="s">
        <v>706</v>
      </c>
      <c r="G474" s="161" t="s">
        <v>2391</v>
      </c>
    </row>
    <row r="475">
      <c r="A475" s="165" t="s">
        <v>1044</v>
      </c>
      <c r="B475" s="160" t="s">
        <v>84</v>
      </c>
      <c r="C475" s="161" t="s">
        <v>1025</v>
      </c>
      <c r="D475" s="162" t="s">
        <v>1454</v>
      </c>
      <c r="E475" s="161" t="s">
        <v>1455</v>
      </c>
      <c r="F475" s="163" t="s">
        <v>929</v>
      </c>
      <c r="G475" s="161" t="s">
        <v>2396</v>
      </c>
    </row>
    <row r="476">
      <c r="A476" s="165" t="s">
        <v>1044</v>
      </c>
      <c r="B476" s="160" t="s">
        <v>84</v>
      </c>
      <c r="C476" s="161" t="s">
        <v>1025</v>
      </c>
      <c r="D476" s="162" t="s">
        <v>1454</v>
      </c>
      <c r="E476" s="161" t="s">
        <v>1455</v>
      </c>
      <c r="F476" s="163" t="s">
        <v>792</v>
      </c>
      <c r="G476" s="161" t="s">
        <v>1556</v>
      </c>
    </row>
    <row r="477">
      <c r="A477" s="165" t="s">
        <v>1044</v>
      </c>
      <c r="B477" s="160" t="s">
        <v>84</v>
      </c>
      <c r="C477" s="161" t="s">
        <v>1025</v>
      </c>
      <c r="D477" s="162" t="s">
        <v>1454</v>
      </c>
      <c r="E477" s="161" t="s">
        <v>1455</v>
      </c>
      <c r="F477" s="163" t="s">
        <v>565</v>
      </c>
      <c r="G477" s="161" t="s">
        <v>2407</v>
      </c>
    </row>
    <row r="478">
      <c r="A478" s="165" t="s">
        <v>1044</v>
      </c>
      <c r="B478" s="160" t="s">
        <v>84</v>
      </c>
      <c r="C478" s="161" t="s">
        <v>1025</v>
      </c>
      <c r="D478" s="162" t="s">
        <v>1454</v>
      </c>
      <c r="E478" s="161" t="s">
        <v>1455</v>
      </c>
      <c r="F478" s="163" t="s">
        <v>903</v>
      </c>
      <c r="G478" s="161" t="s">
        <v>2413</v>
      </c>
    </row>
    <row r="479">
      <c r="A479" s="165" t="s">
        <v>1044</v>
      </c>
      <c r="B479" s="160" t="s">
        <v>84</v>
      </c>
      <c r="C479" s="161" t="s">
        <v>1025</v>
      </c>
      <c r="D479" s="162" t="s">
        <v>1454</v>
      </c>
      <c r="E479" s="161" t="s">
        <v>1455</v>
      </c>
      <c r="F479" s="163" t="s">
        <v>867</v>
      </c>
      <c r="G479" s="161" t="s">
        <v>1456</v>
      </c>
    </row>
    <row r="480">
      <c r="A480" s="165" t="s">
        <v>1044</v>
      </c>
      <c r="B480" s="160" t="s">
        <v>84</v>
      </c>
      <c r="C480" s="161" t="s">
        <v>1025</v>
      </c>
      <c r="D480" s="162" t="s">
        <v>2420</v>
      </c>
      <c r="E480" s="161" t="s">
        <v>2421</v>
      </c>
      <c r="F480" s="163" t="s">
        <v>2423</v>
      </c>
      <c r="G480" s="161" t="s">
        <v>2424</v>
      </c>
    </row>
    <row r="481">
      <c r="A481" s="165" t="s">
        <v>1044</v>
      </c>
      <c r="B481" s="160" t="s">
        <v>84</v>
      </c>
      <c r="C481" s="161" t="s">
        <v>1025</v>
      </c>
      <c r="D481" s="162" t="s">
        <v>2420</v>
      </c>
      <c r="E481" s="161" t="s">
        <v>2421</v>
      </c>
      <c r="F481" s="163" t="s">
        <v>561</v>
      </c>
      <c r="G481" s="161" t="s">
        <v>2430</v>
      </c>
    </row>
    <row r="482">
      <c r="A482" s="165" t="s">
        <v>1044</v>
      </c>
      <c r="B482" s="160" t="s">
        <v>84</v>
      </c>
      <c r="C482" s="161" t="s">
        <v>1025</v>
      </c>
      <c r="D482" s="162" t="s">
        <v>2420</v>
      </c>
      <c r="E482" s="161" t="s">
        <v>2421</v>
      </c>
      <c r="F482" s="163" t="s">
        <v>608</v>
      </c>
      <c r="G482" s="161" t="s">
        <v>2436</v>
      </c>
    </row>
    <row r="483">
      <c r="A483" s="165" t="s">
        <v>1044</v>
      </c>
      <c r="B483" s="160" t="s">
        <v>84</v>
      </c>
      <c r="C483" s="161" t="s">
        <v>1025</v>
      </c>
      <c r="D483" s="162" t="s">
        <v>2420</v>
      </c>
      <c r="E483" s="161" t="s">
        <v>2421</v>
      </c>
      <c r="F483" s="163" t="s">
        <v>562</v>
      </c>
      <c r="G483" s="161" t="s">
        <v>2441</v>
      </c>
    </row>
    <row r="484">
      <c r="A484" s="165" t="s">
        <v>1044</v>
      </c>
      <c r="B484" s="160" t="s">
        <v>84</v>
      </c>
      <c r="C484" s="161" t="s">
        <v>1025</v>
      </c>
      <c r="D484" s="162" t="s">
        <v>2420</v>
      </c>
      <c r="E484" s="161" t="s">
        <v>2421</v>
      </c>
      <c r="F484" s="163" t="s">
        <v>512</v>
      </c>
      <c r="G484" s="161" t="s">
        <v>2446</v>
      </c>
    </row>
    <row r="485">
      <c r="A485" s="165" t="s">
        <v>1044</v>
      </c>
      <c r="B485" s="160" t="s">
        <v>84</v>
      </c>
      <c r="C485" s="161" t="s">
        <v>1025</v>
      </c>
      <c r="D485" s="162" t="s">
        <v>2420</v>
      </c>
      <c r="E485" s="161" t="s">
        <v>2421</v>
      </c>
      <c r="F485" s="163" t="s">
        <v>622</v>
      </c>
      <c r="G485" s="161" t="s">
        <v>2452</v>
      </c>
    </row>
    <row r="486">
      <c r="A486" s="165" t="s">
        <v>1044</v>
      </c>
      <c r="B486" s="160" t="s">
        <v>84</v>
      </c>
      <c r="C486" s="161" t="s">
        <v>1025</v>
      </c>
      <c r="D486" s="162" t="s">
        <v>2022</v>
      </c>
      <c r="E486" s="161" t="s">
        <v>2457</v>
      </c>
      <c r="F486" s="163" t="s">
        <v>632</v>
      </c>
      <c r="G486" s="161" t="s">
        <v>2460</v>
      </c>
    </row>
    <row r="487">
      <c r="A487" s="165" t="s">
        <v>1044</v>
      </c>
      <c r="B487" s="160" t="s">
        <v>84</v>
      </c>
      <c r="C487" s="161" t="s">
        <v>1025</v>
      </c>
      <c r="D487" s="162" t="s">
        <v>2022</v>
      </c>
      <c r="E487" s="161" t="s">
        <v>2457</v>
      </c>
      <c r="F487" s="163" t="s">
        <v>661</v>
      </c>
      <c r="G487" s="161" t="s">
        <v>2466</v>
      </c>
    </row>
    <row r="488">
      <c r="A488" s="165" t="s">
        <v>1044</v>
      </c>
      <c r="B488" s="160" t="s">
        <v>84</v>
      </c>
      <c r="C488" s="161" t="s">
        <v>1025</v>
      </c>
      <c r="D488" s="162" t="s">
        <v>1170</v>
      </c>
      <c r="E488" s="161" t="s">
        <v>2470</v>
      </c>
      <c r="F488" s="163" t="s">
        <v>664</v>
      </c>
      <c r="G488" s="161" t="s">
        <v>2472</v>
      </c>
    </row>
    <row r="489">
      <c r="A489" s="165" t="s">
        <v>1044</v>
      </c>
      <c r="B489" s="160" t="s">
        <v>84</v>
      </c>
      <c r="C489" s="161" t="s">
        <v>1025</v>
      </c>
      <c r="D489" s="162" t="s">
        <v>1170</v>
      </c>
      <c r="E489" s="161" t="s">
        <v>2470</v>
      </c>
      <c r="F489" s="163" t="s">
        <v>535</v>
      </c>
      <c r="G489" s="161" t="s">
        <v>2479</v>
      </c>
    </row>
    <row r="490">
      <c r="A490" s="165" t="s">
        <v>1044</v>
      </c>
      <c r="B490" s="160" t="s">
        <v>84</v>
      </c>
      <c r="C490" s="161" t="s">
        <v>1025</v>
      </c>
      <c r="D490" s="162" t="s">
        <v>1170</v>
      </c>
      <c r="E490" s="161" t="s">
        <v>2470</v>
      </c>
      <c r="F490" s="163" t="s">
        <v>732</v>
      </c>
      <c r="G490" s="161" t="s">
        <v>2485</v>
      </c>
    </row>
    <row r="491">
      <c r="A491" s="165" t="s">
        <v>1044</v>
      </c>
      <c r="B491" s="160" t="s">
        <v>84</v>
      </c>
      <c r="C491" s="161" t="s">
        <v>1025</v>
      </c>
      <c r="D491" s="162" t="s">
        <v>1170</v>
      </c>
      <c r="E491" s="161" t="s">
        <v>2470</v>
      </c>
      <c r="F491" s="163" t="s">
        <v>599</v>
      </c>
      <c r="G491" s="161" t="s">
        <v>2490</v>
      </c>
    </row>
    <row r="492">
      <c r="A492" s="165" t="s">
        <v>1044</v>
      </c>
      <c r="B492" s="160" t="s">
        <v>84</v>
      </c>
      <c r="C492" s="161" t="s">
        <v>1025</v>
      </c>
      <c r="D492" s="162" t="s">
        <v>1170</v>
      </c>
      <c r="E492" s="161" t="s">
        <v>2470</v>
      </c>
      <c r="F492" s="163" t="s">
        <v>588</v>
      </c>
      <c r="G492" s="161" t="s">
        <v>2496</v>
      </c>
    </row>
    <row r="493">
      <c r="A493" s="165" t="s">
        <v>1044</v>
      </c>
      <c r="B493" s="160" t="s">
        <v>177</v>
      </c>
      <c r="C493" s="161" t="s">
        <v>1025</v>
      </c>
      <c r="D493" s="162" t="s">
        <v>1046</v>
      </c>
      <c r="E493" s="161" t="s">
        <v>2239</v>
      </c>
      <c r="F493" s="163" t="s">
        <v>604</v>
      </c>
      <c r="G493" s="161" t="s">
        <v>2502</v>
      </c>
    </row>
    <row r="494">
      <c r="A494" s="165" t="s">
        <v>1044</v>
      </c>
      <c r="B494" s="160" t="s">
        <v>177</v>
      </c>
      <c r="C494" s="161" t="s">
        <v>1025</v>
      </c>
      <c r="D494" s="162" t="s">
        <v>1046</v>
      </c>
      <c r="E494" s="161" t="s">
        <v>2239</v>
      </c>
      <c r="F494" s="163" t="s">
        <v>957</v>
      </c>
      <c r="G494" s="161" t="s">
        <v>2241</v>
      </c>
    </row>
    <row r="495">
      <c r="A495" s="165" t="s">
        <v>1044</v>
      </c>
      <c r="B495" s="160" t="s">
        <v>177</v>
      </c>
      <c r="C495" s="161" t="s">
        <v>1025</v>
      </c>
      <c r="D495" s="162" t="s">
        <v>1046</v>
      </c>
      <c r="E495" s="161" t="s">
        <v>2239</v>
      </c>
      <c r="F495" s="163" t="s">
        <v>534</v>
      </c>
      <c r="G495" s="161" t="s">
        <v>2513</v>
      </c>
    </row>
    <row r="496">
      <c r="A496" s="165" t="s">
        <v>1044</v>
      </c>
      <c r="B496" s="160" t="s">
        <v>177</v>
      </c>
      <c r="C496" s="161" t="s">
        <v>1025</v>
      </c>
      <c r="D496" s="162" t="s">
        <v>1046</v>
      </c>
      <c r="E496" s="161" t="s">
        <v>2239</v>
      </c>
      <c r="F496" s="163" t="s">
        <v>510</v>
      </c>
      <c r="G496" s="161" t="s">
        <v>2520</v>
      </c>
    </row>
    <row r="497">
      <c r="A497" s="165" t="s">
        <v>1044</v>
      </c>
      <c r="B497" s="160" t="s">
        <v>177</v>
      </c>
      <c r="C497" s="161" t="s">
        <v>1025</v>
      </c>
      <c r="D497" s="162" t="s">
        <v>1046</v>
      </c>
      <c r="E497" s="161" t="s">
        <v>2239</v>
      </c>
      <c r="F497" s="163" t="s">
        <v>2528</v>
      </c>
      <c r="G497" s="161" t="s">
        <v>2530</v>
      </c>
    </row>
    <row r="498">
      <c r="A498" s="165" t="s">
        <v>1044</v>
      </c>
      <c r="B498" s="160" t="s">
        <v>177</v>
      </c>
      <c r="C498" s="161" t="s">
        <v>1025</v>
      </c>
      <c r="D498" s="162" t="s">
        <v>1046</v>
      </c>
      <c r="E498" s="161" t="s">
        <v>2239</v>
      </c>
      <c r="F498" s="163" t="s">
        <v>560</v>
      </c>
      <c r="G498" s="161" t="s">
        <v>2537</v>
      </c>
    </row>
    <row r="499">
      <c r="A499" s="165" t="s">
        <v>1044</v>
      </c>
      <c r="B499" s="160" t="s">
        <v>177</v>
      </c>
      <c r="C499" s="161" t="s">
        <v>1025</v>
      </c>
      <c r="D499" s="162" t="s">
        <v>1046</v>
      </c>
      <c r="E499" s="161" t="s">
        <v>2239</v>
      </c>
      <c r="F499" s="163" t="s">
        <v>648</v>
      </c>
      <c r="G499" s="161" t="s">
        <v>2543</v>
      </c>
    </row>
    <row r="500">
      <c r="A500" s="165" t="s">
        <v>1044</v>
      </c>
      <c r="B500" s="160" t="s">
        <v>177</v>
      </c>
      <c r="C500" s="161" t="s">
        <v>1025</v>
      </c>
      <c r="D500" s="162" t="s">
        <v>1046</v>
      </c>
      <c r="E500" s="161" t="s">
        <v>2239</v>
      </c>
      <c r="F500" s="163" t="s">
        <v>529</v>
      </c>
      <c r="G500" s="161" t="s">
        <v>2548</v>
      </c>
    </row>
    <row r="501">
      <c r="A501" s="165" t="s">
        <v>1044</v>
      </c>
      <c r="B501" s="160" t="s">
        <v>177</v>
      </c>
      <c r="C501" s="161" t="s">
        <v>1025</v>
      </c>
      <c r="D501" s="162" t="s">
        <v>1918</v>
      </c>
      <c r="E501" s="161" t="s">
        <v>1921</v>
      </c>
      <c r="F501" s="163" t="s">
        <v>514</v>
      </c>
      <c r="G501" s="161" t="s">
        <v>2553</v>
      </c>
    </row>
    <row r="502">
      <c r="A502" s="165" t="s">
        <v>1044</v>
      </c>
      <c r="B502" s="160" t="s">
        <v>177</v>
      </c>
      <c r="C502" s="161" t="s">
        <v>1025</v>
      </c>
      <c r="D502" s="162" t="s">
        <v>1918</v>
      </c>
      <c r="E502" s="161" t="s">
        <v>1921</v>
      </c>
      <c r="F502" s="163" t="s">
        <v>770</v>
      </c>
      <c r="G502" s="161" t="s">
        <v>2560</v>
      </c>
    </row>
    <row r="503">
      <c r="A503" s="165" t="s">
        <v>1044</v>
      </c>
      <c r="B503" s="160" t="s">
        <v>177</v>
      </c>
      <c r="C503" s="161" t="s">
        <v>1025</v>
      </c>
      <c r="D503" s="162" t="s">
        <v>1918</v>
      </c>
      <c r="E503" s="161" t="s">
        <v>1921</v>
      </c>
      <c r="F503" s="163" t="s">
        <v>641</v>
      </c>
      <c r="G503" s="161" t="s">
        <v>2566</v>
      </c>
    </row>
    <row r="504">
      <c r="A504" s="165" t="s">
        <v>1044</v>
      </c>
      <c r="B504" s="160" t="s">
        <v>177</v>
      </c>
      <c r="C504" s="161" t="s">
        <v>1025</v>
      </c>
      <c r="D504" s="162" t="s">
        <v>1918</v>
      </c>
      <c r="E504" s="161" t="s">
        <v>1921</v>
      </c>
      <c r="F504" s="163" t="s">
        <v>996</v>
      </c>
      <c r="G504" s="161" t="s">
        <v>1923</v>
      </c>
    </row>
    <row r="505">
      <c r="A505" s="159" t="s">
        <v>1031</v>
      </c>
      <c r="B505" s="160" t="s">
        <v>96</v>
      </c>
      <c r="C505" s="161" t="s">
        <v>1025</v>
      </c>
      <c r="D505" s="162" t="s">
        <v>1134</v>
      </c>
      <c r="E505" s="161" t="s">
        <v>2576</v>
      </c>
      <c r="F505" s="163" t="s">
        <v>655</v>
      </c>
      <c r="G505" s="161" t="s">
        <v>2579</v>
      </c>
    </row>
    <row r="506">
      <c r="A506" s="159" t="s">
        <v>1031</v>
      </c>
      <c r="B506" s="160" t="s">
        <v>96</v>
      </c>
      <c r="C506" s="161" t="s">
        <v>1025</v>
      </c>
      <c r="D506" s="162" t="s">
        <v>1134</v>
      </c>
      <c r="E506" s="161" t="s">
        <v>2576</v>
      </c>
      <c r="F506" s="163" t="s">
        <v>569</v>
      </c>
      <c r="G506" s="161" t="s">
        <v>2585</v>
      </c>
    </row>
    <row r="507">
      <c r="A507" s="159" t="s">
        <v>1031</v>
      </c>
      <c r="B507" s="160" t="s">
        <v>96</v>
      </c>
      <c r="C507" s="161" t="s">
        <v>1025</v>
      </c>
      <c r="D507" s="162" t="s">
        <v>1134</v>
      </c>
      <c r="E507" s="161" t="s">
        <v>2576</v>
      </c>
      <c r="F507" s="163" t="s">
        <v>880</v>
      </c>
      <c r="G507" s="161" t="s">
        <v>2591</v>
      </c>
    </row>
    <row r="508">
      <c r="A508" s="159" t="s">
        <v>1031</v>
      </c>
      <c r="B508" s="160" t="s">
        <v>96</v>
      </c>
      <c r="C508" s="161" t="s">
        <v>1025</v>
      </c>
      <c r="D508" s="162" t="s">
        <v>1134</v>
      </c>
      <c r="E508" s="161" t="s">
        <v>2576</v>
      </c>
      <c r="F508" s="163" t="s">
        <v>1000</v>
      </c>
      <c r="G508" s="161" t="s">
        <v>2597</v>
      </c>
    </row>
    <row r="509">
      <c r="A509" s="159" t="s">
        <v>1031</v>
      </c>
      <c r="B509" s="160" t="s">
        <v>96</v>
      </c>
      <c r="C509" s="161" t="s">
        <v>1025</v>
      </c>
      <c r="D509" s="162" t="s">
        <v>1134</v>
      </c>
      <c r="E509" s="161" t="s">
        <v>2576</v>
      </c>
      <c r="F509" s="163" t="s">
        <v>950</v>
      </c>
      <c r="G509" s="161" t="s">
        <v>2605</v>
      </c>
    </row>
    <row r="510">
      <c r="A510" s="159" t="s">
        <v>1031</v>
      </c>
      <c r="B510" s="160" t="s">
        <v>96</v>
      </c>
      <c r="C510" s="161" t="s">
        <v>1025</v>
      </c>
      <c r="D510" s="162" t="s">
        <v>1134</v>
      </c>
      <c r="E510" s="161" t="s">
        <v>2576</v>
      </c>
      <c r="F510" s="163" t="s">
        <v>521</v>
      </c>
      <c r="G510" s="161" t="s">
        <v>2613</v>
      </c>
    </row>
    <row r="511">
      <c r="A511" s="159" t="s">
        <v>1031</v>
      </c>
      <c r="B511" s="160" t="s">
        <v>96</v>
      </c>
      <c r="C511" s="161" t="s">
        <v>1025</v>
      </c>
      <c r="D511" s="162" t="s">
        <v>1134</v>
      </c>
      <c r="E511" s="161" t="s">
        <v>2576</v>
      </c>
      <c r="F511" s="163" t="s">
        <v>774</v>
      </c>
      <c r="G511" s="161" t="s">
        <v>2621</v>
      </c>
    </row>
    <row r="512">
      <c r="A512" s="165" t="s">
        <v>1044</v>
      </c>
      <c r="B512" s="160" t="s">
        <v>96</v>
      </c>
      <c r="C512" s="161" t="s">
        <v>1025</v>
      </c>
      <c r="D512" s="162" t="s">
        <v>1065</v>
      </c>
      <c r="E512" s="161" t="s">
        <v>2627</v>
      </c>
      <c r="F512" s="163" t="s">
        <v>552</v>
      </c>
      <c r="G512" s="161" t="s">
        <v>2630</v>
      </c>
    </row>
    <row r="513">
      <c r="A513" s="165" t="s">
        <v>1044</v>
      </c>
      <c r="B513" s="160" t="s">
        <v>96</v>
      </c>
      <c r="C513" s="161" t="s">
        <v>1025</v>
      </c>
      <c r="D513" s="162" t="s">
        <v>1065</v>
      </c>
      <c r="E513" s="161" t="s">
        <v>2627</v>
      </c>
      <c r="F513" s="163" t="s">
        <v>538</v>
      </c>
      <c r="G513" s="161" t="s">
        <v>2639</v>
      </c>
    </row>
    <row r="514">
      <c r="A514" s="165" t="s">
        <v>1044</v>
      </c>
      <c r="B514" s="160" t="s">
        <v>96</v>
      </c>
      <c r="C514" s="161" t="s">
        <v>1025</v>
      </c>
      <c r="D514" s="162" t="s">
        <v>1065</v>
      </c>
      <c r="E514" s="161" t="s">
        <v>2627</v>
      </c>
      <c r="F514" s="163" t="s">
        <v>586</v>
      </c>
      <c r="G514" s="161" t="s">
        <v>2646</v>
      </c>
    </row>
    <row r="515">
      <c r="A515" s="165" t="s">
        <v>1044</v>
      </c>
      <c r="B515" s="160" t="s">
        <v>96</v>
      </c>
      <c r="C515" s="161" t="s">
        <v>1025</v>
      </c>
      <c r="D515" s="162" t="s">
        <v>1065</v>
      </c>
      <c r="E515" s="161" t="s">
        <v>2627</v>
      </c>
      <c r="F515" s="163" t="s">
        <v>979</v>
      </c>
      <c r="G515" s="161" t="s">
        <v>2649</v>
      </c>
    </row>
    <row r="516">
      <c r="A516" s="165" t="s">
        <v>1044</v>
      </c>
      <c r="B516" s="160" t="s">
        <v>96</v>
      </c>
      <c r="C516" s="161" t="s">
        <v>1025</v>
      </c>
      <c r="D516" s="162" t="s">
        <v>1065</v>
      </c>
      <c r="E516" s="161" t="s">
        <v>2627</v>
      </c>
      <c r="F516" s="163" t="s">
        <v>847</v>
      </c>
      <c r="G516" s="161" t="s">
        <v>2654</v>
      </c>
    </row>
    <row r="517">
      <c r="A517" s="165" t="s">
        <v>1044</v>
      </c>
      <c r="B517" s="160" t="s">
        <v>96</v>
      </c>
      <c r="C517" s="161" t="s">
        <v>1025</v>
      </c>
      <c r="D517" s="162" t="s">
        <v>1370</v>
      </c>
      <c r="E517" s="161" t="s">
        <v>1460</v>
      </c>
      <c r="F517" s="163" t="s">
        <v>540</v>
      </c>
      <c r="G517" s="161" t="s">
        <v>2658</v>
      </c>
    </row>
    <row r="518">
      <c r="A518" s="165" t="s">
        <v>1044</v>
      </c>
      <c r="B518" s="160" t="s">
        <v>96</v>
      </c>
      <c r="C518" s="161" t="s">
        <v>1025</v>
      </c>
      <c r="D518" s="162" t="s">
        <v>1370</v>
      </c>
      <c r="E518" s="161" t="s">
        <v>1460</v>
      </c>
      <c r="F518" s="163" t="s">
        <v>629</v>
      </c>
      <c r="G518" s="161" t="s">
        <v>2252</v>
      </c>
    </row>
    <row r="519">
      <c r="A519" s="165" t="s">
        <v>1044</v>
      </c>
      <c r="B519" s="160" t="s">
        <v>96</v>
      </c>
      <c r="C519" s="161" t="s">
        <v>1025</v>
      </c>
      <c r="D519" s="162" t="s">
        <v>1370</v>
      </c>
      <c r="E519" s="161" t="s">
        <v>1460</v>
      </c>
      <c r="F519" s="163" t="s">
        <v>574</v>
      </c>
      <c r="G519" s="161" t="s">
        <v>2667</v>
      </c>
    </row>
    <row r="520">
      <c r="A520" s="165" t="s">
        <v>1044</v>
      </c>
      <c r="B520" s="160" t="s">
        <v>96</v>
      </c>
      <c r="C520" s="161" t="s">
        <v>1025</v>
      </c>
      <c r="D520" s="162" t="s">
        <v>1370</v>
      </c>
      <c r="E520" s="161" t="s">
        <v>1460</v>
      </c>
      <c r="F520" s="163" t="s">
        <v>897</v>
      </c>
      <c r="G520" s="161" t="s">
        <v>1461</v>
      </c>
    </row>
    <row r="521">
      <c r="A521" s="165" t="s">
        <v>1044</v>
      </c>
      <c r="B521" s="160" t="s">
        <v>96</v>
      </c>
      <c r="C521" s="161" t="s">
        <v>1025</v>
      </c>
      <c r="D521" s="162" t="s">
        <v>1370</v>
      </c>
      <c r="E521" s="161" t="s">
        <v>1460</v>
      </c>
      <c r="F521" s="163" t="s">
        <v>858</v>
      </c>
      <c r="G521" s="161" t="s">
        <v>2675</v>
      </c>
    </row>
    <row r="522">
      <c r="A522" s="165" t="s">
        <v>1044</v>
      </c>
      <c r="B522" s="160" t="s">
        <v>96</v>
      </c>
      <c r="C522" s="161" t="s">
        <v>1025</v>
      </c>
      <c r="D522" s="162" t="s">
        <v>1370</v>
      </c>
      <c r="E522" s="161" t="s">
        <v>1460</v>
      </c>
      <c r="F522" s="163" t="s">
        <v>849</v>
      </c>
      <c r="G522" s="161" t="s">
        <v>2679</v>
      </c>
    </row>
    <row r="523">
      <c r="A523" s="165" t="s">
        <v>1044</v>
      </c>
      <c r="B523" s="160" t="s">
        <v>96</v>
      </c>
      <c r="C523" s="161" t="s">
        <v>1025</v>
      </c>
      <c r="D523" s="162" t="s">
        <v>1370</v>
      </c>
      <c r="E523" s="161" t="s">
        <v>1460</v>
      </c>
      <c r="F523" s="163" t="s">
        <v>614</v>
      </c>
      <c r="G523" s="161" t="s">
        <v>2683</v>
      </c>
    </row>
    <row r="524">
      <c r="A524" s="165" t="s">
        <v>1044</v>
      </c>
      <c r="B524" s="160" t="s">
        <v>96</v>
      </c>
      <c r="C524" s="161" t="s">
        <v>1025</v>
      </c>
      <c r="D524" s="162" t="s">
        <v>1113</v>
      </c>
      <c r="E524" s="161" t="s">
        <v>1182</v>
      </c>
      <c r="F524" s="163" t="s">
        <v>531</v>
      </c>
      <c r="G524" s="161" t="s">
        <v>2688</v>
      </c>
    </row>
    <row r="525">
      <c r="A525" s="165" t="s">
        <v>1044</v>
      </c>
      <c r="B525" s="160" t="s">
        <v>96</v>
      </c>
      <c r="C525" s="161" t="s">
        <v>1025</v>
      </c>
      <c r="D525" s="162" t="s">
        <v>1113</v>
      </c>
      <c r="E525" s="161" t="s">
        <v>1182</v>
      </c>
      <c r="F525" s="163" t="s">
        <v>723</v>
      </c>
      <c r="G525" s="161" t="s">
        <v>2141</v>
      </c>
    </row>
    <row r="526">
      <c r="A526" s="165" t="s">
        <v>1044</v>
      </c>
      <c r="B526" s="160" t="s">
        <v>96</v>
      </c>
      <c r="C526" s="161" t="s">
        <v>1025</v>
      </c>
      <c r="D526" s="162" t="s">
        <v>1113</v>
      </c>
      <c r="E526" s="161" t="s">
        <v>1182</v>
      </c>
      <c r="F526" s="163" t="s">
        <v>868</v>
      </c>
      <c r="G526" s="161" t="s">
        <v>1517</v>
      </c>
    </row>
    <row r="527">
      <c r="A527" s="165" t="s">
        <v>1044</v>
      </c>
      <c r="B527" s="160" t="s">
        <v>96</v>
      </c>
      <c r="C527" s="161" t="s">
        <v>1025</v>
      </c>
      <c r="D527" s="162" t="s">
        <v>1113</v>
      </c>
      <c r="E527" s="161" t="s">
        <v>1182</v>
      </c>
      <c r="F527" s="163" t="s">
        <v>795</v>
      </c>
      <c r="G527" s="161" t="s">
        <v>1183</v>
      </c>
    </row>
    <row r="528">
      <c r="A528" s="165" t="s">
        <v>1044</v>
      </c>
      <c r="B528" s="160" t="s">
        <v>96</v>
      </c>
      <c r="C528" s="161" t="s">
        <v>1025</v>
      </c>
      <c r="D528" s="162" t="s">
        <v>1126</v>
      </c>
      <c r="E528" s="161" t="s">
        <v>1465</v>
      </c>
      <c r="F528" s="163" t="s">
        <v>527</v>
      </c>
      <c r="G528" s="161" t="s">
        <v>2702</v>
      </c>
    </row>
    <row r="529">
      <c r="A529" s="165" t="s">
        <v>1044</v>
      </c>
      <c r="B529" s="160" t="s">
        <v>96</v>
      </c>
      <c r="C529" s="161" t="s">
        <v>1025</v>
      </c>
      <c r="D529" s="162" t="s">
        <v>1126</v>
      </c>
      <c r="E529" s="161" t="s">
        <v>1465</v>
      </c>
      <c r="F529" s="163" t="s">
        <v>740</v>
      </c>
      <c r="G529" s="161" t="s">
        <v>1562</v>
      </c>
    </row>
    <row r="530">
      <c r="A530" s="165" t="s">
        <v>1044</v>
      </c>
      <c r="B530" s="160" t="s">
        <v>96</v>
      </c>
      <c r="C530" s="161" t="s">
        <v>1025</v>
      </c>
      <c r="D530" s="162" t="s">
        <v>1126</v>
      </c>
      <c r="E530" s="161" t="s">
        <v>1465</v>
      </c>
      <c r="F530" s="163" t="s">
        <v>865</v>
      </c>
      <c r="G530" s="161" t="s">
        <v>1467</v>
      </c>
    </row>
    <row r="531">
      <c r="A531" s="165" t="s">
        <v>1044</v>
      </c>
      <c r="B531" s="160" t="s">
        <v>102</v>
      </c>
      <c r="C531" s="161" t="s">
        <v>1025</v>
      </c>
      <c r="D531" s="162" t="s">
        <v>1381</v>
      </c>
      <c r="E531" s="161" t="s">
        <v>1382</v>
      </c>
      <c r="F531" s="163" t="s">
        <v>846</v>
      </c>
      <c r="G531" s="161" t="s">
        <v>1802</v>
      </c>
    </row>
    <row r="532">
      <c r="A532" s="165" t="s">
        <v>1044</v>
      </c>
      <c r="B532" s="160" t="s">
        <v>102</v>
      </c>
      <c r="C532" s="161" t="s">
        <v>1025</v>
      </c>
      <c r="D532" s="162" t="s">
        <v>1381</v>
      </c>
      <c r="E532" s="161" t="s">
        <v>1382</v>
      </c>
      <c r="F532" s="163" t="s">
        <v>939</v>
      </c>
      <c r="G532" s="161" t="s">
        <v>1470</v>
      </c>
    </row>
    <row r="533">
      <c r="A533" s="165" t="s">
        <v>1044</v>
      </c>
      <c r="B533" s="160" t="s">
        <v>102</v>
      </c>
      <c r="C533" s="161" t="s">
        <v>1025</v>
      </c>
      <c r="D533" s="162" t="s">
        <v>1381</v>
      </c>
      <c r="E533" s="161" t="s">
        <v>1382</v>
      </c>
      <c r="F533" s="163" t="s">
        <v>652</v>
      </c>
      <c r="G533" s="161" t="s">
        <v>2719</v>
      </c>
    </row>
    <row r="534">
      <c r="A534" s="165" t="s">
        <v>1044</v>
      </c>
      <c r="B534" s="160" t="s">
        <v>102</v>
      </c>
      <c r="C534" s="161" t="s">
        <v>1025</v>
      </c>
      <c r="D534" s="162" t="s">
        <v>1381</v>
      </c>
      <c r="E534" s="161" t="s">
        <v>1382</v>
      </c>
      <c r="F534" s="163" t="s">
        <v>793</v>
      </c>
      <c r="G534" s="161" t="s">
        <v>2722</v>
      </c>
    </row>
    <row r="535">
      <c r="A535" s="165" t="s">
        <v>1044</v>
      </c>
      <c r="B535" s="160" t="s">
        <v>102</v>
      </c>
      <c r="C535" s="161" t="s">
        <v>1025</v>
      </c>
      <c r="D535" s="162" t="s">
        <v>1381</v>
      </c>
      <c r="E535" s="161" t="s">
        <v>1382</v>
      </c>
      <c r="F535" s="163" t="s">
        <v>786</v>
      </c>
      <c r="G535" s="161" t="s">
        <v>1383</v>
      </c>
    </row>
    <row r="536">
      <c r="A536" s="165" t="s">
        <v>1044</v>
      </c>
      <c r="B536" s="160" t="s">
        <v>102</v>
      </c>
      <c r="C536" s="161" t="s">
        <v>1025</v>
      </c>
      <c r="D536" s="162" t="s">
        <v>1381</v>
      </c>
      <c r="E536" s="161" t="s">
        <v>1382</v>
      </c>
      <c r="F536" s="163" t="s">
        <v>620</v>
      </c>
      <c r="G536" s="161" t="s">
        <v>2729</v>
      </c>
    </row>
    <row r="537">
      <c r="A537" s="165" t="s">
        <v>1044</v>
      </c>
      <c r="B537" s="160" t="s">
        <v>102</v>
      </c>
      <c r="C537" s="161" t="s">
        <v>1025</v>
      </c>
      <c r="D537" s="162" t="s">
        <v>1381</v>
      </c>
      <c r="E537" s="161" t="s">
        <v>1382</v>
      </c>
      <c r="F537" s="163" t="s">
        <v>964</v>
      </c>
      <c r="G537" s="161" t="s">
        <v>2733</v>
      </c>
    </row>
    <row r="538">
      <c r="A538" s="165" t="s">
        <v>1044</v>
      </c>
      <c r="B538" s="160" t="s">
        <v>102</v>
      </c>
      <c r="C538" s="161" t="s">
        <v>1025</v>
      </c>
      <c r="D538" s="162" t="s">
        <v>1381</v>
      </c>
      <c r="E538" s="161" t="s">
        <v>1382</v>
      </c>
      <c r="F538" s="163" t="s">
        <v>871</v>
      </c>
      <c r="G538" s="161" t="s">
        <v>2737</v>
      </c>
    </row>
    <row r="539">
      <c r="A539" s="165" t="s">
        <v>1044</v>
      </c>
      <c r="B539" s="160" t="s">
        <v>102</v>
      </c>
      <c r="C539" s="161" t="s">
        <v>1025</v>
      </c>
      <c r="D539" s="162" t="s">
        <v>1381</v>
      </c>
      <c r="E539" s="161" t="s">
        <v>1382</v>
      </c>
      <c r="F539" s="163" t="s">
        <v>613</v>
      </c>
      <c r="G539" s="161" t="s">
        <v>1670</v>
      </c>
    </row>
    <row r="540">
      <c r="A540" s="165" t="s">
        <v>1044</v>
      </c>
      <c r="B540" s="160" t="s">
        <v>102</v>
      </c>
      <c r="C540" s="161" t="s">
        <v>1025</v>
      </c>
      <c r="D540" s="162" t="s">
        <v>1381</v>
      </c>
      <c r="E540" s="161" t="s">
        <v>1382</v>
      </c>
      <c r="F540" s="163" t="s">
        <v>1003</v>
      </c>
      <c r="G540" s="161" t="s">
        <v>2743</v>
      </c>
    </row>
    <row r="541">
      <c r="A541" s="165" t="s">
        <v>1044</v>
      </c>
      <c r="B541" s="160" t="s">
        <v>102</v>
      </c>
      <c r="C541" s="161" t="s">
        <v>1025</v>
      </c>
      <c r="D541" s="162" t="s">
        <v>1381</v>
      </c>
      <c r="E541" s="161" t="s">
        <v>1382</v>
      </c>
      <c r="F541" s="163" t="s">
        <v>665</v>
      </c>
      <c r="G541" s="161" t="s">
        <v>2746</v>
      </c>
    </row>
    <row r="542">
      <c r="A542" s="165" t="s">
        <v>1044</v>
      </c>
      <c r="B542" s="160" t="s">
        <v>102</v>
      </c>
      <c r="C542" s="161" t="s">
        <v>1025</v>
      </c>
      <c r="D542" s="162" t="s">
        <v>1381</v>
      </c>
      <c r="E542" s="161" t="s">
        <v>1382</v>
      </c>
      <c r="F542" s="163" t="s">
        <v>892</v>
      </c>
      <c r="G542" s="161" t="s">
        <v>2749</v>
      </c>
    </row>
    <row r="543">
      <c r="A543" s="165" t="s">
        <v>1044</v>
      </c>
      <c r="B543" s="160" t="s">
        <v>102</v>
      </c>
      <c r="C543" s="161" t="s">
        <v>1025</v>
      </c>
      <c r="D543" s="162" t="s">
        <v>1186</v>
      </c>
      <c r="E543" s="161" t="s">
        <v>1187</v>
      </c>
      <c r="F543" s="163" t="s">
        <v>752</v>
      </c>
      <c r="G543" s="161" t="s">
        <v>1682</v>
      </c>
    </row>
    <row r="544">
      <c r="A544" s="165" t="s">
        <v>1044</v>
      </c>
      <c r="B544" s="160" t="s">
        <v>102</v>
      </c>
      <c r="C544" s="161" t="s">
        <v>1025</v>
      </c>
      <c r="D544" s="162" t="s">
        <v>1186</v>
      </c>
      <c r="E544" s="161" t="s">
        <v>1187</v>
      </c>
      <c r="F544" s="163" t="s">
        <v>676</v>
      </c>
      <c r="G544" s="161" t="s">
        <v>2071</v>
      </c>
    </row>
    <row r="545">
      <c r="A545" s="165" t="s">
        <v>1044</v>
      </c>
      <c r="B545" s="160" t="s">
        <v>102</v>
      </c>
      <c r="C545" s="161" t="s">
        <v>1025</v>
      </c>
      <c r="D545" s="162" t="s">
        <v>1186</v>
      </c>
      <c r="E545" s="161" t="s">
        <v>1187</v>
      </c>
      <c r="F545" s="163" t="s">
        <v>2760</v>
      </c>
      <c r="G545" s="161" t="s">
        <v>2762</v>
      </c>
    </row>
    <row r="546">
      <c r="A546" s="165" t="s">
        <v>1044</v>
      </c>
      <c r="B546" s="160" t="s">
        <v>102</v>
      </c>
      <c r="C546" s="161" t="s">
        <v>1025</v>
      </c>
      <c r="D546" s="162" t="s">
        <v>1186</v>
      </c>
      <c r="E546" s="161" t="s">
        <v>1187</v>
      </c>
      <c r="F546" s="163" t="s">
        <v>814</v>
      </c>
      <c r="G546" s="161" t="s">
        <v>1385</v>
      </c>
    </row>
    <row r="547">
      <c r="A547" s="165" t="s">
        <v>1044</v>
      </c>
      <c r="B547" s="160" t="s">
        <v>102</v>
      </c>
      <c r="C547" s="161" t="s">
        <v>1025</v>
      </c>
      <c r="D547" s="162" t="s">
        <v>1186</v>
      </c>
      <c r="E547" s="161" t="s">
        <v>1187</v>
      </c>
      <c r="F547" s="163" t="s">
        <v>936</v>
      </c>
      <c r="G547" s="161" t="s">
        <v>1813</v>
      </c>
    </row>
    <row r="548">
      <c r="A548" s="165" t="s">
        <v>1044</v>
      </c>
      <c r="B548" s="160" t="s">
        <v>102</v>
      </c>
      <c r="C548" s="161" t="s">
        <v>1025</v>
      </c>
      <c r="D548" s="162" t="s">
        <v>1186</v>
      </c>
      <c r="E548" s="161" t="s">
        <v>1187</v>
      </c>
      <c r="F548" s="163" t="s">
        <v>830</v>
      </c>
      <c r="G548" s="161" t="s">
        <v>2198</v>
      </c>
    </row>
    <row r="549">
      <c r="A549" s="165" t="s">
        <v>1044</v>
      </c>
      <c r="B549" s="160" t="s">
        <v>102</v>
      </c>
      <c r="C549" s="161" t="s">
        <v>1025</v>
      </c>
      <c r="D549" s="162" t="s">
        <v>1186</v>
      </c>
      <c r="E549" s="161" t="s">
        <v>1187</v>
      </c>
      <c r="F549" s="163" t="s">
        <v>887</v>
      </c>
      <c r="G549" s="161" t="s">
        <v>1387</v>
      </c>
    </row>
    <row r="550">
      <c r="A550" s="165" t="s">
        <v>1044</v>
      </c>
      <c r="B550" s="160" t="s">
        <v>102</v>
      </c>
      <c r="C550" s="161" t="s">
        <v>1025</v>
      </c>
      <c r="D550" s="162" t="s">
        <v>1186</v>
      </c>
      <c r="E550" s="161" t="s">
        <v>1187</v>
      </c>
      <c r="F550" s="163" t="s">
        <v>738</v>
      </c>
      <c r="G550" s="161" t="s">
        <v>1395</v>
      </c>
    </row>
    <row r="551">
      <c r="A551" s="165" t="s">
        <v>1044</v>
      </c>
      <c r="B551" s="160" t="s">
        <v>102</v>
      </c>
      <c r="C551" s="161" t="s">
        <v>1025</v>
      </c>
      <c r="D551" s="162" t="s">
        <v>1186</v>
      </c>
      <c r="E551" s="161" t="s">
        <v>1187</v>
      </c>
      <c r="F551" s="163" t="s">
        <v>914</v>
      </c>
      <c r="G551" s="161" t="s">
        <v>1276</v>
      </c>
    </row>
    <row r="552">
      <c r="A552" s="165" t="s">
        <v>1044</v>
      </c>
      <c r="B552" s="160" t="s">
        <v>102</v>
      </c>
      <c r="C552" s="161" t="s">
        <v>1025</v>
      </c>
      <c r="D552" s="162" t="s">
        <v>1186</v>
      </c>
      <c r="E552" s="161" t="s">
        <v>1187</v>
      </c>
      <c r="F552" s="163" t="s">
        <v>912</v>
      </c>
      <c r="G552" s="161" t="s">
        <v>1189</v>
      </c>
    </row>
    <row r="553">
      <c r="A553" s="165" t="s">
        <v>1044</v>
      </c>
      <c r="B553" s="160" t="s">
        <v>102</v>
      </c>
      <c r="C553" s="161" t="s">
        <v>1025</v>
      </c>
      <c r="D553" s="162" t="s">
        <v>1278</v>
      </c>
      <c r="E553" s="161" t="s">
        <v>1279</v>
      </c>
      <c r="F553" s="163" t="s">
        <v>808</v>
      </c>
      <c r="G553" s="161" t="s">
        <v>1280</v>
      </c>
    </row>
    <row r="554">
      <c r="A554" s="165" t="s">
        <v>1044</v>
      </c>
      <c r="B554" s="160" t="s">
        <v>102</v>
      </c>
      <c r="C554" s="161" t="s">
        <v>1025</v>
      </c>
      <c r="D554" s="162" t="s">
        <v>1278</v>
      </c>
      <c r="E554" s="161" t="s">
        <v>1279</v>
      </c>
      <c r="F554" s="163" t="s">
        <v>701</v>
      </c>
      <c r="G554" s="161" t="s">
        <v>1282</v>
      </c>
    </row>
  </sheetData>
  <autoFilter ref="$A$1:$Z$554">
    <sortState ref="A1:Z554">
      <sortCondition ref="B1:B554"/>
      <sortCondition ref="A1:A554"/>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38"/>
    <col customWidth="1" min="2" max="2" width="31.88"/>
    <col customWidth="1" min="3" max="3" width="57.63"/>
    <col customWidth="1" min="4" max="4" width="43.75"/>
  </cols>
  <sheetData>
    <row r="1">
      <c r="A1" s="29" t="s">
        <v>31</v>
      </c>
      <c r="B1" s="29" t="s">
        <v>1019</v>
      </c>
      <c r="C1" s="29" t="s">
        <v>1020</v>
      </c>
      <c r="D1" s="29" t="s">
        <v>1569</v>
      </c>
      <c r="E1" s="29" t="s">
        <v>1018</v>
      </c>
    </row>
    <row r="2">
      <c r="A2" s="170" t="s">
        <v>1571</v>
      </c>
      <c r="B2" s="171" t="s">
        <v>1427</v>
      </c>
      <c r="C2" s="172" t="s">
        <v>1584</v>
      </c>
      <c r="D2" s="172" t="s">
        <v>1585</v>
      </c>
    </row>
    <row r="3">
      <c r="A3" s="170"/>
      <c r="B3" s="171"/>
      <c r="C3" s="172"/>
      <c r="D3" s="172" t="s">
        <v>1588</v>
      </c>
      <c r="E3" s="171"/>
    </row>
    <row r="4">
      <c r="A4" s="170"/>
      <c r="C4" s="172" t="s">
        <v>1589</v>
      </c>
      <c r="D4" s="172" t="s">
        <v>1590</v>
      </c>
    </row>
    <row r="5">
      <c r="A5" s="170"/>
      <c r="C5" s="172"/>
      <c r="D5" s="172" t="s">
        <v>1592</v>
      </c>
    </row>
    <row r="6">
      <c r="A6" s="170"/>
      <c r="C6" s="172"/>
      <c r="D6" s="172" t="s">
        <v>1593</v>
      </c>
      <c r="E6" s="172"/>
    </row>
    <row r="7">
      <c r="A7" s="170"/>
      <c r="C7" s="172"/>
      <c r="D7" s="172" t="s">
        <v>1595</v>
      </c>
      <c r="E7" s="172"/>
    </row>
    <row r="8">
      <c r="A8" s="170"/>
      <c r="C8" s="172"/>
      <c r="D8" s="172" t="s">
        <v>1596</v>
      </c>
      <c r="E8" s="172"/>
    </row>
    <row r="9">
      <c r="A9" s="170"/>
      <c r="C9" s="172"/>
      <c r="D9" s="172" t="s">
        <v>1597</v>
      </c>
      <c r="E9" s="173"/>
    </row>
    <row r="10">
      <c r="A10" s="170"/>
      <c r="C10" s="172"/>
      <c r="D10" s="172" t="s">
        <v>1599</v>
      </c>
    </row>
    <row r="11">
      <c r="A11" s="170"/>
      <c r="C11" s="172"/>
      <c r="D11" s="172" t="s">
        <v>1601</v>
      </c>
    </row>
    <row r="12">
      <c r="A12" s="170"/>
      <c r="C12" s="172" t="s">
        <v>1602</v>
      </c>
      <c r="D12" s="172" t="s">
        <v>1603</v>
      </c>
    </row>
    <row r="13">
      <c r="A13" s="170"/>
      <c r="C13" s="172"/>
      <c r="D13" s="172" t="s">
        <v>1604</v>
      </c>
    </row>
    <row r="14">
      <c r="A14" s="170"/>
      <c r="C14" s="172"/>
      <c r="D14" s="172" t="s">
        <v>1605</v>
      </c>
    </row>
    <row r="15">
      <c r="A15" s="170"/>
      <c r="C15" s="172"/>
      <c r="D15" s="172" t="s">
        <v>1606</v>
      </c>
    </row>
    <row r="16">
      <c r="A16" s="170"/>
      <c r="C16" s="172"/>
      <c r="D16" s="172" t="s">
        <v>1607</v>
      </c>
    </row>
    <row r="17">
      <c r="A17" s="170"/>
      <c r="C17" s="172"/>
      <c r="D17" s="172" t="s">
        <v>1608</v>
      </c>
    </row>
    <row r="18">
      <c r="A18" s="170"/>
      <c r="C18" s="172"/>
      <c r="D18" s="172" t="s">
        <v>1610</v>
      </c>
    </row>
    <row r="19">
      <c r="C19" s="172" t="s">
        <v>1611</v>
      </c>
      <c r="D19" s="172" t="s">
        <v>1612</v>
      </c>
    </row>
    <row r="20">
      <c r="C20" s="172"/>
      <c r="D20" s="172" t="s">
        <v>1613</v>
      </c>
    </row>
    <row r="21">
      <c r="C21" s="172"/>
      <c r="D21" s="172" t="s">
        <v>1614</v>
      </c>
    </row>
    <row r="22">
      <c r="C22" s="172"/>
      <c r="D22" s="172" t="s">
        <v>1615</v>
      </c>
    </row>
    <row r="23">
      <c r="C23" s="172"/>
      <c r="D23" s="172" t="s">
        <v>1616</v>
      </c>
    </row>
    <row r="24">
      <c r="C24" s="172"/>
      <c r="D24" s="172" t="s">
        <v>1618</v>
      </c>
    </row>
    <row r="25">
      <c r="B25" s="29" t="s">
        <v>1619</v>
      </c>
      <c r="C25" s="172" t="s">
        <v>1620</v>
      </c>
      <c r="D25" s="172" t="s">
        <v>1621</v>
      </c>
    </row>
    <row r="26">
      <c r="C26" s="172"/>
      <c r="D26" s="172" t="s">
        <v>1622</v>
      </c>
    </row>
    <row r="27">
      <c r="C27" s="172" t="s">
        <v>1624</v>
      </c>
      <c r="D27" s="172" t="s">
        <v>1626</v>
      </c>
    </row>
    <row r="28">
      <c r="C28" s="172" t="s">
        <v>1627</v>
      </c>
      <c r="D28" s="172" t="s">
        <v>1628</v>
      </c>
    </row>
    <row r="29">
      <c r="C29" s="172" t="s">
        <v>1629</v>
      </c>
      <c r="D29" s="172" t="s">
        <v>1631</v>
      </c>
    </row>
    <row r="30">
      <c r="C30" s="172"/>
      <c r="D30" s="172" t="s">
        <v>1632</v>
      </c>
    </row>
    <row r="31">
      <c r="C31" s="172" t="s">
        <v>1634</v>
      </c>
      <c r="D31" s="172" t="s">
        <v>1635</v>
      </c>
    </row>
    <row r="32">
      <c r="C32" s="172"/>
      <c r="D32" s="172" t="s">
        <v>1636</v>
      </c>
    </row>
    <row r="33">
      <c r="C33" s="172"/>
      <c r="D33" s="172" t="s">
        <v>1638</v>
      </c>
    </row>
    <row r="34">
      <c r="C34" s="172"/>
      <c r="D34" s="172" t="s">
        <v>1640</v>
      </c>
    </row>
    <row r="35">
      <c r="A35" s="174"/>
      <c r="C35" s="172" t="s">
        <v>1643</v>
      </c>
      <c r="D35" s="172" t="s">
        <v>1644</v>
      </c>
    </row>
    <row r="36">
      <c r="A36" s="174" t="s">
        <v>1646</v>
      </c>
      <c r="B36" s="29" t="s">
        <v>1647</v>
      </c>
      <c r="C36" s="172" t="s">
        <v>1648</v>
      </c>
      <c r="D36" s="172" t="s">
        <v>1649</v>
      </c>
    </row>
    <row r="37">
      <c r="A37" s="174"/>
      <c r="C37" s="172"/>
      <c r="D37" s="172" t="s">
        <v>1650</v>
      </c>
    </row>
    <row r="38">
      <c r="A38" s="174"/>
      <c r="C38" s="172" t="s">
        <v>1651</v>
      </c>
      <c r="D38" s="172" t="s">
        <v>1653</v>
      </c>
    </row>
    <row r="39">
      <c r="A39" s="174"/>
      <c r="C39" s="172"/>
      <c r="D39" s="172" t="s">
        <v>1654</v>
      </c>
    </row>
    <row r="40">
      <c r="A40" s="174"/>
      <c r="C40" s="172"/>
      <c r="D40" s="172" t="s">
        <v>1655</v>
      </c>
    </row>
    <row r="41">
      <c r="A41" s="174"/>
      <c r="C41" s="172"/>
      <c r="D41" s="172" t="s">
        <v>1658</v>
      </c>
    </row>
    <row r="42">
      <c r="A42" s="174"/>
      <c r="C42" s="172"/>
      <c r="D42" s="172" t="s">
        <v>1659</v>
      </c>
    </row>
    <row r="43">
      <c r="A43" s="174"/>
      <c r="C43" s="172"/>
      <c r="D43" s="172" t="s">
        <v>1661</v>
      </c>
    </row>
    <row r="44">
      <c r="A44" s="174"/>
      <c r="C44" s="172"/>
      <c r="D44" s="172" t="s">
        <v>1662</v>
      </c>
    </row>
    <row r="45">
      <c r="A45" s="174"/>
      <c r="C45" s="172"/>
      <c r="D45" s="172" t="s">
        <v>1663</v>
      </c>
    </row>
    <row r="46">
      <c r="A46" s="174"/>
      <c r="C46" s="172"/>
      <c r="D46" s="172" t="s">
        <v>1665</v>
      </c>
    </row>
    <row r="47">
      <c r="A47" s="174"/>
      <c r="C47" s="172" t="s">
        <v>1666</v>
      </c>
      <c r="D47" s="172" t="s">
        <v>1667</v>
      </c>
    </row>
    <row r="48">
      <c r="A48" s="174"/>
      <c r="B48" s="29" t="s">
        <v>1669</v>
      </c>
      <c r="C48" s="172" t="s">
        <v>1671</v>
      </c>
      <c r="D48" s="172" t="s">
        <v>1672</v>
      </c>
    </row>
    <row r="49">
      <c r="A49" s="174"/>
      <c r="C49" s="172"/>
      <c r="D49" s="172" t="s">
        <v>1673</v>
      </c>
    </row>
    <row r="50">
      <c r="C50" s="172" t="s">
        <v>1675</v>
      </c>
      <c r="D50" s="172" t="s">
        <v>1676</v>
      </c>
    </row>
    <row r="51">
      <c r="C51" s="172"/>
      <c r="D51" s="172" t="s">
        <v>1677</v>
      </c>
    </row>
    <row r="52">
      <c r="C52" s="172"/>
      <c r="D52" s="172" t="s">
        <v>1679</v>
      </c>
    </row>
    <row r="53">
      <c r="C53" s="172"/>
      <c r="D53" s="172" t="s">
        <v>1680</v>
      </c>
    </row>
    <row r="54">
      <c r="C54" s="172"/>
      <c r="D54" s="172" t="s">
        <v>1681</v>
      </c>
    </row>
    <row r="55">
      <c r="C55" s="172"/>
      <c r="D55" s="172" t="s">
        <v>1684</v>
      </c>
    </row>
    <row r="56">
      <c r="C56" s="172" t="s">
        <v>1685</v>
      </c>
      <c r="D56" s="29" t="s">
        <v>1686</v>
      </c>
    </row>
    <row r="57">
      <c r="A57" s="174" t="s">
        <v>1687</v>
      </c>
      <c r="B57" s="29" t="s">
        <v>1687</v>
      </c>
      <c r="C57" s="172" t="s">
        <v>1688</v>
      </c>
    </row>
    <row r="58">
      <c r="C58" s="172"/>
      <c r="D58" s="172" t="s">
        <v>1690</v>
      </c>
    </row>
    <row r="59">
      <c r="C59" s="172"/>
      <c r="D59" s="172" t="s">
        <v>1691</v>
      </c>
    </row>
    <row r="60">
      <c r="C60" s="172" t="s">
        <v>1692</v>
      </c>
    </row>
    <row r="61">
      <c r="C61" s="172"/>
      <c r="D61" s="172" t="s">
        <v>1693</v>
      </c>
    </row>
    <row r="62">
      <c r="C62" s="172"/>
      <c r="D62" s="172" t="s">
        <v>1695</v>
      </c>
    </row>
    <row r="63">
      <c r="C63" s="172"/>
      <c r="D63" s="172" t="s">
        <v>1696</v>
      </c>
    </row>
    <row r="64">
      <c r="C64" s="172"/>
      <c r="D64" s="172" t="s">
        <v>1698</v>
      </c>
    </row>
    <row r="65">
      <c r="C65" s="172" t="s">
        <v>1699</v>
      </c>
    </row>
    <row r="66">
      <c r="C66" s="172"/>
      <c r="D66" s="172" t="s">
        <v>1700</v>
      </c>
    </row>
    <row r="67">
      <c r="C67" s="172"/>
      <c r="D67" s="172" t="s">
        <v>1701</v>
      </c>
    </row>
    <row r="68">
      <c r="C68" s="172" t="s">
        <v>1703</v>
      </c>
    </row>
    <row r="69">
      <c r="C69" s="172"/>
      <c r="D69" s="172" t="s">
        <v>1704</v>
      </c>
    </row>
    <row r="70">
      <c r="C70" s="172"/>
      <c r="D70" s="172" t="s">
        <v>1705</v>
      </c>
    </row>
    <row r="71">
      <c r="C71" s="172" t="s">
        <v>1706</v>
      </c>
    </row>
    <row r="72">
      <c r="C72" s="172"/>
      <c r="D72" s="172" t="s">
        <v>1708</v>
      </c>
    </row>
    <row r="73">
      <c r="C73" s="172"/>
      <c r="D73" s="172" t="s">
        <v>1709</v>
      </c>
    </row>
    <row r="74">
      <c r="C74" s="172"/>
      <c r="D74" s="172" t="s">
        <v>1710</v>
      </c>
    </row>
    <row r="75">
      <c r="C75" s="172"/>
      <c r="D75" s="172" t="s">
        <v>1711</v>
      </c>
    </row>
    <row r="76">
      <c r="C76" s="172"/>
      <c r="D76" s="172" t="s">
        <v>1712</v>
      </c>
    </row>
    <row r="77">
      <c r="C77" s="172"/>
      <c r="D77" s="172" t="s">
        <v>1713</v>
      </c>
    </row>
    <row r="78">
      <c r="C78" s="172"/>
      <c r="D78" s="172" t="s">
        <v>1715</v>
      </c>
    </row>
    <row r="79">
      <c r="C79" s="172"/>
      <c r="D79" s="172" t="s">
        <v>1716</v>
      </c>
    </row>
    <row r="80">
      <c r="C80" s="172"/>
      <c r="D80" s="172" t="s">
        <v>1717</v>
      </c>
    </row>
    <row r="81">
      <c r="C81" s="172" t="s">
        <v>1718</v>
      </c>
    </row>
    <row r="82">
      <c r="C82" s="172"/>
      <c r="D82" s="172" t="s">
        <v>1719</v>
      </c>
    </row>
    <row r="83">
      <c r="A83" s="174"/>
      <c r="C83" s="172"/>
      <c r="D83" s="172" t="s">
        <v>1721</v>
      </c>
    </row>
    <row r="84">
      <c r="A84" s="174"/>
      <c r="C84" s="172"/>
      <c r="D84" s="172" t="s">
        <v>1722</v>
      </c>
    </row>
    <row r="85">
      <c r="A85" s="174"/>
      <c r="C85" s="172"/>
      <c r="D85" s="172" t="s">
        <v>1723</v>
      </c>
    </row>
    <row r="86">
      <c r="A86" s="174"/>
      <c r="C86" s="172"/>
      <c r="D86" s="172" t="s">
        <v>1725</v>
      </c>
    </row>
    <row r="87">
      <c r="A87" s="174"/>
      <c r="C87" s="172"/>
      <c r="D87" s="172" t="s">
        <v>1727</v>
      </c>
    </row>
    <row r="88">
      <c r="A88" s="174"/>
      <c r="C88" s="172"/>
      <c r="D88" s="172" t="s">
        <v>1728</v>
      </c>
    </row>
    <row r="89">
      <c r="A89" s="174"/>
      <c r="C89" s="172"/>
      <c r="D89" s="172" t="s">
        <v>1730</v>
      </c>
    </row>
    <row r="90">
      <c r="A90" s="174"/>
      <c r="C90" s="172" t="s">
        <v>1732</v>
      </c>
    </row>
    <row r="91">
      <c r="A91" s="174"/>
      <c r="C91" s="172"/>
      <c r="D91" s="172" t="s">
        <v>1733</v>
      </c>
    </row>
    <row r="92">
      <c r="A92" s="174"/>
      <c r="C92" s="172"/>
      <c r="D92" s="172" t="s">
        <v>1734</v>
      </c>
    </row>
    <row r="93">
      <c r="A93" s="174"/>
      <c r="C93" s="172"/>
      <c r="D93" s="172" t="s">
        <v>1736</v>
      </c>
    </row>
    <row r="94">
      <c r="A94" s="174"/>
      <c r="C94" s="172"/>
      <c r="D94" s="172" t="s">
        <v>1737</v>
      </c>
    </row>
    <row r="95">
      <c r="A95" s="174"/>
      <c r="C95" s="172"/>
      <c r="D95" s="172" t="s">
        <v>1738</v>
      </c>
    </row>
    <row r="96">
      <c r="A96" s="174"/>
      <c r="B96" s="29" t="s">
        <v>1740</v>
      </c>
      <c r="C96" s="172" t="s">
        <v>1741</v>
      </c>
    </row>
    <row r="97">
      <c r="A97" s="174"/>
      <c r="C97" s="172"/>
      <c r="D97" s="172" t="s">
        <v>1742</v>
      </c>
    </row>
    <row r="98">
      <c r="A98" s="174"/>
      <c r="C98" s="172"/>
      <c r="D98" s="172" t="s">
        <v>1744</v>
      </c>
    </row>
    <row r="99">
      <c r="A99" s="174"/>
      <c r="C99" s="172" t="s">
        <v>1745</v>
      </c>
    </row>
    <row r="100">
      <c r="A100" s="174"/>
      <c r="C100" s="172"/>
      <c r="D100" s="172" t="s">
        <v>1746</v>
      </c>
    </row>
    <row r="101">
      <c r="A101" s="174"/>
      <c r="C101" s="172" t="s">
        <v>1748</v>
      </c>
    </row>
    <row r="102">
      <c r="A102" s="174"/>
      <c r="C102" s="172"/>
      <c r="D102" s="172" t="s">
        <v>1749</v>
      </c>
    </row>
    <row r="103">
      <c r="A103" s="174"/>
      <c r="C103" s="172"/>
      <c r="D103" s="172" t="s">
        <v>1751</v>
      </c>
    </row>
    <row r="104">
      <c r="A104" s="174"/>
      <c r="C104" s="172"/>
      <c r="D104" s="172" t="s">
        <v>1752</v>
      </c>
    </row>
    <row r="105">
      <c r="A105" s="174"/>
      <c r="C105" s="172" t="s">
        <v>1755</v>
      </c>
    </row>
    <row r="106">
      <c r="A106" s="174"/>
      <c r="C106" s="172"/>
      <c r="D106" s="172" t="s">
        <v>1758</v>
      </c>
    </row>
    <row r="107">
      <c r="A107" s="174"/>
      <c r="C107" s="172" t="s">
        <v>1759</v>
      </c>
    </row>
    <row r="108">
      <c r="A108" s="174"/>
      <c r="C108" s="172"/>
      <c r="D108" s="172" t="s">
        <v>1760</v>
      </c>
    </row>
    <row r="109">
      <c r="A109" s="174"/>
      <c r="C109" s="172" t="s">
        <v>1762</v>
      </c>
    </row>
    <row r="110">
      <c r="A110" s="174"/>
      <c r="C110" s="172"/>
      <c r="D110" s="172" t="s">
        <v>1763</v>
      </c>
    </row>
    <row r="111">
      <c r="A111" s="174"/>
      <c r="C111" s="172" t="s">
        <v>1764</v>
      </c>
    </row>
    <row r="112">
      <c r="A112" s="174"/>
      <c r="C112" s="172"/>
      <c r="D112" s="172" t="s">
        <v>1766</v>
      </c>
    </row>
    <row r="113">
      <c r="B113" s="29" t="s">
        <v>1768</v>
      </c>
      <c r="C113" s="172" t="s">
        <v>1769</v>
      </c>
    </row>
    <row r="114">
      <c r="C114" s="172"/>
      <c r="D114" s="172" t="s">
        <v>1770</v>
      </c>
    </row>
    <row r="115">
      <c r="C115" s="172"/>
      <c r="D115" s="172" t="s">
        <v>1772</v>
      </c>
    </row>
    <row r="116">
      <c r="C116" s="172" t="s">
        <v>1773</v>
      </c>
    </row>
    <row r="117">
      <c r="C117" s="172"/>
      <c r="D117" s="172" t="s">
        <v>1775</v>
      </c>
    </row>
    <row r="118">
      <c r="C118" s="172"/>
      <c r="D118" s="172" t="s">
        <v>1776</v>
      </c>
    </row>
    <row r="119">
      <c r="C119" s="172" t="s">
        <v>1777</v>
      </c>
    </row>
    <row r="120">
      <c r="C120" s="172"/>
      <c r="D120" s="172" t="s">
        <v>1780</v>
      </c>
    </row>
    <row r="121">
      <c r="C121" s="172"/>
      <c r="D121" s="172" t="s">
        <v>1781</v>
      </c>
    </row>
    <row r="122">
      <c r="C122" s="172"/>
      <c r="D122" s="172" t="s">
        <v>1782</v>
      </c>
    </row>
    <row r="123">
      <c r="C123" s="172" t="s">
        <v>1784</v>
      </c>
    </row>
    <row r="124">
      <c r="C124" s="172"/>
      <c r="D124" s="172" t="s">
        <v>1785</v>
      </c>
    </row>
    <row r="125">
      <c r="C125" s="172"/>
      <c r="D125" s="172" t="s">
        <v>1786</v>
      </c>
    </row>
    <row r="126">
      <c r="C126" s="172" t="s">
        <v>1788</v>
      </c>
    </row>
    <row r="127">
      <c r="C127" s="172"/>
      <c r="D127" s="172" t="s">
        <v>1789</v>
      </c>
    </row>
    <row r="128">
      <c r="C128" s="172"/>
      <c r="D128" s="172" t="s">
        <v>1791</v>
      </c>
    </row>
    <row r="129">
      <c r="C129" s="172"/>
      <c r="D129" s="172" t="s">
        <v>1792</v>
      </c>
    </row>
    <row r="130">
      <c r="C130" s="172"/>
      <c r="D130" s="172" t="s">
        <v>1793</v>
      </c>
    </row>
    <row r="131">
      <c r="C131" s="172" t="s">
        <v>1794</v>
      </c>
    </row>
    <row r="132">
      <c r="C132" s="172"/>
      <c r="D132" s="172" t="s">
        <v>1795</v>
      </c>
    </row>
    <row r="133">
      <c r="C133" s="172" t="s">
        <v>1797</v>
      </c>
    </row>
    <row r="134">
      <c r="C134" s="172"/>
      <c r="D134" s="172" t="s">
        <v>1798</v>
      </c>
    </row>
    <row r="135">
      <c r="C135" s="172"/>
      <c r="D135" s="172" t="s">
        <v>1799</v>
      </c>
    </row>
    <row r="136">
      <c r="C136" s="172"/>
      <c r="D136" s="172" t="s">
        <v>1800</v>
      </c>
    </row>
    <row r="137">
      <c r="C137" s="172" t="s">
        <v>1803</v>
      </c>
    </row>
    <row r="138">
      <c r="C138" s="172"/>
      <c r="D138" s="172" t="s">
        <v>1804</v>
      </c>
    </row>
    <row r="139">
      <c r="C139" s="172"/>
      <c r="D139" s="172" t="s">
        <v>1805</v>
      </c>
    </row>
    <row r="140">
      <c r="C140" s="172" t="s">
        <v>1806</v>
      </c>
    </row>
    <row r="141">
      <c r="C141" s="172"/>
      <c r="D141" s="172" t="s">
        <v>1808</v>
      </c>
    </row>
    <row r="142">
      <c r="C142" s="172"/>
      <c r="D142" s="172" t="s">
        <v>1809</v>
      </c>
    </row>
    <row r="143">
      <c r="C143" s="172" t="s">
        <v>1811</v>
      </c>
    </row>
    <row r="144">
      <c r="C144" s="172"/>
      <c r="D144" s="172" t="s">
        <v>1812</v>
      </c>
    </row>
    <row r="145">
      <c r="C145" s="172"/>
      <c r="D145" s="172" t="s">
        <v>1814</v>
      </c>
    </row>
    <row r="146">
      <c r="C146" s="172"/>
      <c r="D146" s="172" t="s">
        <v>1815</v>
      </c>
    </row>
    <row r="147">
      <c r="C147" s="172"/>
      <c r="D147" s="172" t="s">
        <v>1817</v>
      </c>
    </row>
    <row r="148">
      <c r="C148" s="172"/>
      <c r="D148" s="172" t="s">
        <v>1818</v>
      </c>
    </row>
    <row r="149">
      <c r="C149" s="172"/>
      <c r="D149" s="172" t="s">
        <v>1819</v>
      </c>
    </row>
    <row r="150">
      <c r="C150" s="172"/>
      <c r="D150" s="172" t="s">
        <v>1821</v>
      </c>
    </row>
    <row r="151">
      <c r="B151" s="29" t="s">
        <v>1822</v>
      </c>
      <c r="C151" s="172" t="s">
        <v>1823</v>
      </c>
    </row>
    <row r="152">
      <c r="C152" s="172"/>
      <c r="D152" s="172" t="s">
        <v>1824</v>
      </c>
    </row>
    <row r="153">
      <c r="C153" s="172"/>
      <c r="D153" s="172" t="s">
        <v>1826</v>
      </c>
    </row>
    <row r="154">
      <c r="C154" s="172" t="s">
        <v>1827</v>
      </c>
    </row>
    <row r="155">
      <c r="C155" s="172"/>
      <c r="D155" s="172" t="s">
        <v>1828</v>
      </c>
    </row>
    <row r="156">
      <c r="C156" s="172"/>
      <c r="D156" s="172" t="s">
        <v>1829</v>
      </c>
    </row>
    <row r="157">
      <c r="C157" s="172" t="s">
        <v>1831</v>
      </c>
    </row>
    <row r="158">
      <c r="C158" s="172"/>
      <c r="D158" s="172" t="s">
        <v>1832</v>
      </c>
    </row>
    <row r="159">
      <c r="C159" s="172"/>
      <c r="D159" s="172" t="s">
        <v>1833</v>
      </c>
    </row>
    <row r="160">
      <c r="C160" s="172"/>
      <c r="D160" s="172" t="s">
        <v>1835</v>
      </c>
    </row>
    <row r="161">
      <c r="C161" s="172" t="s">
        <v>1836</v>
      </c>
    </row>
    <row r="162">
      <c r="C162" s="172"/>
      <c r="D162" s="172" t="s">
        <v>1837</v>
      </c>
    </row>
    <row r="163">
      <c r="C163" s="172"/>
      <c r="D163" s="172" t="s">
        <v>1838</v>
      </c>
    </row>
    <row r="164">
      <c r="C164" s="172"/>
      <c r="D164" s="172" t="s">
        <v>1839</v>
      </c>
    </row>
    <row r="165">
      <c r="C165" s="172"/>
      <c r="D165" s="172" t="s">
        <v>1840</v>
      </c>
    </row>
    <row r="166">
      <c r="C166" s="172" t="s">
        <v>1842</v>
      </c>
    </row>
    <row r="167">
      <c r="C167" s="172"/>
      <c r="D167" s="172" t="s">
        <v>1843</v>
      </c>
    </row>
    <row r="168">
      <c r="C168" s="172"/>
      <c r="D168" s="172" t="s">
        <v>1844</v>
      </c>
    </row>
    <row r="169">
      <c r="C169" s="172" t="s">
        <v>1845</v>
      </c>
    </row>
    <row r="170">
      <c r="C170" s="172"/>
      <c r="D170" s="172" t="s">
        <v>1846</v>
      </c>
    </row>
    <row r="171">
      <c r="C171" s="172"/>
      <c r="D171" s="172" t="s">
        <v>1847</v>
      </c>
    </row>
    <row r="172">
      <c r="C172" s="172"/>
      <c r="D172" s="172" t="s">
        <v>1848</v>
      </c>
    </row>
    <row r="173">
      <c r="C173" s="172"/>
      <c r="D173" s="172" t="s">
        <v>1849</v>
      </c>
    </row>
    <row r="174">
      <c r="A174" s="175" t="s">
        <v>1851</v>
      </c>
      <c r="B174" s="29" t="s">
        <v>1853</v>
      </c>
      <c r="C174" s="172" t="s">
        <v>1854</v>
      </c>
    </row>
    <row r="175">
      <c r="A175" s="174" t="s">
        <v>1855</v>
      </c>
      <c r="C175" s="172"/>
      <c r="D175" s="172" t="s">
        <v>1856</v>
      </c>
    </row>
    <row r="176">
      <c r="A176" s="174" t="s">
        <v>1857</v>
      </c>
      <c r="C176" s="172"/>
      <c r="D176" s="172" t="s">
        <v>1859</v>
      </c>
    </row>
    <row r="177">
      <c r="A177" s="174" t="s">
        <v>1860</v>
      </c>
      <c r="C177" s="172" t="s">
        <v>1861</v>
      </c>
    </row>
    <row r="178">
      <c r="A178" s="174" t="s">
        <v>1862</v>
      </c>
      <c r="C178" s="172"/>
      <c r="D178" s="172" t="s">
        <v>1863</v>
      </c>
    </row>
    <row r="179">
      <c r="A179" s="174" t="s">
        <v>1864</v>
      </c>
      <c r="C179" s="172"/>
      <c r="D179" s="172" t="s">
        <v>1865</v>
      </c>
    </row>
    <row r="180">
      <c r="A180" s="174" t="s">
        <v>1867</v>
      </c>
      <c r="C180" s="172"/>
      <c r="D180" s="172" t="s">
        <v>1868</v>
      </c>
    </row>
    <row r="181">
      <c r="A181" s="174" t="s">
        <v>1869</v>
      </c>
      <c r="C181" s="172"/>
      <c r="D181" s="172" t="s">
        <v>1871</v>
      </c>
    </row>
    <row r="182">
      <c r="A182" s="174" t="s">
        <v>1872</v>
      </c>
      <c r="C182" s="172"/>
      <c r="D182" s="172" t="s">
        <v>1873</v>
      </c>
    </row>
    <row r="183">
      <c r="A183" s="174" t="s">
        <v>1875</v>
      </c>
      <c r="C183" s="172" t="s">
        <v>1876</v>
      </c>
    </row>
    <row r="184">
      <c r="A184" s="174" t="s">
        <v>1877</v>
      </c>
      <c r="C184" s="172"/>
      <c r="D184" s="172" t="s">
        <v>1878</v>
      </c>
    </row>
    <row r="185">
      <c r="A185" s="174" t="s">
        <v>1879</v>
      </c>
      <c r="C185" s="172"/>
      <c r="D185" s="172" t="s">
        <v>1881</v>
      </c>
    </row>
    <row r="186">
      <c r="A186" s="174" t="s">
        <v>1882</v>
      </c>
      <c r="C186" s="172"/>
      <c r="D186" s="172" t="s">
        <v>1883</v>
      </c>
    </row>
    <row r="187">
      <c r="A187" s="174" t="s">
        <v>1885</v>
      </c>
      <c r="C187" s="172"/>
      <c r="D187" s="172" t="s">
        <v>1886</v>
      </c>
    </row>
    <row r="188">
      <c r="A188" s="174" t="s">
        <v>1887</v>
      </c>
      <c r="C188" s="172"/>
      <c r="D188" s="172" t="s">
        <v>1889</v>
      </c>
    </row>
    <row r="189">
      <c r="A189" s="174" t="s">
        <v>1890</v>
      </c>
      <c r="C189" s="172"/>
      <c r="D189" s="172" t="s">
        <v>1891</v>
      </c>
    </row>
    <row r="190">
      <c r="C190" s="172"/>
      <c r="D190" s="172" t="s">
        <v>1892</v>
      </c>
    </row>
    <row r="191">
      <c r="C191" s="172" t="s">
        <v>1894</v>
      </c>
    </row>
    <row r="192">
      <c r="C192" s="172"/>
      <c r="D192" s="172" t="s">
        <v>1895</v>
      </c>
    </row>
    <row r="193">
      <c r="C193" s="172"/>
      <c r="D193" s="172" t="s">
        <v>1896</v>
      </c>
    </row>
    <row r="194">
      <c r="C194" s="172" t="s">
        <v>1898</v>
      </c>
    </row>
    <row r="195">
      <c r="C195" s="172"/>
      <c r="D195" s="172" t="s">
        <v>1899</v>
      </c>
    </row>
    <row r="196">
      <c r="C196" s="172"/>
      <c r="D196" s="172" t="s">
        <v>1900</v>
      </c>
    </row>
    <row r="197">
      <c r="C197" s="172"/>
      <c r="D197" s="172" t="s">
        <v>1901</v>
      </c>
    </row>
    <row r="198">
      <c r="C198" s="172"/>
      <c r="D198" s="172" t="s">
        <v>1903</v>
      </c>
    </row>
    <row r="199">
      <c r="C199" s="172"/>
      <c r="D199" s="172" t="s">
        <v>1904</v>
      </c>
    </row>
    <row r="200">
      <c r="C200" s="172" t="s">
        <v>1905</v>
      </c>
    </row>
    <row r="201">
      <c r="C201" s="172"/>
      <c r="D201" s="172" t="s">
        <v>1907</v>
      </c>
    </row>
    <row r="202">
      <c r="C202" s="172"/>
      <c r="D202" s="172" t="s">
        <v>1908</v>
      </c>
    </row>
    <row r="203">
      <c r="C203" s="172"/>
      <c r="D203" s="172" t="s">
        <v>1909</v>
      </c>
    </row>
    <row r="204">
      <c r="C204" s="172" t="s">
        <v>1911</v>
      </c>
    </row>
    <row r="205">
      <c r="C205" s="172"/>
      <c r="D205" s="172" t="s">
        <v>1912</v>
      </c>
    </row>
    <row r="206">
      <c r="C206" s="172"/>
      <c r="D206" s="172" t="s">
        <v>1914</v>
      </c>
    </row>
    <row r="207">
      <c r="C207" s="172"/>
      <c r="D207" s="172" t="s">
        <v>1916</v>
      </c>
    </row>
    <row r="208">
      <c r="C208" s="172" t="s">
        <v>1917</v>
      </c>
    </row>
    <row r="209">
      <c r="C209" s="172"/>
      <c r="D209" s="172" t="s">
        <v>1920</v>
      </c>
    </row>
    <row r="210">
      <c r="C210" s="172"/>
      <c r="D210" s="172" t="s">
        <v>1922</v>
      </c>
    </row>
    <row r="211">
      <c r="C211" s="172"/>
      <c r="D211" s="172" t="s">
        <v>1926</v>
      </c>
    </row>
    <row r="212">
      <c r="C212" s="172"/>
      <c r="D212" s="172" t="s">
        <v>1928</v>
      </c>
    </row>
    <row r="213">
      <c r="C213" s="172"/>
      <c r="D213" s="172" t="s">
        <v>1929</v>
      </c>
    </row>
    <row r="214">
      <c r="C214" s="172" t="s">
        <v>1930</v>
      </c>
    </row>
    <row r="215">
      <c r="C215" s="172"/>
      <c r="D215" s="172" t="s">
        <v>1932</v>
      </c>
    </row>
    <row r="216">
      <c r="C216" s="172"/>
      <c r="D216" s="172" t="s">
        <v>1933</v>
      </c>
    </row>
    <row r="217">
      <c r="C217" s="172" t="s">
        <v>1934</v>
      </c>
    </row>
    <row r="218">
      <c r="C218" s="172"/>
      <c r="D218" s="172" t="s">
        <v>1937</v>
      </c>
    </row>
    <row r="219">
      <c r="C219" s="172"/>
      <c r="D219" s="172" t="s">
        <v>1938</v>
      </c>
    </row>
    <row r="220">
      <c r="C220" s="172"/>
      <c r="D220" s="172" t="s">
        <v>1939</v>
      </c>
    </row>
    <row r="221">
      <c r="C221" s="172"/>
      <c r="D221" s="172" t="s">
        <v>1940</v>
      </c>
    </row>
    <row r="222">
      <c r="C222" s="172"/>
      <c r="D222" s="172" t="s">
        <v>1942</v>
      </c>
    </row>
    <row r="223">
      <c r="C223" s="172"/>
      <c r="D223" s="172" t="s">
        <v>1943</v>
      </c>
    </row>
    <row r="224">
      <c r="C224" s="172"/>
      <c r="D224" s="172" t="s">
        <v>1945</v>
      </c>
    </row>
    <row r="225">
      <c r="C225" s="172"/>
      <c r="D225" s="172" t="s">
        <v>1946</v>
      </c>
    </row>
    <row r="226">
      <c r="C226" s="172"/>
      <c r="D226" s="172" t="s">
        <v>1947</v>
      </c>
    </row>
    <row r="227">
      <c r="B227" s="29" t="s">
        <v>1948</v>
      </c>
      <c r="C227" s="172" t="s">
        <v>1949</v>
      </c>
    </row>
    <row r="228">
      <c r="C228" s="172"/>
      <c r="D228" s="172" t="s">
        <v>1950</v>
      </c>
    </row>
    <row r="229">
      <c r="C229" s="172"/>
      <c r="D229" s="172" t="s">
        <v>1951</v>
      </c>
    </row>
    <row r="230">
      <c r="C230" s="172" t="s">
        <v>1953</v>
      </c>
    </row>
    <row r="231">
      <c r="C231" s="172"/>
      <c r="D231" s="172" t="s">
        <v>1954</v>
      </c>
    </row>
    <row r="232">
      <c r="C232" s="172" t="s">
        <v>1955</v>
      </c>
    </row>
    <row r="233">
      <c r="C233" s="172"/>
      <c r="D233" s="172" t="s">
        <v>1957</v>
      </c>
    </row>
    <row r="234">
      <c r="C234" s="172"/>
      <c r="D234" s="172" t="s">
        <v>1958</v>
      </c>
    </row>
    <row r="235">
      <c r="C235" s="172"/>
      <c r="D235" s="172" t="s">
        <v>1959</v>
      </c>
    </row>
    <row r="236">
      <c r="C236" s="172"/>
      <c r="D236" s="172" t="s">
        <v>1960</v>
      </c>
    </row>
    <row r="237">
      <c r="C237" s="172" t="s">
        <v>1961</v>
      </c>
    </row>
    <row r="238">
      <c r="C238" s="172"/>
      <c r="D238" s="172" t="s">
        <v>1962</v>
      </c>
    </row>
    <row r="239">
      <c r="C239" s="172"/>
      <c r="D239" s="172" t="s">
        <v>1963</v>
      </c>
    </row>
    <row r="240">
      <c r="C240" s="172" t="s">
        <v>1966</v>
      </c>
    </row>
    <row r="241">
      <c r="C241" s="172"/>
      <c r="D241" s="172" t="s">
        <v>1967</v>
      </c>
    </row>
    <row r="242">
      <c r="C242" s="172" t="s">
        <v>1968</v>
      </c>
    </row>
    <row r="243">
      <c r="C243" s="172"/>
      <c r="D243" s="172" t="s">
        <v>1971</v>
      </c>
    </row>
    <row r="244">
      <c r="C244" s="172"/>
      <c r="D244" s="172" t="s">
        <v>1972</v>
      </c>
    </row>
    <row r="245">
      <c r="C245" s="172" t="s">
        <v>1973</v>
      </c>
    </row>
    <row r="246">
      <c r="C246" s="172"/>
      <c r="D246" s="172" t="s">
        <v>1976</v>
      </c>
    </row>
    <row r="247">
      <c r="C247" s="172"/>
      <c r="D247" s="172" t="s">
        <v>1979</v>
      </c>
    </row>
    <row r="248">
      <c r="C248" s="172"/>
      <c r="D248" s="172" t="s">
        <v>1980</v>
      </c>
    </row>
    <row r="249">
      <c r="B249" s="29" t="s">
        <v>1981</v>
      </c>
      <c r="C249" s="172" t="s">
        <v>1983</v>
      </c>
    </row>
    <row r="250">
      <c r="C250" s="172" t="s">
        <v>1985</v>
      </c>
    </row>
    <row r="251">
      <c r="C251" s="172" t="s">
        <v>1986</v>
      </c>
    </row>
    <row r="252">
      <c r="C252" s="172" t="s">
        <v>1987</v>
      </c>
    </row>
    <row r="253">
      <c r="C253" s="172" t="s">
        <v>1990</v>
      </c>
    </row>
    <row r="254">
      <c r="C254" s="172" t="s">
        <v>1991</v>
      </c>
    </row>
    <row r="255">
      <c r="C255" s="172" t="s">
        <v>1992</v>
      </c>
    </row>
    <row r="256">
      <c r="C256" s="172" t="s">
        <v>1993</v>
      </c>
    </row>
    <row r="257">
      <c r="C257" s="172" t="s">
        <v>1994</v>
      </c>
    </row>
    <row r="258">
      <c r="C258" s="172" t="s">
        <v>1995</v>
      </c>
    </row>
    <row r="259">
      <c r="C259" s="172" t="s">
        <v>1996</v>
      </c>
    </row>
    <row r="260">
      <c r="C260" s="172" t="s">
        <v>1999</v>
      </c>
    </row>
    <row r="261">
      <c r="C261" s="172" t="s">
        <v>2001</v>
      </c>
    </row>
    <row r="262">
      <c r="C262" s="172" t="s">
        <v>2002</v>
      </c>
    </row>
    <row r="263">
      <c r="C263" s="172" t="s">
        <v>2003</v>
      </c>
    </row>
    <row r="264">
      <c r="C264" s="172" t="s">
        <v>2004</v>
      </c>
    </row>
    <row r="265">
      <c r="C265" s="172" t="s">
        <v>2005</v>
      </c>
    </row>
    <row r="266">
      <c r="C266" s="172" t="s">
        <v>2006</v>
      </c>
    </row>
    <row r="267">
      <c r="C267" s="172" t="s">
        <v>2008</v>
      </c>
    </row>
    <row r="268">
      <c r="C268" s="172" t="s">
        <v>2009</v>
      </c>
    </row>
    <row r="269">
      <c r="C269" s="172" t="s">
        <v>2010</v>
      </c>
    </row>
    <row r="270">
      <c r="C270" s="172" t="s">
        <v>2011</v>
      </c>
    </row>
    <row r="271">
      <c r="C271" s="172" t="s">
        <v>2013</v>
      </c>
    </row>
    <row r="272">
      <c r="C272" s="172" t="s">
        <v>2014</v>
      </c>
    </row>
    <row r="273">
      <c r="C273" s="172" t="s">
        <v>2015</v>
      </c>
    </row>
    <row r="274">
      <c r="C274" s="172" t="s">
        <v>2016</v>
      </c>
    </row>
    <row r="275">
      <c r="C275" s="172" t="s">
        <v>2018</v>
      </c>
    </row>
    <row r="276">
      <c r="C276" s="172" t="s">
        <v>2019</v>
      </c>
    </row>
    <row r="277">
      <c r="C277" s="172" t="s">
        <v>2020</v>
      </c>
    </row>
    <row r="278">
      <c r="C278" s="172" t="s">
        <v>2021</v>
      </c>
    </row>
    <row r="279">
      <c r="C279" s="172" t="s">
        <v>2023</v>
      </c>
    </row>
    <row r="280">
      <c r="C280" s="172" t="s">
        <v>2024</v>
      </c>
    </row>
    <row r="281">
      <c r="C281" s="172" t="s">
        <v>2025</v>
      </c>
    </row>
    <row r="282">
      <c r="C282" s="172" t="s">
        <v>2026</v>
      </c>
    </row>
    <row r="283">
      <c r="C283" s="172" t="s">
        <v>2028</v>
      </c>
    </row>
    <row r="284">
      <c r="C284" s="172" t="s">
        <v>2029</v>
      </c>
    </row>
    <row r="285">
      <c r="C285" s="172" t="s">
        <v>2030</v>
      </c>
    </row>
    <row r="286">
      <c r="C286" s="172" t="s">
        <v>2031</v>
      </c>
    </row>
    <row r="287">
      <c r="C287" s="172" t="s">
        <v>2032</v>
      </c>
    </row>
    <row r="288">
      <c r="C288" s="172" t="s">
        <v>2033</v>
      </c>
    </row>
    <row r="289">
      <c r="C289" s="172" t="s">
        <v>2034</v>
      </c>
    </row>
    <row r="290">
      <c r="C290" s="172" t="s">
        <v>2035</v>
      </c>
    </row>
    <row r="291">
      <c r="C291" s="172" t="s">
        <v>2036</v>
      </c>
    </row>
    <row r="292">
      <c r="C292" s="172" t="s">
        <v>2037</v>
      </c>
    </row>
    <row r="293">
      <c r="C293" s="172" t="s">
        <v>2038</v>
      </c>
    </row>
    <row r="294">
      <c r="C294" s="172" t="s">
        <v>2039</v>
      </c>
    </row>
    <row r="295">
      <c r="C295" s="172" t="s">
        <v>2042</v>
      </c>
    </row>
    <row r="296">
      <c r="C296" s="172" t="s">
        <v>2043</v>
      </c>
    </row>
    <row r="297">
      <c r="C297" s="172" t="s">
        <v>2044</v>
      </c>
    </row>
    <row r="298">
      <c r="C298" s="172" t="s">
        <v>2045</v>
      </c>
    </row>
    <row r="299">
      <c r="C299" s="172" t="s">
        <v>2046</v>
      </c>
    </row>
    <row r="300">
      <c r="C300" s="172" t="s">
        <v>2047</v>
      </c>
    </row>
    <row r="301">
      <c r="C301" s="172" t="s">
        <v>2048</v>
      </c>
    </row>
    <row r="302">
      <c r="C302" s="172" t="s">
        <v>2049</v>
      </c>
    </row>
    <row r="303">
      <c r="C303" s="172" t="s">
        <v>2050</v>
      </c>
    </row>
    <row r="304">
      <c r="C304" s="172" t="s">
        <v>2051</v>
      </c>
    </row>
    <row r="305">
      <c r="C305" s="172" t="s">
        <v>2052</v>
      </c>
    </row>
    <row r="306">
      <c r="C306" s="172" t="s">
        <v>2054</v>
      </c>
    </row>
    <row r="307">
      <c r="C307" s="172" t="s">
        <v>2055</v>
      </c>
    </row>
    <row r="308">
      <c r="C308" s="172" t="s">
        <v>2056</v>
      </c>
    </row>
    <row r="309">
      <c r="C309" s="172" t="s">
        <v>2057</v>
      </c>
    </row>
    <row r="310">
      <c r="C310" s="172" t="s">
        <v>2058</v>
      </c>
    </row>
    <row r="311">
      <c r="C311" s="172" t="s">
        <v>2063</v>
      </c>
    </row>
    <row r="312">
      <c r="C312" s="172" t="s">
        <v>2064</v>
      </c>
    </row>
    <row r="313">
      <c r="C313" s="172" t="s">
        <v>2066</v>
      </c>
    </row>
    <row r="314">
      <c r="C314" s="172" t="s">
        <v>2068</v>
      </c>
    </row>
    <row r="315">
      <c r="C315" s="172" t="s">
        <v>2069</v>
      </c>
    </row>
    <row r="316">
      <c r="C316" s="172" t="s">
        <v>2072</v>
      </c>
    </row>
    <row r="317">
      <c r="C317" s="172" t="s">
        <v>2074</v>
      </c>
    </row>
    <row r="318">
      <c r="C318" s="172" t="s">
        <v>2075</v>
      </c>
    </row>
    <row r="319">
      <c r="C319" s="172" t="s">
        <v>2076</v>
      </c>
    </row>
    <row r="320">
      <c r="C320" s="172" t="s">
        <v>2077</v>
      </c>
    </row>
    <row r="321">
      <c r="C321" s="172" t="s">
        <v>2078</v>
      </c>
    </row>
    <row r="322">
      <c r="C322" s="172" t="s">
        <v>2079</v>
      </c>
    </row>
    <row r="323">
      <c r="C323" s="172" t="s">
        <v>2080</v>
      </c>
    </row>
    <row r="324">
      <c r="C324" s="172" t="s">
        <v>2081</v>
      </c>
    </row>
    <row r="325">
      <c r="B325" s="29" t="s">
        <v>2082</v>
      </c>
      <c r="C325" s="29" t="s">
        <v>2083</v>
      </c>
    </row>
    <row r="326">
      <c r="C326" s="29" t="s">
        <v>2084</v>
      </c>
    </row>
    <row r="327">
      <c r="C327" s="29" t="s">
        <v>2085</v>
      </c>
    </row>
    <row r="328">
      <c r="C328" s="29" t="s">
        <v>2086</v>
      </c>
    </row>
    <row r="329">
      <c r="C329" s="29" t="s">
        <v>2087</v>
      </c>
    </row>
    <row r="330">
      <c r="C330" s="29" t="s">
        <v>2088</v>
      </c>
    </row>
    <row r="331">
      <c r="C331" s="29" t="s">
        <v>2089</v>
      </c>
    </row>
    <row r="332">
      <c r="C332" s="29" t="s">
        <v>2090</v>
      </c>
    </row>
    <row r="333">
      <c r="C333" s="29" t="s">
        <v>2091</v>
      </c>
    </row>
    <row r="334">
      <c r="C334" s="29" t="s">
        <v>2092</v>
      </c>
    </row>
    <row r="335">
      <c r="C335" s="29" t="s">
        <v>2093</v>
      </c>
    </row>
    <row r="336">
      <c r="C336" s="29" t="s">
        <v>2094</v>
      </c>
    </row>
    <row r="337">
      <c r="C337" s="29" t="s">
        <v>2095</v>
      </c>
    </row>
    <row r="338">
      <c r="C338" s="29" t="s">
        <v>2096</v>
      </c>
    </row>
    <row r="339">
      <c r="C339" s="29" t="s">
        <v>2097</v>
      </c>
    </row>
    <row r="340">
      <c r="C340" s="29" t="s">
        <v>2098</v>
      </c>
    </row>
    <row r="341">
      <c r="C341" s="29" t="s">
        <v>2099</v>
      </c>
    </row>
    <row r="342">
      <c r="C342" s="29" t="s">
        <v>2100</v>
      </c>
    </row>
    <row r="343">
      <c r="C343" s="29" t="s">
        <v>2102</v>
      </c>
    </row>
    <row r="344">
      <c r="C344" s="29" t="s">
        <v>2103</v>
      </c>
    </row>
    <row r="345">
      <c r="C345" s="29" t="s">
        <v>2104</v>
      </c>
    </row>
    <row r="346">
      <c r="C346" s="29" t="s">
        <v>2105</v>
      </c>
    </row>
    <row r="347">
      <c r="C347" s="29" t="s">
        <v>2107</v>
      </c>
    </row>
    <row r="348">
      <c r="C348" s="29" t="s">
        <v>2108</v>
      </c>
    </row>
    <row r="349">
      <c r="C349" s="29" t="s">
        <v>2109</v>
      </c>
    </row>
    <row r="350">
      <c r="B350" s="29" t="s">
        <v>2110</v>
      </c>
      <c r="C350" s="172" t="s">
        <v>2111</v>
      </c>
    </row>
    <row r="351">
      <c r="C351" s="172" t="s">
        <v>2112</v>
      </c>
    </row>
    <row r="352">
      <c r="C352" s="172" t="s">
        <v>2113</v>
      </c>
    </row>
    <row r="353">
      <c r="C353" s="172" t="s">
        <v>2114</v>
      </c>
    </row>
    <row r="354">
      <c r="C354" s="172" t="s">
        <v>2115</v>
      </c>
    </row>
    <row r="355">
      <c r="C355" s="172" t="s">
        <v>2117</v>
      </c>
    </row>
    <row r="356">
      <c r="C356" s="172" t="s">
        <v>2118</v>
      </c>
    </row>
    <row r="357">
      <c r="C357" s="172" t="s">
        <v>2119</v>
      </c>
    </row>
    <row r="358">
      <c r="C358" s="172" t="s">
        <v>2120</v>
      </c>
    </row>
    <row r="359">
      <c r="C359" s="172" t="s">
        <v>2122</v>
      </c>
    </row>
    <row r="360">
      <c r="C360" s="172" t="s">
        <v>2123</v>
      </c>
    </row>
    <row r="361">
      <c r="C361" s="172" t="s">
        <v>2124</v>
      </c>
    </row>
    <row r="362">
      <c r="C362" s="172" t="s">
        <v>2125</v>
      </c>
    </row>
    <row r="363">
      <c r="C363" s="172" t="s">
        <v>2126</v>
      </c>
    </row>
    <row r="364">
      <c r="C364" s="172" t="s">
        <v>2127</v>
      </c>
    </row>
    <row r="365">
      <c r="C365" s="172" t="s">
        <v>2128</v>
      </c>
    </row>
    <row r="366">
      <c r="B366" s="29" t="s">
        <v>2129</v>
      </c>
      <c r="C366" s="172" t="s">
        <v>2130</v>
      </c>
    </row>
    <row r="367">
      <c r="C367" s="172" t="s">
        <v>2131</v>
      </c>
    </row>
    <row r="368">
      <c r="C368" s="172" t="s">
        <v>2132</v>
      </c>
    </row>
    <row r="369">
      <c r="C369" s="172" t="s">
        <v>2133</v>
      </c>
    </row>
    <row r="370">
      <c r="C370" s="172" t="s">
        <v>2134</v>
      </c>
    </row>
    <row r="371">
      <c r="C371" s="172" t="s">
        <v>2135</v>
      </c>
    </row>
    <row r="372">
      <c r="C372" s="172" t="s">
        <v>2136</v>
      </c>
    </row>
    <row r="373">
      <c r="C373" s="172" t="s">
        <v>2137</v>
      </c>
    </row>
    <row r="374">
      <c r="C374" s="172" t="s">
        <v>2138</v>
      </c>
    </row>
    <row r="375">
      <c r="C375" s="172" t="s">
        <v>2139</v>
      </c>
    </row>
    <row r="376">
      <c r="C376" s="172" t="s">
        <v>2140</v>
      </c>
    </row>
    <row r="377">
      <c r="C377" s="172" t="s">
        <v>2142</v>
      </c>
    </row>
    <row r="378">
      <c r="C378" s="172" t="s">
        <v>2143</v>
      </c>
    </row>
    <row r="379">
      <c r="C379" s="172" t="s">
        <v>2144</v>
      </c>
    </row>
    <row r="380">
      <c r="C380" s="172" t="s">
        <v>2145</v>
      </c>
    </row>
    <row r="381">
      <c r="C381" s="172" t="s">
        <v>2146</v>
      </c>
    </row>
    <row r="382">
      <c r="C382" s="172" t="s">
        <v>2148</v>
      </c>
    </row>
    <row r="383">
      <c r="C383" s="172" t="s">
        <v>2150</v>
      </c>
    </row>
    <row r="384">
      <c r="C384" s="172" t="s">
        <v>2151</v>
      </c>
    </row>
    <row r="385">
      <c r="C385" s="172" t="s">
        <v>2152</v>
      </c>
    </row>
    <row r="386">
      <c r="C386" s="172" t="s">
        <v>2153</v>
      </c>
    </row>
    <row r="387">
      <c r="C387" s="172" t="s">
        <v>2154</v>
      </c>
    </row>
    <row r="388">
      <c r="C388" s="172" t="s">
        <v>2156</v>
      </c>
    </row>
    <row r="389">
      <c r="C389" s="172" t="s">
        <v>2157</v>
      </c>
    </row>
    <row r="390">
      <c r="C390" s="172" t="s">
        <v>2158</v>
      </c>
    </row>
    <row r="391">
      <c r="B391" s="29" t="s">
        <v>2159</v>
      </c>
      <c r="C391" s="176" t="s">
        <v>2159</v>
      </c>
    </row>
    <row r="392">
      <c r="C392" s="172" t="s">
        <v>2161</v>
      </c>
    </row>
    <row r="393">
      <c r="C393" s="172" t="s">
        <v>2162</v>
      </c>
    </row>
    <row r="394">
      <c r="C394" s="172" t="s">
        <v>2163</v>
      </c>
    </row>
    <row r="395">
      <c r="C395" s="172" t="s">
        <v>2164</v>
      </c>
    </row>
    <row r="396">
      <c r="C396" s="172" t="s">
        <v>2166</v>
      </c>
    </row>
    <row r="397">
      <c r="C397" s="172" t="s">
        <v>2167</v>
      </c>
    </row>
    <row r="398">
      <c r="C398" s="172" t="s">
        <v>2169</v>
      </c>
    </row>
    <row r="399">
      <c r="C399" s="172" t="s">
        <v>2171</v>
      </c>
    </row>
    <row r="400">
      <c r="C400" s="172" t="s">
        <v>2172</v>
      </c>
    </row>
    <row r="401">
      <c r="C401" s="172" t="s">
        <v>2173</v>
      </c>
    </row>
    <row r="402">
      <c r="C402" s="172" t="s">
        <v>2176</v>
      </c>
    </row>
    <row r="403">
      <c r="C403" s="172" t="s">
        <v>2177</v>
      </c>
    </row>
    <row r="404">
      <c r="C404" s="172" t="s">
        <v>2179</v>
      </c>
    </row>
    <row r="405">
      <c r="C405" s="172" t="s">
        <v>2180</v>
      </c>
    </row>
    <row r="406">
      <c r="B406" s="29" t="s">
        <v>2181</v>
      </c>
      <c r="C406" s="172" t="s">
        <v>2182</v>
      </c>
    </row>
    <row r="407">
      <c r="C407" s="172" t="s">
        <v>2183</v>
      </c>
    </row>
    <row r="408">
      <c r="C408" s="172" t="s">
        <v>2184</v>
      </c>
    </row>
    <row r="409">
      <c r="C409" s="172" t="s">
        <v>2185</v>
      </c>
    </row>
    <row r="410">
      <c r="C410" s="172" t="s">
        <v>2186</v>
      </c>
    </row>
    <row r="411">
      <c r="C411" s="172" t="s">
        <v>2187</v>
      </c>
    </row>
    <row r="412">
      <c r="C412" s="172" t="s">
        <v>2189</v>
      </c>
    </row>
    <row r="413">
      <c r="C413" s="172" t="s">
        <v>2190</v>
      </c>
    </row>
    <row r="414">
      <c r="C414" s="172" t="s">
        <v>2191</v>
      </c>
    </row>
    <row r="415">
      <c r="C415" s="172" t="s">
        <v>2192</v>
      </c>
    </row>
    <row r="416">
      <c r="C416" s="172" t="s">
        <v>2193</v>
      </c>
    </row>
    <row r="417">
      <c r="C417" s="172" t="s">
        <v>2194</v>
      </c>
    </row>
    <row r="418">
      <c r="C418" s="172" t="s">
        <v>2195</v>
      </c>
    </row>
    <row r="419">
      <c r="C419" s="172" t="s">
        <v>2196</v>
      </c>
    </row>
    <row r="420">
      <c r="C420" s="172" t="s">
        <v>2197</v>
      </c>
    </row>
    <row r="421">
      <c r="C421" s="172" t="s">
        <v>2199</v>
      </c>
    </row>
    <row r="422">
      <c r="C422" s="172" t="s">
        <v>2200</v>
      </c>
    </row>
    <row r="423">
      <c r="C423" s="172" t="s">
        <v>2202</v>
      </c>
    </row>
    <row r="424">
      <c r="C424" s="172" t="s">
        <v>2204</v>
      </c>
    </row>
    <row r="425">
      <c r="C425" s="172" t="s">
        <v>2205</v>
      </c>
    </row>
    <row r="426">
      <c r="C426" s="172" t="s">
        <v>2206</v>
      </c>
    </row>
    <row r="427">
      <c r="C427" s="172" t="s">
        <v>2207</v>
      </c>
    </row>
    <row r="428">
      <c r="C428" s="172" t="s">
        <v>2208</v>
      </c>
    </row>
    <row r="429">
      <c r="C429" s="172" t="s">
        <v>2209</v>
      </c>
    </row>
    <row r="430">
      <c r="C430" s="172" t="s">
        <v>2210</v>
      </c>
    </row>
    <row r="431">
      <c r="C431" s="172" t="s">
        <v>2211</v>
      </c>
    </row>
    <row r="432">
      <c r="C432" s="172" t="s">
        <v>2212</v>
      </c>
    </row>
    <row r="433">
      <c r="C433" s="172" t="s">
        <v>2213</v>
      </c>
    </row>
    <row r="434">
      <c r="C434" s="172" t="s">
        <v>2214</v>
      </c>
    </row>
    <row r="435">
      <c r="C435" s="172" t="s">
        <v>2216</v>
      </c>
    </row>
    <row r="436">
      <c r="C436" s="172" t="s">
        <v>2218</v>
      </c>
    </row>
    <row r="437">
      <c r="C437" s="172" t="s">
        <v>2219</v>
      </c>
    </row>
    <row r="438">
      <c r="C438" s="172" t="s">
        <v>2220</v>
      </c>
    </row>
    <row r="439">
      <c r="C439" s="172" t="s">
        <v>2221</v>
      </c>
    </row>
    <row r="440">
      <c r="C440" s="172" t="s">
        <v>2222</v>
      </c>
    </row>
    <row r="441">
      <c r="C441" s="172" t="s">
        <v>2223</v>
      </c>
    </row>
    <row r="442">
      <c r="C442" s="172" t="s">
        <v>2224</v>
      </c>
    </row>
    <row r="443">
      <c r="C443" s="172" t="s">
        <v>2225</v>
      </c>
    </row>
    <row r="444">
      <c r="C444" s="172" t="s">
        <v>2226</v>
      </c>
    </row>
    <row r="445">
      <c r="C445" s="172" t="s">
        <v>2227</v>
      </c>
    </row>
    <row r="446">
      <c r="C446" s="172" t="s">
        <v>2228</v>
      </c>
    </row>
    <row r="447">
      <c r="C447" s="172" t="s">
        <v>2229</v>
      </c>
    </row>
    <row r="448">
      <c r="C448" s="172" t="s">
        <v>2230</v>
      </c>
    </row>
    <row r="449">
      <c r="C449" s="172" t="s">
        <v>2231</v>
      </c>
    </row>
    <row r="450">
      <c r="C450" s="172" t="s">
        <v>2232</v>
      </c>
    </row>
    <row r="451">
      <c r="C451" s="172" t="s">
        <v>2233</v>
      </c>
    </row>
    <row r="452">
      <c r="C452" s="172" t="s">
        <v>2234</v>
      </c>
    </row>
    <row r="453">
      <c r="C453" s="172" t="s">
        <v>2235</v>
      </c>
    </row>
    <row r="454">
      <c r="C454" s="172" t="s">
        <v>2236</v>
      </c>
    </row>
    <row r="455">
      <c r="B455" s="29" t="s">
        <v>2237</v>
      </c>
      <c r="C455" s="172"/>
    </row>
    <row r="456">
      <c r="C456" s="172" t="s">
        <v>2238</v>
      </c>
    </row>
    <row r="457">
      <c r="C457" s="172" t="s">
        <v>2240</v>
      </c>
    </row>
    <row r="458">
      <c r="C458" s="172" t="s">
        <v>2242</v>
      </c>
    </row>
    <row r="459">
      <c r="C459" s="172" t="s">
        <v>2244</v>
      </c>
    </row>
    <row r="460">
      <c r="C460" s="172" t="s">
        <v>2245</v>
      </c>
    </row>
    <row r="461">
      <c r="C461" s="172" t="s">
        <v>2246</v>
      </c>
    </row>
    <row r="462">
      <c r="C462" s="172" t="s">
        <v>2247</v>
      </c>
    </row>
    <row r="463">
      <c r="C463" s="172" t="s">
        <v>2248</v>
      </c>
    </row>
    <row r="464">
      <c r="C464" s="172" t="s">
        <v>2249</v>
      </c>
    </row>
    <row r="465">
      <c r="C465" s="172" t="s">
        <v>2250</v>
      </c>
    </row>
    <row r="466">
      <c r="C466" s="172" t="s">
        <v>2251</v>
      </c>
    </row>
    <row r="467">
      <c r="C467" s="172" t="s">
        <v>2253</v>
      </c>
    </row>
    <row r="468">
      <c r="C468" s="172" t="s">
        <v>2255</v>
      </c>
    </row>
    <row r="469">
      <c r="B469" s="29" t="s">
        <v>2256</v>
      </c>
      <c r="C469" s="172" t="s">
        <v>2257</v>
      </c>
    </row>
    <row r="470">
      <c r="C470" s="172" t="s">
        <v>2258</v>
      </c>
    </row>
    <row r="471">
      <c r="C471" s="172" t="s">
        <v>2260</v>
      </c>
    </row>
    <row r="472">
      <c r="C472" s="172" t="s">
        <v>2261</v>
      </c>
    </row>
    <row r="473">
      <c r="C473" s="172" t="s">
        <v>2262</v>
      </c>
    </row>
    <row r="474">
      <c r="C474" s="172" t="s">
        <v>2263</v>
      </c>
    </row>
    <row r="475">
      <c r="C475" s="172" t="s">
        <v>2265</v>
      </c>
    </row>
    <row r="476">
      <c r="C476" s="172" t="s">
        <v>2266</v>
      </c>
    </row>
    <row r="477">
      <c r="C477" s="172" t="s">
        <v>2267</v>
      </c>
    </row>
    <row r="478">
      <c r="C478" s="172" t="s">
        <v>2268</v>
      </c>
    </row>
    <row r="479">
      <c r="C479" s="172" t="s">
        <v>2269</v>
      </c>
    </row>
    <row r="480">
      <c r="C480" s="172" t="s">
        <v>2270</v>
      </c>
    </row>
    <row r="481">
      <c r="C481" s="172" t="s">
        <v>2271</v>
      </c>
    </row>
    <row r="482">
      <c r="C482" s="172" t="s">
        <v>2272</v>
      </c>
    </row>
    <row r="483">
      <c r="C483" s="172" t="s">
        <v>2273</v>
      </c>
    </row>
    <row r="484">
      <c r="C484" s="172" t="s">
        <v>2274</v>
      </c>
    </row>
    <row r="485">
      <c r="C485" s="172" t="s">
        <v>2276</v>
      </c>
    </row>
    <row r="486">
      <c r="C486" s="172" t="s">
        <v>2278</v>
      </c>
    </row>
    <row r="487">
      <c r="C487" s="172" t="s">
        <v>2279</v>
      </c>
    </row>
    <row r="488">
      <c r="C488" s="172" t="s">
        <v>2280</v>
      </c>
    </row>
    <row r="489">
      <c r="C489" s="172" t="s">
        <v>2282</v>
      </c>
    </row>
    <row r="490">
      <c r="C490" s="172" t="s">
        <v>2283</v>
      </c>
    </row>
    <row r="491">
      <c r="C491" s="172" t="s">
        <v>2284</v>
      </c>
    </row>
    <row r="492">
      <c r="C492" s="172" t="s">
        <v>2285</v>
      </c>
    </row>
    <row r="493">
      <c r="C493" s="172" t="s">
        <v>2286</v>
      </c>
    </row>
    <row r="494">
      <c r="C494" s="172" t="s">
        <v>2287</v>
      </c>
    </row>
    <row r="495">
      <c r="C495" s="172" t="s">
        <v>2288</v>
      </c>
    </row>
    <row r="496">
      <c r="C496" s="172" t="s">
        <v>2289</v>
      </c>
    </row>
    <row r="497">
      <c r="C497" s="172" t="s">
        <v>2290</v>
      </c>
    </row>
    <row r="498">
      <c r="C498" s="172" t="s">
        <v>2291</v>
      </c>
    </row>
    <row r="499">
      <c r="C499" s="172" t="s">
        <v>2292</v>
      </c>
    </row>
    <row r="500">
      <c r="C500" s="172" t="s">
        <v>2293</v>
      </c>
    </row>
    <row r="501">
      <c r="C501" s="172" t="s">
        <v>2294</v>
      </c>
    </row>
    <row r="502">
      <c r="C502" s="172" t="s">
        <v>2295</v>
      </c>
    </row>
    <row r="503">
      <c r="C503" s="172" t="s">
        <v>2296</v>
      </c>
    </row>
    <row r="504">
      <c r="B504" s="29" t="s">
        <v>2297</v>
      </c>
      <c r="C504" s="172" t="s">
        <v>2299</v>
      </c>
    </row>
    <row r="505">
      <c r="C505" s="172" t="s">
        <v>2300</v>
      </c>
    </row>
    <row r="506">
      <c r="C506" s="172" t="s">
        <v>2301</v>
      </c>
    </row>
    <row r="507">
      <c r="C507" s="172" t="s">
        <v>2302</v>
      </c>
    </row>
    <row r="508">
      <c r="C508" s="172" t="s">
        <v>2303</v>
      </c>
    </row>
    <row r="509">
      <c r="C509" s="172" t="s">
        <v>2304</v>
      </c>
    </row>
    <row r="510">
      <c r="C510" s="172" t="s">
        <v>2305</v>
      </c>
    </row>
    <row r="511">
      <c r="C511" s="172" t="s">
        <v>2307</v>
      </c>
    </row>
    <row r="512">
      <c r="C512" s="172" t="s">
        <v>2308</v>
      </c>
    </row>
    <row r="513">
      <c r="C513" s="172" t="s">
        <v>2309</v>
      </c>
    </row>
    <row r="514">
      <c r="C514" s="172" t="s">
        <v>2311</v>
      </c>
    </row>
    <row r="515">
      <c r="C515" s="172" t="s">
        <v>2312</v>
      </c>
    </row>
    <row r="516">
      <c r="C516" s="172" t="s">
        <v>2313</v>
      </c>
    </row>
    <row r="517">
      <c r="C517" s="172" t="s">
        <v>2314</v>
      </c>
    </row>
    <row r="518">
      <c r="C518" s="172" t="s">
        <v>2316</v>
      </c>
    </row>
    <row r="519">
      <c r="C519" s="172" t="s">
        <v>2317</v>
      </c>
    </row>
    <row r="520">
      <c r="C520" s="172" t="s">
        <v>2318</v>
      </c>
    </row>
    <row r="521">
      <c r="C521" s="172" t="s">
        <v>2319</v>
      </c>
    </row>
    <row r="522">
      <c r="C522" s="172" t="s">
        <v>2321</v>
      </c>
    </row>
    <row r="523">
      <c r="C523" s="172" t="s">
        <v>2322</v>
      </c>
    </row>
    <row r="524">
      <c r="C524" s="172" t="s">
        <v>2323</v>
      </c>
    </row>
    <row r="525">
      <c r="B525" s="29" t="s">
        <v>2324</v>
      </c>
      <c r="C525" s="172" t="s">
        <v>2325</v>
      </c>
    </row>
    <row r="526">
      <c r="C526" s="172" t="s">
        <v>2326</v>
      </c>
    </row>
    <row r="527">
      <c r="C527" s="172" t="s">
        <v>2327</v>
      </c>
    </row>
    <row r="528">
      <c r="C528" s="172" t="s">
        <v>2328</v>
      </c>
    </row>
    <row r="529">
      <c r="C529" s="172" t="s">
        <v>2329</v>
      </c>
    </row>
    <row r="530">
      <c r="C530" s="172" t="s">
        <v>2330</v>
      </c>
    </row>
    <row r="531">
      <c r="C531" s="172" t="s">
        <v>2331</v>
      </c>
    </row>
    <row r="532">
      <c r="C532" s="172" t="s">
        <v>2332</v>
      </c>
    </row>
    <row r="533">
      <c r="C533" s="172" t="s">
        <v>2333</v>
      </c>
    </row>
    <row r="534">
      <c r="C534" s="172" t="s">
        <v>2334</v>
      </c>
    </row>
    <row r="535">
      <c r="C535" s="172" t="s">
        <v>2335</v>
      </c>
    </row>
    <row r="536">
      <c r="C536" s="172" t="s">
        <v>2336</v>
      </c>
    </row>
    <row r="537">
      <c r="C537" s="172" t="s">
        <v>2337</v>
      </c>
    </row>
    <row r="538">
      <c r="C538" s="172" t="s">
        <v>2338</v>
      </c>
    </row>
    <row r="539">
      <c r="C539" s="172" t="s">
        <v>2339</v>
      </c>
    </row>
    <row r="540">
      <c r="C540" s="172" t="s">
        <v>2340</v>
      </c>
    </row>
    <row r="541">
      <c r="C541" s="172" t="s">
        <v>2342</v>
      </c>
    </row>
    <row r="542">
      <c r="C542" s="172" t="s">
        <v>2343</v>
      </c>
    </row>
    <row r="543">
      <c r="C543" s="172" t="s">
        <v>2345</v>
      </c>
    </row>
    <row r="544">
      <c r="C544" s="172" t="s">
        <v>2347</v>
      </c>
    </row>
    <row r="545">
      <c r="C545" s="172" t="s">
        <v>2348</v>
      </c>
    </row>
    <row r="546">
      <c r="C546" s="172" t="s">
        <v>2349</v>
      </c>
    </row>
    <row r="547">
      <c r="C547" s="172" t="s">
        <v>2350</v>
      </c>
    </row>
    <row r="548">
      <c r="B548" s="29" t="s">
        <v>2352</v>
      </c>
      <c r="C548" s="172" t="s">
        <v>2353</v>
      </c>
    </row>
    <row r="549">
      <c r="B549" s="29" t="s">
        <v>2354</v>
      </c>
      <c r="C549" s="172" t="s">
        <v>2355</v>
      </c>
    </row>
    <row r="550">
      <c r="B550" s="29" t="s">
        <v>2356</v>
      </c>
      <c r="C550" s="172" t="s">
        <v>2357</v>
      </c>
    </row>
    <row r="551">
      <c r="B551" s="29" t="s">
        <v>2358</v>
      </c>
      <c r="C551" s="172" t="s">
        <v>2359</v>
      </c>
    </row>
    <row r="552">
      <c r="B552" s="29" t="s">
        <v>2361</v>
      </c>
      <c r="C552" s="172" t="s">
        <v>2362</v>
      </c>
    </row>
    <row r="553">
      <c r="B553" s="29" t="s">
        <v>2363</v>
      </c>
      <c r="C553" s="172" t="s">
        <v>2364</v>
      </c>
    </row>
    <row r="554">
      <c r="B554" s="29" t="s">
        <v>2366</v>
      </c>
      <c r="C554" s="172" t="s">
        <v>2367</v>
      </c>
    </row>
    <row r="555">
      <c r="B555" s="29" t="s">
        <v>2368</v>
      </c>
      <c r="C555" s="172" t="s">
        <v>2370</v>
      </c>
    </row>
    <row r="556">
      <c r="B556" s="29" t="s">
        <v>2371</v>
      </c>
      <c r="C556" s="172" t="s">
        <v>2372</v>
      </c>
    </row>
    <row r="557">
      <c r="B557" s="29" t="s">
        <v>2373</v>
      </c>
      <c r="C557" s="172" t="s">
        <v>2374</v>
      </c>
    </row>
    <row r="558">
      <c r="B558" s="29" t="s">
        <v>2375</v>
      </c>
      <c r="C558" s="172" t="s">
        <v>2376</v>
      </c>
    </row>
    <row r="559">
      <c r="B559" s="29" t="s">
        <v>2377</v>
      </c>
      <c r="C559" s="172" t="s">
        <v>2378</v>
      </c>
    </row>
    <row r="560">
      <c r="B560" s="29" t="s">
        <v>2379</v>
      </c>
      <c r="C560" s="172" t="s">
        <v>2380</v>
      </c>
    </row>
    <row r="561">
      <c r="B561" s="29" t="s">
        <v>2382</v>
      </c>
      <c r="C561" s="172" t="s">
        <v>2383</v>
      </c>
    </row>
    <row r="562">
      <c r="B562" s="29" t="s">
        <v>2384</v>
      </c>
      <c r="C562" s="172" t="s">
        <v>2385</v>
      </c>
    </row>
    <row r="563">
      <c r="B563" s="29" t="s">
        <v>2387</v>
      </c>
      <c r="C563" s="172" t="s">
        <v>2388</v>
      </c>
    </row>
    <row r="564">
      <c r="B564" s="29" t="s">
        <v>2389</v>
      </c>
      <c r="C564" s="172" t="s">
        <v>2390</v>
      </c>
    </row>
    <row r="565">
      <c r="B565" s="29" t="s">
        <v>2392</v>
      </c>
      <c r="C565" s="172" t="s">
        <v>2393</v>
      </c>
    </row>
    <row r="566">
      <c r="B566" s="29" t="s">
        <v>2394</v>
      </c>
      <c r="C566" s="172" t="s">
        <v>2395</v>
      </c>
    </row>
    <row r="567">
      <c r="B567" s="29" t="s">
        <v>2397</v>
      </c>
      <c r="C567" s="172" t="s">
        <v>2398</v>
      </c>
    </row>
    <row r="568">
      <c r="B568" s="29" t="s">
        <v>2399</v>
      </c>
      <c r="C568" s="172" t="s">
        <v>2400</v>
      </c>
    </row>
    <row r="569">
      <c r="B569" s="29" t="s">
        <v>2401</v>
      </c>
      <c r="C569" s="172" t="s">
        <v>2402</v>
      </c>
    </row>
    <row r="570">
      <c r="B570" s="29" t="s">
        <v>2403</v>
      </c>
      <c r="C570" s="172" t="s">
        <v>2404</v>
      </c>
    </row>
    <row r="571">
      <c r="B571" s="29" t="s">
        <v>2405</v>
      </c>
      <c r="C571" s="172" t="s">
        <v>2406</v>
      </c>
    </row>
    <row r="572">
      <c r="B572" s="29" t="s">
        <v>2408</v>
      </c>
      <c r="C572" s="172" t="s">
        <v>2409</v>
      </c>
    </row>
    <row r="573">
      <c r="B573" s="29" t="s">
        <v>2410</v>
      </c>
      <c r="C573" s="172" t="s">
        <v>2411</v>
      </c>
    </row>
    <row r="574">
      <c r="B574" s="29" t="s">
        <v>2412</v>
      </c>
      <c r="C574" s="172" t="s">
        <v>2414</v>
      </c>
    </row>
    <row r="575">
      <c r="B575" s="29" t="s">
        <v>2415</v>
      </c>
      <c r="C575" s="172" t="s">
        <v>2416</v>
      </c>
    </row>
    <row r="576">
      <c r="B576" s="29" t="s">
        <v>2417</v>
      </c>
      <c r="C576" s="172" t="s">
        <v>2418</v>
      </c>
    </row>
    <row r="577">
      <c r="B577" s="29" t="s">
        <v>2419</v>
      </c>
      <c r="C577" s="172" t="s">
        <v>2422</v>
      </c>
    </row>
    <row r="578">
      <c r="B578" s="29" t="s">
        <v>2425</v>
      </c>
      <c r="C578" s="172" t="s">
        <v>2426</v>
      </c>
    </row>
    <row r="579">
      <c r="B579" s="29" t="s">
        <v>2427</v>
      </c>
      <c r="C579" s="172" t="s">
        <v>2428</v>
      </c>
    </row>
    <row r="580">
      <c r="B580" s="29" t="s">
        <v>2429</v>
      </c>
      <c r="C580" s="172" t="s">
        <v>2431</v>
      </c>
    </row>
    <row r="581">
      <c r="B581" s="29" t="s">
        <v>2432</v>
      </c>
      <c r="C581" s="172" t="s">
        <v>2433</v>
      </c>
    </row>
    <row r="582">
      <c r="B582" s="29" t="s">
        <v>2434</v>
      </c>
      <c r="C582" s="172" t="s">
        <v>2435</v>
      </c>
    </row>
    <row r="583">
      <c r="B583" s="29" t="s">
        <v>2437</v>
      </c>
      <c r="C583" s="172" t="s">
        <v>2438</v>
      </c>
    </row>
    <row r="584">
      <c r="B584" s="29" t="s">
        <v>2439</v>
      </c>
      <c r="C584" s="172" t="s">
        <v>2440</v>
      </c>
    </row>
    <row r="585">
      <c r="B585" s="29" t="s">
        <v>2442</v>
      </c>
      <c r="C585" s="172" t="s">
        <v>2443</v>
      </c>
    </row>
    <row r="586">
      <c r="B586" s="29" t="s">
        <v>2444</v>
      </c>
      <c r="C586" s="172" t="s">
        <v>2445</v>
      </c>
    </row>
    <row r="587">
      <c r="B587" s="29" t="s">
        <v>2448</v>
      </c>
      <c r="C587" s="172" t="s">
        <v>2449</v>
      </c>
    </row>
    <row r="588">
      <c r="B588" s="29" t="s">
        <v>2450</v>
      </c>
      <c r="C588" s="172" t="s">
        <v>2451</v>
      </c>
    </row>
    <row r="589">
      <c r="B589" s="29" t="s">
        <v>2453</v>
      </c>
      <c r="C589" s="172" t="s">
        <v>2454</v>
      </c>
    </row>
    <row r="590">
      <c r="B590" s="29" t="s">
        <v>2455</v>
      </c>
      <c r="C590" s="172" t="s">
        <v>2456</v>
      </c>
    </row>
    <row r="591">
      <c r="B591" s="29" t="s">
        <v>2458</v>
      </c>
      <c r="C591" s="172" t="s">
        <v>2459</v>
      </c>
    </row>
    <row r="592">
      <c r="B592" s="29" t="s">
        <v>2461</v>
      </c>
      <c r="C592" s="172" t="s">
        <v>2462</v>
      </c>
    </row>
    <row r="593">
      <c r="B593" s="29" t="s">
        <v>2463</v>
      </c>
      <c r="C593" s="172" t="s">
        <v>2464</v>
      </c>
    </row>
    <row r="594">
      <c r="B594" s="29" t="s">
        <v>2465</v>
      </c>
      <c r="C594" s="172" t="s">
        <v>2467</v>
      </c>
    </row>
    <row r="595">
      <c r="B595" s="29" t="s">
        <v>2468</v>
      </c>
      <c r="C595" s="172" t="s">
        <v>2469</v>
      </c>
    </row>
    <row r="596">
      <c r="B596" s="29" t="s">
        <v>2471</v>
      </c>
      <c r="C596" s="172" t="s">
        <v>2473</v>
      </c>
    </row>
    <row r="597">
      <c r="B597" s="29" t="s">
        <v>2474</v>
      </c>
      <c r="C597" s="172" t="s">
        <v>2475</v>
      </c>
    </row>
    <row r="598">
      <c r="B598" s="29" t="s">
        <v>2476</v>
      </c>
      <c r="C598" s="172" t="s">
        <v>2477</v>
      </c>
    </row>
    <row r="599">
      <c r="B599" s="29" t="s">
        <v>2478</v>
      </c>
      <c r="C599" s="172" t="s">
        <v>2480</v>
      </c>
    </row>
    <row r="600">
      <c r="B600" s="29" t="s">
        <v>2482</v>
      </c>
      <c r="C600" s="172" t="s">
        <v>2483</v>
      </c>
    </row>
    <row r="601">
      <c r="B601" s="29" t="s">
        <v>2484</v>
      </c>
      <c r="C601" s="172" t="s">
        <v>2486</v>
      </c>
    </row>
    <row r="602">
      <c r="B602" s="29" t="s">
        <v>2487</v>
      </c>
      <c r="C602" s="172" t="s">
        <v>2488</v>
      </c>
    </row>
    <row r="603">
      <c r="B603" s="29" t="s">
        <v>2489</v>
      </c>
      <c r="C603" s="172" t="s">
        <v>2491</v>
      </c>
    </row>
    <row r="604">
      <c r="B604" s="29" t="s">
        <v>2492</v>
      </c>
      <c r="C604" s="172" t="s">
        <v>2493</v>
      </c>
    </row>
    <row r="605">
      <c r="B605" s="29" t="s">
        <v>2494</v>
      </c>
      <c r="C605" s="172" t="s">
        <v>2495</v>
      </c>
    </row>
    <row r="606">
      <c r="B606" s="29" t="s">
        <v>2497</v>
      </c>
      <c r="C606" s="172" t="s">
        <v>2498</v>
      </c>
    </row>
    <row r="607">
      <c r="B607" s="29" t="s">
        <v>2499</v>
      </c>
      <c r="C607" s="172" t="s">
        <v>2500</v>
      </c>
    </row>
    <row r="608">
      <c r="B608" s="29" t="s">
        <v>2501</v>
      </c>
      <c r="C608" s="172" t="s">
        <v>2503</v>
      </c>
    </row>
    <row r="609">
      <c r="B609" s="29" t="s">
        <v>2504</v>
      </c>
      <c r="C609" s="172" t="s">
        <v>2505</v>
      </c>
    </row>
    <row r="610">
      <c r="B610" s="29" t="s">
        <v>2506</v>
      </c>
      <c r="C610" s="172" t="s">
        <v>2507</v>
      </c>
    </row>
    <row r="611">
      <c r="B611" s="29" t="s">
        <v>2508</v>
      </c>
      <c r="C611" s="172" t="s">
        <v>2509</v>
      </c>
    </row>
    <row r="612">
      <c r="B612" s="29" t="s">
        <v>2510</v>
      </c>
      <c r="C612" s="172" t="s">
        <v>2511</v>
      </c>
    </row>
    <row r="613">
      <c r="B613" s="29" t="s">
        <v>2512</v>
      </c>
      <c r="C613" s="172" t="s">
        <v>2514</v>
      </c>
    </row>
    <row r="614">
      <c r="B614" s="29" t="s">
        <v>2515</v>
      </c>
      <c r="C614" s="172" t="s">
        <v>2516</v>
      </c>
    </row>
    <row r="615">
      <c r="B615" s="29" t="s">
        <v>2517</v>
      </c>
      <c r="C615" s="172" t="s">
        <v>2518</v>
      </c>
    </row>
    <row r="616">
      <c r="B616" s="29" t="s">
        <v>2519</v>
      </c>
      <c r="C616" s="172" t="s">
        <v>2521</v>
      </c>
    </row>
    <row r="617">
      <c r="B617" s="29" t="s">
        <v>2522</v>
      </c>
      <c r="C617" s="172" t="s">
        <v>2523</v>
      </c>
    </row>
    <row r="618">
      <c r="B618" s="29" t="s">
        <v>2525</v>
      </c>
      <c r="C618" s="172" t="s">
        <v>2527</v>
      </c>
    </row>
    <row r="619">
      <c r="B619" s="29" t="s">
        <v>2529</v>
      </c>
      <c r="C619" s="172" t="s">
        <v>2531</v>
      </c>
    </row>
    <row r="620">
      <c r="B620" s="29" t="s">
        <v>2532</v>
      </c>
      <c r="C620" s="172" t="s">
        <v>2533</v>
      </c>
    </row>
    <row r="621">
      <c r="B621" s="29" t="s">
        <v>2534</v>
      </c>
      <c r="C621" s="172" t="s">
        <v>2535</v>
      </c>
    </row>
    <row r="622">
      <c r="B622" s="29" t="s">
        <v>2536</v>
      </c>
      <c r="C622" s="172" t="s">
        <v>2538</v>
      </c>
    </row>
    <row r="623">
      <c r="B623" s="29" t="s">
        <v>2539</v>
      </c>
      <c r="C623" s="172" t="s">
        <v>2540</v>
      </c>
    </row>
    <row r="624">
      <c r="B624" s="29" t="s">
        <v>2541</v>
      </c>
      <c r="C624" s="172" t="s">
        <v>2544</v>
      </c>
    </row>
    <row r="625">
      <c r="B625" s="29" t="s">
        <v>2545</v>
      </c>
      <c r="C625" s="172" t="s">
        <v>2546</v>
      </c>
    </row>
    <row r="626">
      <c r="B626" s="29" t="s">
        <v>2547</v>
      </c>
      <c r="C626" s="172" t="s">
        <v>2549</v>
      </c>
    </row>
    <row r="627">
      <c r="B627" s="29" t="s">
        <v>2550</v>
      </c>
      <c r="C627" s="172" t="s">
        <v>2551</v>
      </c>
    </row>
    <row r="628">
      <c r="B628" s="29" t="s">
        <v>2552</v>
      </c>
      <c r="C628" s="172" t="s">
        <v>2555</v>
      </c>
    </row>
    <row r="629">
      <c r="B629" s="29" t="s">
        <v>2557</v>
      </c>
      <c r="C629" s="172" t="s">
        <v>2558</v>
      </c>
    </row>
    <row r="630">
      <c r="B630" s="29" t="s">
        <v>2559</v>
      </c>
      <c r="C630" s="172" t="s">
        <v>2561</v>
      </c>
    </row>
    <row r="631">
      <c r="B631" s="29" t="s">
        <v>2562</v>
      </c>
      <c r="C631" s="172" t="s">
        <v>2563</v>
      </c>
    </row>
    <row r="632">
      <c r="B632" s="29" t="s">
        <v>2564</v>
      </c>
      <c r="C632" s="172" t="s">
        <v>2565</v>
      </c>
    </row>
    <row r="633">
      <c r="B633" s="29" t="s">
        <v>2567</v>
      </c>
      <c r="C633" s="172" t="s">
        <v>2568</v>
      </c>
    </row>
    <row r="634">
      <c r="B634" s="29" t="s">
        <v>2569</v>
      </c>
      <c r="C634" s="172" t="s">
        <v>2570</v>
      </c>
    </row>
    <row r="635">
      <c r="B635" s="29" t="s">
        <v>2571</v>
      </c>
      <c r="C635" s="172" t="s">
        <v>2572</v>
      </c>
    </row>
    <row r="636">
      <c r="B636" s="29" t="s">
        <v>2573</v>
      </c>
      <c r="C636" s="172" t="s">
        <v>2574</v>
      </c>
    </row>
    <row r="637">
      <c r="B637" s="29" t="s">
        <v>2575</v>
      </c>
      <c r="C637" s="172" t="s">
        <v>2577</v>
      </c>
    </row>
    <row r="638">
      <c r="B638" s="29" t="s">
        <v>2578</v>
      </c>
      <c r="C638" s="172" t="s">
        <v>2580</v>
      </c>
    </row>
    <row r="639">
      <c r="B639" s="29" t="s">
        <v>2581</v>
      </c>
      <c r="C639" s="172" t="s">
        <v>2582</v>
      </c>
    </row>
    <row r="640">
      <c r="B640" s="29" t="s">
        <v>2583</v>
      </c>
      <c r="C640" s="172" t="s">
        <v>2584</v>
      </c>
    </row>
    <row r="641">
      <c r="B641" s="29" t="s">
        <v>2586</v>
      </c>
      <c r="C641" s="172" t="s">
        <v>2587</v>
      </c>
    </row>
    <row r="642">
      <c r="B642" s="29" t="s">
        <v>2588</v>
      </c>
      <c r="C642" s="172" t="s">
        <v>2589</v>
      </c>
    </row>
    <row r="643">
      <c r="B643" s="29" t="s">
        <v>2590</v>
      </c>
      <c r="C643" s="172" t="s">
        <v>2592</v>
      </c>
    </row>
    <row r="644">
      <c r="B644" s="29" t="s">
        <v>2593</v>
      </c>
      <c r="C644" s="172" t="s">
        <v>2594</v>
      </c>
    </row>
    <row r="645">
      <c r="B645" s="29" t="s">
        <v>2595</v>
      </c>
      <c r="C645" s="172" t="s">
        <v>2596</v>
      </c>
    </row>
    <row r="646">
      <c r="B646" s="29" t="s">
        <v>2598</v>
      </c>
      <c r="C646" s="172" t="s">
        <v>2599</v>
      </c>
    </row>
    <row r="647">
      <c r="B647" s="29" t="s">
        <v>2600</v>
      </c>
      <c r="C647" s="172" t="s">
        <v>2601</v>
      </c>
    </row>
    <row r="648">
      <c r="B648" s="29" t="s">
        <v>2602</v>
      </c>
      <c r="C648" s="172" t="s">
        <v>2603</v>
      </c>
    </row>
    <row r="649">
      <c r="B649" s="29" t="s">
        <v>2604</v>
      </c>
      <c r="C649" s="172" t="s">
        <v>2606</v>
      </c>
    </row>
    <row r="650">
      <c r="B650" s="29" t="s">
        <v>2607</v>
      </c>
      <c r="C650" s="172" t="s">
        <v>2608</v>
      </c>
    </row>
    <row r="651">
      <c r="B651" s="29" t="s">
        <v>2609</v>
      </c>
      <c r="C651" s="172" t="s">
        <v>2610</v>
      </c>
    </row>
    <row r="652">
      <c r="B652" s="29" t="s">
        <v>2611</v>
      </c>
      <c r="C652" s="172" t="s">
        <v>2612</v>
      </c>
    </row>
    <row r="653">
      <c r="B653" s="29" t="s">
        <v>2614</v>
      </c>
      <c r="C653" s="172" t="s">
        <v>2615</v>
      </c>
    </row>
    <row r="654">
      <c r="B654" s="29" t="s">
        <v>2616</v>
      </c>
      <c r="C654" s="172" t="s">
        <v>2617</v>
      </c>
    </row>
    <row r="655">
      <c r="B655" s="29" t="s">
        <v>2618</v>
      </c>
      <c r="C655" s="172" t="s">
        <v>2619</v>
      </c>
    </row>
    <row r="656">
      <c r="B656" s="29" t="s">
        <v>2620</v>
      </c>
      <c r="C656" s="172" t="s">
        <v>2622</v>
      </c>
    </row>
    <row r="657">
      <c r="B657" s="29" t="s">
        <v>2623</v>
      </c>
      <c r="C657" s="172" t="s">
        <v>2624</v>
      </c>
    </row>
    <row r="658">
      <c r="B658" s="29" t="s">
        <v>2625</v>
      </c>
      <c r="C658" s="172" t="s">
        <v>2626</v>
      </c>
    </row>
    <row r="659">
      <c r="B659" s="29" t="s">
        <v>2628</v>
      </c>
      <c r="C659" s="172" t="s">
        <v>2629</v>
      </c>
    </row>
    <row r="660">
      <c r="B660" s="29" t="s">
        <v>2631</v>
      </c>
      <c r="C660" s="172" t="s">
        <v>2632</v>
      </c>
    </row>
    <row r="661">
      <c r="B661" s="29" t="s">
        <v>2633</v>
      </c>
      <c r="C661" s="172" t="s">
        <v>2634</v>
      </c>
    </row>
    <row r="662">
      <c r="B662" s="29" t="s">
        <v>2635</v>
      </c>
      <c r="C662" s="172" t="s">
        <v>2636</v>
      </c>
    </row>
    <row r="663">
      <c r="B663" s="29" t="s">
        <v>2637</v>
      </c>
      <c r="C663" s="172" t="s">
        <v>2638</v>
      </c>
    </row>
    <row r="664">
      <c r="B664" s="29" t="s">
        <v>2640</v>
      </c>
      <c r="C664" s="172" t="s">
        <v>2641</v>
      </c>
    </row>
    <row r="665">
      <c r="B665" s="29" t="s">
        <v>2642</v>
      </c>
      <c r="C665" s="172" t="s">
        <v>2643</v>
      </c>
    </row>
    <row r="666">
      <c r="B666" s="29" t="s">
        <v>2644</v>
      </c>
      <c r="C666" s="172" t="s">
        <v>2645</v>
      </c>
    </row>
    <row r="667">
      <c r="B667" s="177" t="s">
        <v>2647</v>
      </c>
      <c r="C667" s="177" t="s">
        <v>2647</v>
      </c>
    </row>
    <row r="668">
      <c r="B668" s="177" t="s">
        <v>2648</v>
      </c>
      <c r="C668" s="177" t="s">
        <v>2648</v>
      </c>
    </row>
    <row r="669">
      <c r="B669" s="177" t="s">
        <v>2650</v>
      </c>
      <c r="C669" s="177" t="s">
        <v>2650</v>
      </c>
    </row>
    <row r="670">
      <c r="B670" s="177" t="s">
        <v>2651</v>
      </c>
      <c r="C670" s="177" t="s">
        <v>2651</v>
      </c>
    </row>
    <row r="671">
      <c r="B671" s="177" t="s">
        <v>2652</v>
      </c>
      <c r="C671" s="177" t="s">
        <v>2652</v>
      </c>
    </row>
    <row r="672">
      <c r="B672" s="177" t="s">
        <v>2653</v>
      </c>
      <c r="C672" s="177" t="s">
        <v>2653</v>
      </c>
    </row>
    <row r="673">
      <c r="B673" s="177" t="s">
        <v>2655</v>
      </c>
      <c r="C673" s="177" t="s">
        <v>2655</v>
      </c>
    </row>
    <row r="674">
      <c r="B674" s="177" t="s">
        <v>2656</v>
      </c>
      <c r="C674" s="177" t="s">
        <v>2656</v>
      </c>
    </row>
    <row r="675">
      <c r="B675" s="177" t="s">
        <v>2657</v>
      </c>
      <c r="C675" s="177" t="s">
        <v>2657</v>
      </c>
    </row>
    <row r="676">
      <c r="B676" s="177" t="s">
        <v>2659</v>
      </c>
      <c r="C676" s="177" t="s">
        <v>2659</v>
      </c>
    </row>
    <row r="677">
      <c r="B677" s="177" t="s">
        <v>2660</v>
      </c>
      <c r="C677" s="177" t="s">
        <v>2660</v>
      </c>
    </row>
    <row r="678">
      <c r="B678" s="177" t="s">
        <v>2661</v>
      </c>
      <c r="C678" s="177" t="s">
        <v>2661</v>
      </c>
    </row>
    <row r="679">
      <c r="B679" s="177" t="s">
        <v>2662</v>
      </c>
      <c r="C679" s="177" t="s">
        <v>2662</v>
      </c>
    </row>
    <row r="680">
      <c r="B680" s="177" t="s">
        <v>2663</v>
      </c>
      <c r="C680" s="177" t="s">
        <v>2663</v>
      </c>
    </row>
    <row r="681">
      <c r="B681" s="177" t="s">
        <v>2664</v>
      </c>
      <c r="C681" s="177" t="s">
        <v>2664</v>
      </c>
    </row>
    <row r="682">
      <c r="B682" s="177" t="s">
        <v>2665</v>
      </c>
      <c r="C682" s="177" t="s">
        <v>2665</v>
      </c>
    </row>
    <row r="683">
      <c r="B683" s="177" t="s">
        <v>2666</v>
      </c>
      <c r="C683" s="177" t="s">
        <v>2666</v>
      </c>
    </row>
    <row r="684">
      <c r="B684" s="177" t="s">
        <v>2668</v>
      </c>
      <c r="C684" s="177" t="s">
        <v>2668</v>
      </c>
    </row>
    <row r="685">
      <c r="B685" s="177" t="s">
        <v>2669</v>
      </c>
      <c r="C685" s="177" t="s">
        <v>2669</v>
      </c>
    </row>
    <row r="686">
      <c r="B686" s="177" t="s">
        <v>2670</v>
      </c>
      <c r="C686" s="177" t="s">
        <v>2670</v>
      </c>
    </row>
    <row r="687">
      <c r="B687" s="177" t="s">
        <v>2671</v>
      </c>
      <c r="C687" s="177" t="s">
        <v>2671</v>
      </c>
    </row>
    <row r="688">
      <c r="B688" s="177" t="s">
        <v>2672</v>
      </c>
      <c r="C688" s="177" t="s">
        <v>2672</v>
      </c>
    </row>
    <row r="689">
      <c r="B689" s="177" t="s">
        <v>2673</v>
      </c>
      <c r="C689" s="177" t="s">
        <v>2673</v>
      </c>
    </row>
    <row r="690">
      <c r="B690" s="177" t="s">
        <v>2674</v>
      </c>
      <c r="C690" s="177" t="s">
        <v>2674</v>
      </c>
    </row>
    <row r="691">
      <c r="B691" s="177" t="s">
        <v>2676</v>
      </c>
      <c r="C691" s="177" t="s">
        <v>2676</v>
      </c>
    </row>
    <row r="692">
      <c r="B692" s="177" t="s">
        <v>2677</v>
      </c>
      <c r="C692" s="177" t="s">
        <v>2677</v>
      </c>
    </row>
    <row r="693">
      <c r="B693" s="177" t="s">
        <v>2678</v>
      </c>
      <c r="C693" s="177" t="s">
        <v>2678</v>
      </c>
    </row>
    <row r="694">
      <c r="B694" s="177" t="s">
        <v>2680</v>
      </c>
      <c r="C694" s="177" t="s">
        <v>2680</v>
      </c>
    </row>
    <row r="695">
      <c r="B695" s="177" t="s">
        <v>2681</v>
      </c>
      <c r="C695" s="177" t="s">
        <v>2681</v>
      </c>
    </row>
    <row r="696">
      <c r="B696" s="177" t="s">
        <v>2682</v>
      </c>
      <c r="C696" s="177" t="s">
        <v>2682</v>
      </c>
    </row>
    <row r="697">
      <c r="B697" s="177" t="s">
        <v>2684</v>
      </c>
      <c r="C697" s="177" t="s">
        <v>2684</v>
      </c>
    </row>
    <row r="698">
      <c r="B698" s="177" t="s">
        <v>2685</v>
      </c>
      <c r="C698" s="177" t="s">
        <v>2685</v>
      </c>
    </row>
    <row r="699">
      <c r="B699" s="177" t="s">
        <v>2686</v>
      </c>
      <c r="C699" s="177" t="s">
        <v>2686</v>
      </c>
    </row>
    <row r="700">
      <c r="B700" s="177" t="s">
        <v>2687</v>
      </c>
      <c r="C700" s="177" t="s">
        <v>2687</v>
      </c>
    </row>
    <row r="701">
      <c r="B701" s="177" t="s">
        <v>2689</v>
      </c>
      <c r="C701" s="177" t="s">
        <v>2689</v>
      </c>
    </row>
    <row r="702">
      <c r="B702" s="177" t="s">
        <v>2690</v>
      </c>
      <c r="C702" s="177" t="s">
        <v>2690</v>
      </c>
    </row>
    <row r="703">
      <c r="B703" s="177" t="s">
        <v>2691</v>
      </c>
      <c r="C703" s="177" t="s">
        <v>2691</v>
      </c>
    </row>
    <row r="704">
      <c r="B704" s="177" t="s">
        <v>2692</v>
      </c>
      <c r="C704" s="177" t="s">
        <v>2692</v>
      </c>
    </row>
    <row r="705">
      <c r="B705" s="177" t="s">
        <v>2693</v>
      </c>
      <c r="C705" s="177" t="s">
        <v>2693</v>
      </c>
    </row>
    <row r="706">
      <c r="B706" s="177" t="s">
        <v>2694</v>
      </c>
      <c r="C706" s="177" t="s">
        <v>2694</v>
      </c>
    </row>
    <row r="707">
      <c r="B707" s="177" t="s">
        <v>2695</v>
      </c>
      <c r="C707" s="177" t="s">
        <v>2695</v>
      </c>
    </row>
    <row r="708">
      <c r="B708" s="177" t="s">
        <v>2696</v>
      </c>
      <c r="C708" s="177" t="s">
        <v>2696</v>
      </c>
    </row>
    <row r="709">
      <c r="B709" s="177" t="s">
        <v>2697</v>
      </c>
      <c r="C709" s="177" t="s">
        <v>2697</v>
      </c>
    </row>
    <row r="710">
      <c r="B710" s="177" t="s">
        <v>2698</v>
      </c>
      <c r="C710" s="177" t="s">
        <v>2698</v>
      </c>
    </row>
    <row r="711">
      <c r="B711" s="177" t="s">
        <v>2699</v>
      </c>
      <c r="C711" s="177" t="s">
        <v>2699</v>
      </c>
    </row>
    <row r="712">
      <c r="B712" s="177" t="s">
        <v>2700</v>
      </c>
      <c r="C712" s="177" t="s">
        <v>2700</v>
      </c>
    </row>
    <row r="713">
      <c r="B713" s="177" t="s">
        <v>2701</v>
      </c>
      <c r="C713" s="177" t="s">
        <v>2701</v>
      </c>
    </row>
    <row r="714">
      <c r="B714" s="177" t="s">
        <v>2703</v>
      </c>
      <c r="C714" s="177" t="s">
        <v>2703</v>
      </c>
    </row>
    <row r="715">
      <c r="B715" s="177" t="s">
        <v>2704</v>
      </c>
      <c r="C715" s="177" t="s">
        <v>2704</v>
      </c>
    </row>
    <row r="716">
      <c r="B716" s="177" t="s">
        <v>2705</v>
      </c>
      <c r="C716" s="177" t="s">
        <v>2705</v>
      </c>
    </row>
    <row r="717">
      <c r="B717" s="177" t="s">
        <v>2706</v>
      </c>
      <c r="C717" s="177" t="s">
        <v>2706</v>
      </c>
    </row>
    <row r="718">
      <c r="B718" s="177" t="s">
        <v>2707</v>
      </c>
      <c r="C718" s="177" t="s">
        <v>2707</v>
      </c>
    </row>
    <row r="719">
      <c r="B719" s="177" t="s">
        <v>2708</v>
      </c>
      <c r="C719" s="177" t="s">
        <v>2708</v>
      </c>
    </row>
    <row r="720">
      <c r="B720" s="177" t="s">
        <v>2709</v>
      </c>
      <c r="C720" s="177" t="s">
        <v>2709</v>
      </c>
    </row>
    <row r="721">
      <c r="B721" s="177" t="s">
        <v>2710</v>
      </c>
      <c r="C721" s="177" t="s">
        <v>2710</v>
      </c>
    </row>
    <row r="722">
      <c r="B722" s="177" t="s">
        <v>2711</v>
      </c>
      <c r="C722" s="177" t="s">
        <v>2711</v>
      </c>
    </row>
    <row r="723">
      <c r="B723" s="177" t="s">
        <v>2712</v>
      </c>
      <c r="C723" s="177" t="s">
        <v>2712</v>
      </c>
    </row>
    <row r="724">
      <c r="B724" s="177" t="s">
        <v>2713</v>
      </c>
      <c r="C724" s="177" t="s">
        <v>2713</v>
      </c>
    </row>
    <row r="725">
      <c r="B725" s="177" t="s">
        <v>2714</v>
      </c>
      <c r="C725" s="177" t="s">
        <v>2714</v>
      </c>
    </row>
    <row r="726">
      <c r="B726" s="177" t="s">
        <v>2715</v>
      </c>
      <c r="C726" s="177" t="s">
        <v>2715</v>
      </c>
    </row>
    <row r="727">
      <c r="B727" s="177" t="s">
        <v>2716</v>
      </c>
      <c r="C727" s="177" t="s">
        <v>2716</v>
      </c>
    </row>
    <row r="728">
      <c r="B728" s="177" t="s">
        <v>2718</v>
      </c>
      <c r="C728" s="177" t="s">
        <v>2718</v>
      </c>
    </row>
    <row r="729">
      <c r="B729" s="177" t="s">
        <v>2720</v>
      </c>
      <c r="C729" s="177" t="s">
        <v>2720</v>
      </c>
    </row>
    <row r="730">
      <c r="B730" s="177" t="s">
        <v>2721</v>
      </c>
      <c r="C730" s="177" t="s">
        <v>2721</v>
      </c>
    </row>
    <row r="731">
      <c r="B731" s="177" t="s">
        <v>2723</v>
      </c>
      <c r="C731" s="177" t="s">
        <v>2723</v>
      </c>
    </row>
    <row r="732">
      <c r="B732" s="177" t="s">
        <v>2724</v>
      </c>
      <c r="C732" s="177" t="s">
        <v>2724</v>
      </c>
    </row>
    <row r="733">
      <c r="B733" s="177" t="s">
        <v>2725</v>
      </c>
      <c r="C733" s="177" t="s">
        <v>2725</v>
      </c>
    </row>
    <row r="734">
      <c r="B734" s="177" t="s">
        <v>2727</v>
      </c>
      <c r="C734" s="177" t="s">
        <v>2727</v>
      </c>
    </row>
    <row r="735">
      <c r="B735" s="177" t="s">
        <v>2730</v>
      </c>
      <c r="C735" s="177" t="s">
        <v>2730</v>
      </c>
    </row>
    <row r="736">
      <c r="B736" s="177" t="s">
        <v>2731</v>
      </c>
      <c r="C736" s="177" t="s">
        <v>2731</v>
      </c>
    </row>
    <row r="737">
      <c r="B737" s="177" t="s">
        <v>2732</v>
      </c>
      <c r="C737" s="177" t="s">
        <v>2732</v>
      </c>
    </row>
    <row r="738">
      <c r="B738" s="177" t="s">
        <v>2734</v>
      </c>
      <c r="C738" s="177" t="s">
        <v>2734</v>
      </c>
    </row>
    <row r="739">
      <c r="B739" s="177" t="s">
        <v>2735</v>
      </c>
      <c r="C739" s="177" t="s">
        <v>2735</v>
      </c>
    </row>
    <row r="740">
      <c r="B740" s="177" t="s">
        <v>2736</v>
      </c>
      <c r="C740" s="177" t="s">
        <v>2736</v>
      </c>
    </row>
    <row r="741">
      <c r="B741" s="177" t="s">
        <v>2738</v>
      </c>
      <c r="C741" s="177" t="s">
        <v>2738</v>
      </c>
    </row>
    <row r="742">
      <c r="B742" s="177" t="s">
        <v>2739</v>
      </c>
      <c r="C742" s="177" t="s">
        <v>2739</v>
      </c>
    </row>
    <row r="743">
      <c r="B743" s="177" t="s">
        <v>2740</v>
      </c>
      <c r="C743" s="177" t="s">
        <v>2740</v>
      </c>
    </row>
    <row r="744">
      <c r="B744" s="177" t="s">
        <v>2741</v>
      </c>
      <c r="C744" s="177" t="s">
        <v>2741</v>
      </c>
    </row>
    <row r="745">
      <c r="B745" s="177" t="s">
        <v>2742</v>
      </c>
      <c r="C745" s="177" t="s">
        <v>2742</v>
      </c>
    </row>
    <row r="746">
      <c r="B746" s="177" t="s">
        <v>2744</v>
      </c>
      <c r="C746" s="177" t="s">
        <v>2744</v>
      </c>
    </row>
    <row r="747">
      <c r="B747" s="177" t="s">
        <v>2745</v>
      </c>
      <c r="C747" s="177" t="s">
        <v>2745</v>
      </c>
    </row>
    <row r="748">
      <c r="B748" s="177" t="s">
        <v>2747</v>
      </c>
      <c r="C748" s="177" t="s">
        <v>2747</v>
      </c>
    </row>
    <row r="749">
      <c r="B749" s="177" t="s">
        <v>2748</v>
      </c>
      <c r="C749" s="177" t="s">
        <v>2748</v>
      </c>
    </row>
    <row r="750">
      <c r="B750" s="177" t="s">
        <v>2750</v>
      </c>
      <c r="C750" s="177" t="s">
        <v>2750</v>
      </c>
    </row>
    <row r="751">
      <c r="B751" s="177" t="s">
        <v>2751</v>
      </c>
      <c r="C751" s="177" t="s">
        <v>2751</v>
      </c>
    </row>
    <row r="752">
      <c r="B752" s="177" t="s">
        <v>2752</v>
      </c>
      <c r="C752" s="177" t="s">
        <v>2752</v>
      </c>
    </row>
    <row r="753">
      <c r="B753" s="177" t="s">
        <v>2753</v>
      </c>
      <c r="C753" s="177" t="s">
        <v>2753</v>
      </c>
    </row>
    <row r="754">
      <c r="B754" s="177" t="s">
        <v>2754</v>
      </c>
      <c r="C754" s="177" t="s">
        <v>2754</v>
      </c>
    </row>
    <row r="755">
      <c r="B755" s="177" t="s">
        <v>2755</v>
      </c>
      <c r="C755" s="177" t="s">
        <v>2755</v>
      </c>
    </row>
    <row r="756">
      <c r="B756" s="177" t="s">
        <v>2756</v>
      </c>
      <c r="C756" s="177" t="s">
        <v>2756</v>
      </c>
    </row>
    <row r="757">
      <c r="B757" s="177" t="s">
        <v>2757</v>
      </c>
      <c r="C757" s="177" t="s">
        <v>2757</v>
      </c>
    </row>
    <row r="758">
      <c r="B758" s="177" t="s">
        <v>2758</v>
      </c>
      <c r="C758" s="177" t="s">
        <v>2758</v>
      </c>
    </row>
    <row r="759">
      <c r="B759" s="177" t="s">
        <v>2759</v>
      </c>
      <c r="C759" s="177" t="s">
        <v>2759</v>
      </c>
    </row>
    <row r="760">
      <c r="B760" s="177" t="s">
        <v>2761</v>
      </c>
      <c r="C760" s="177" t="s">
        <v>2761</v>
      </c>
    </row>
    <row r="761">
      <c r="B761" s="177" t="s">
        <v>2763</v>
      </c>
      <c r="C761" s="177" t="s">
        <v>2763</v>
      </c>
    </row>
    <row r="762">
      <c r="B762" s="177" t="s">
        <v>2764</v>
      </c>
      <c r="C762" s="177" t="s">
        <v>2764</v>
      </c>
    </row>
    <row r="763">
      <c r="B763" s="177" t="s">
        <v>2765</v>
      </c>
      <c r="C763" s="177" t="s">
        <v>2765</v>
      </c>
    </row>
    <row r="764">
      <c r="B764" s="177" t="s">
        <v>2766</v>
      </c>
      <c r="C764" s="177" t="s">
        <v>2766</v>
      </c>
    </row>
    <row r="765">
      <c r="B765" s="177" t="s">
        <v>2767</v>
      </c>
      <c r="C765" s="177" t="s">
        <v>2767</v>
      </c>
    </row>
    <row r="766">
      <c r="B766" s="177" t="s">
        <v>2768</v>
      </c>
      <c r="C766" s="177" t="s">
        <v>2768</v>
      </c>
    </row>
    <row r="767">
      <c r="B767" s="177" t="s">
        <v>2769</v>
      </c>
      <c r="C767" s="177" t="s">
        <v>2769</v>
      </c>
    </row>
    <row r="768">
      <c r="B768" s="177" t="s">
        <v>2770</v>
      </c>
      <c r="C768" s="177" t="s">
        <v>2770</v>
      </c>
    </row>
    <row r="769">
      <c r="B769" s="177" t="s">
        <v>2771</v>
      </c>
      <c r="C769" s="177" t="s">
        <v>2771</v>
      </c>
    </row>
    <row r="770">
      <c r="B770" s="177" t="s">
        <v>2772</v>
      </c>
      <c r="C770" s="177" t="s">
        <v>2772</v>
      </c>
    </row>
    <row r="771">
      <c r="B771" s="177" t="s">
        <v>2773</v>
      </c>
      <c r="C771" s="177" t="s">
        <v>2773</v>
      </c>
    </row>
    <row r="772">
      <c r="B772" s="177" t="s">
        <v>2774</v>
      </c>
      <c r="C772" s="177" t="s">
        <v>2774</v>
      </c>
    </row>
    <row r="773">
      <c r="B773" s="177" t="s">
        <v>2775</v>
      </c>
      <c r="C773" s="177" t="s">
        <v>2775</v>
      </c>
    </row>
    <row r="774">
      <c r="B774" s="177" t="s">
        <v>2776</v>
      </c>
      <c r="C774" s="177" t="s">
        <v>2776</v>
      </c>
    </row>
    <row r="775">
      <c r="B775" s="177" t="s">
        <v>2777</v>
      </c>
      <c r="C775" s="177" t="s">
        <v>2777</v>
      </c>
    </row>
    <row r="776">
      <c r="B776" s="177" t="s">
        <v>2778</v>
      </c>
      <c r="C776" s="177" t="s">
        <v>2778</v>
      </c>
    </row>
    <row r="777">
      <c r="B777" s="177" t="s">
        <v>2779</v>
      </c>
      <c r="C777" s="177" t="s">
        <v>2779</v>
      </c>
    </row>
    <row r="778">
      <c r="B778" s="177" t="s">
        <v>2780</v>
      </c>
      <c r="C778" s="177" t="s">
        <v>2780</v>
      </c>
    </row>
    <row r="779">
      <c r="B779" s="177" t="s">
        <v>2781</v>
      </c>
      <c r="C779" s="177" t="s">
        <v>2781</v>
      </c>
    </row>
    <row r="780">
      <c r="B780" s="177" t="s">
        <v>2782</v>
      </c>
      <c r="C780" s="177" t="s">
        <v>2782</v>
      </c>
    </row>
    <row r="781">
      <c r="B781" s="177" t="s">
        <v>2783</v>
      </c>
      <c r="C781" s="177" t="s">
        <v>2783</v>
      </c>
    </row>
    <row r="782">
      <c r="B782" s="177" t="s">
        <v>2784</v>
      </c>
      <c r="C782" s="177" t="s">
        <v>2784</v>
      </c>
    </row>
    <row r="783">
      <c r="B783" s="177" t="s">
        <v>2785</v>
      </c>
      <c r="C783" s="177" t="s">
        <v>2785</v>
      </c>
    </row>
    <row r="784">
      <c r="B784" s="177" t="s">
        <v>2786</v>
      </c>
      <c r="C784" s="177" t="s">
        <v>2786</v>
      </c>
    </row>
    <row r="785">
      <c r="B785" s="177" t="s">
        <v>2787</v>
      </c>
      <c r="C785" s="177" t="s">
        <v>2787</v>
      </c>
    </row>
    <row r="786">
      <c r="B786" s="177" t="s">
        <v>2788</v>
      </c>
      <c r="C786" s="177" t="s">
        <v>2788</v>
      </c>
    </row>
    <row r="787">
      <c r="B787" s="177" t="s">
        <v>2789</v>
      </c>
      <c r="C787" s="177" t="s">
        <v>2789</v>
      </c>
    </row>
    <row r="788">
      <c r="B788" s="177" t="s">
        <v>2790</v>
      </c>
      <c r="C788" s="177" t="s">
        <v>2790</v>
      </c>
    </row>
    <row r="789">
      <c r="B789" s="177" t="s">
        <v>2791</v>
      </c>
      <c r="C789" s="177" t="s">
        <v>2791</v>
      </c>
    </row>
    <row r="790">
      <c r="B790" s="177" t="s">
        <v>2792</v>
      </c>
      <c r="C790" s="177" t="s">
        <v>2792</v>
      </c>
    </row>
    <row r="791">
      <c r="B791" s="177" t="s">
        <v>2793</v>
      </c>
      <c r="C791" s="177" t="s">
        <v>2793</v>
      </c>
    </row>
    <row r="792">
      <c r="B792" s="177" t="s">
        <v>2794</v>
      </c>
      <c r="C792" s="177" t="s">
        <v>2794</v>
      </c>
    </row>
    <row r="793">
      <c r="B793" s="177" t="s">
        <v>2795</v>
      </c>
      <c r="C793" s="177" t="s">
        <v>2795</v>
      </c>
    </row>
    <row r="794">
      <c r="B794" s="177" t="s">
        <v>2796</v>
      </c>
      <c r="C794" s="177" t="s">
        <v>2796</v>
      </c>
    </row>
    <row r="795">
      <c r="B795" s="177" t="s">
        <v>2797</v>
      </c>
      <c r="C795" s="177" t="s">
        <v>2797</v>
      </c>
    </row>
    <row r="796">
      <c r="B796" s="177" t="s">
        <v>2798</v>
      </c>
      <c r="C796" s="177" t="s">
        <v>2798</v>
      </c>
    </row>
    <row r="797">
      <c r="B797" s="177" t="s">
        <v>2799</v>
      </c>
      <c r="C797" s="177" t="s">
        <v>2799</v>
      </c>
    </row>
    <row r="798">
      <c r="B798" s="177" t="s">
        <v>2800</v>
      </c>
      <c r="C798" s="177" t="s">
        <v>2800</v>
      </c>
    </row>
    <row r="799">
      <c r="B799" s="177" t="s">
        <v>2801</v>
      </c>
      <c r="C799" s="177" t="s">
        <v>2801</v>
      </c>
    </row>
    <row r="800">
      <c r="B800" s="177" t="s">
        <v>2802</v>
      </c>
      <c r="C800" s="177" t="s">
        <v>2802</v>
      </c>
    </row>
    <row r="801">
      <c r="B801" s="177" t="s">
        <v>2803</v>
      </c>
      <c r="C801" s="177" t="s">
        <v>2803</v>
      </c>
    </row>
    <row r="802">
      <c r="B802" s="177" t="s">
        <v>2804</v>
      </c>
      <c r="C802" s="177" t="s">
        <v>2804</v>
      </c>
    </row>
    <row r="803">
      <c r="B803" s="177" t="s">
        <v>2805</v>
      </c>
      <c r="C803" s="177" t="s">
        <v>2805</v>
      </c>
    </row>
    <row r="804">
      <c r="B804" s="177" t="s">
        <v>2806</v>
      </c>
      <c r="C804" s="177" t="s">
        <v>2806</v>
      </c>
    </row>
    <row r="805">
      <c r="B805" s="177" t="s">
        <v>2807</v>
      </c>
      <c r="C805" s="177" t="s">
        <v>2807</v>
      </c>
    </row>
    <row r="806">
      <c r="B806" s="177" t="s">
        <v>2808</v>
      </c>
      <c r="C806" s="177" t="s">
        <v>2808</v>
      </c>
    </row>
    <row r="807">
      <c r="B807" s="177" t="s">
        <v>2809</v>
      </c>
      <c r="C807" s="177" t="s">
        <v>2809</v>
      </c>
    </row>
    <row r="808">
      <c r="B808" s="177" t="s">
        <v>2810</v>
      </c>
      <c r="C808" s="177" t="s">
        <v>2810</v>
      </c>
    </row>
    <row r="809">
      <c r="B809" s="177" t="s">
        <v>2811</v>
      </c>
      <c r="C809" s="177" t="s">
        <v>2811</v>
      </c>
    </row>
    <row r="810">
      <c r="B810" s="177" t="s">
        <v>2812</v>
      </c>
      <c r="C810" s="177" t="s">
        <v>2812</v>
      </c>
    </row>
    <row r="811">
      <c r="B811" s="177" t="s">
        <v>2813</v>
      </c>
      <c r="C811" s="177" t="s">
        <v>2813</v>
      </c>
    </row>
    <row r="812">
      <c r="B812" s="177" t="s">
        <v>2814</v>
      </c>
      <c r="C812" s="177" t="s">
        <v>2814</v>
      </c>
    </row>
    <row r="813">
      <c r="B813" s="177" t="s">
        <v>2815</v>
      </c>
      <c r="C813" s="177" t="s">
        <v>2815</v>
      </c>
    </row>
    <row r="814">
      <c r="B814" s="177" t="s">
        <v>2816</v>
      </c>
      <c r="C814" s="177" t="s">
        <v>2816</v>
      </c>
    </row>
    <row r="815">
      <c r="B815" s="177" t="s">
        <v>2817</v>
      </c>
      <c r="C815" s="177" t="s">
        <v>2817</v>
      </c>
    </row>
    <row r="816">
      <c r="B816" s="177" t="s">
        <v>2818</v>
      </c>
      <c r="C816" s="177" t="s">
        <v>2818</v>
      </c>
    </row>
    <row r="817">
      <c r="B817" s="177" t="s">
        <v>2819</v>
      </c>
      <c r="C817" s="177" t="s">
        <v>2819</v>
      </c>
    </row>
    <row r="818">
      <c r="B818" s="177" t="s">
        <v>2820</v>
      </c>
      <c r="C818" s="177" t="s">
        <v>2820</v>
      </c>
    </row>
    <row r="819">
      <c r="B819" s="177" t="s">
        <v>2821</v>
      </c>
      <c r="C819" s="177" t="s">
        <v>2821</v>
      </c>
    </row>
    <row r="820">
      <c r="B820" s="177" t="s">
        <v>2822</v>
      </c>
      <c r="C820" s="177" t="s">
        <v>2822</v>
      </c>
    </row>
    <row r="821">
      <c r="B821" s="177" t="s">
        <v>2823</v>
      </c>
      <c r="C821" s="177" t="s">
        <v>2823</v>
      </c>
    </row>
    <row r="822">
      <c r="B822" s="177" t="s">
        <v>2824</v>
      </c>
      <c r="C822" s="177" t="s">
        <v>2824</v>
      </c>
    </row>
    <row r="823">
      <c r="B823" s="177" t="s">
        <v>2825</v>
      </c>
      <c r="C823" s="177" t="s">
        <v>2825</v>
      </c>
    </row>
    <row r="824">
      <c r="B824" s="177" t="s">
        <v>2826</v>
      </c>
      <c r="C824" s="177" t="s">
        <v>2826</v>
      </c>
    </row>
    <row r="825">
      <c r="B825" s="177" t="s">
        <v>2827</v>
      </c>
      <c r="C825" s="177" t="s">
        <v>2827</v>
      </c>
    </row>
    <row r="826">
      <c r="B826" s="177" t="s">
        <v>2828</v>
      </c>
      <c r="C826" s="177" t="s">
        <v>2828</v>
      </c>
    </row>
    <row r="827">
      <c r="B827" s="177" t="s">
        <v>2829</v>
      </c>
      <c r="C827" s="177" t="s">
        <v>2829</v>
      </c>
    </row>
    <row r="828">
      <c r="B828" s="177" t="s">
        <v>2830</v>
      </c>
      <c r="C828" s="177" t="s">
        <v>2830</v>
      </c>
    </row>
    <row r="829">
      <c r="B829" s="177" t="s">
        <v>2831</v>
      </c>
      <c r="C829" s="177" t="s">
        <v>2831</v>
      </c>
    </row>
    <row r="830">
      <c r="B830" s="177" t="s">
        <v>2832</v>
      </c>
      <c r="C830" s="177" t="s">
        <v>2832</v>
      </c>
    </row>
    <row r="831">
      <c r="B831" s="177" t="s">
        <v>2833</v>
      </c>
      <c r="C831" s="177" t="s">
        <v>2833</v>
      </c>
    </row>
    <row r="832">
      <c r="B832" s="177" t="s">
        <v>2834</v>
      </c>
      <c r="C832" s="177" t="s">
        <v>2834</v>
      </c>
    </row>
    <row r="833">
      <c r="B833" s="177" t="s">
        <v>2835</v>
      </c>
      <c r="C833" s="177" t="s">
        <v>2835</v>
      </c>
    </row>
    <row r="834">
      <c r="B834" s="177" t="s">
        <v>2836</v>
      </c>
      <c r="C834" s="177" t="s">
        <v>2836</v>
      </c>
    </row>
    <row r="835">
      <c r="B835" s="177" t="s">
        <v>2837</v>
      </c>
      <c r="C835" s="177" t="s">
        <v>2837</v>
      </c>
    </row>
    <row r="836">
      <c r="B836" s="177" t="s">
        <v>2838</v>
      </c>
      <c r="C836" s="177" t="s">
        <v>2838</v>
      </c>
    </row>
    <row r="837">
      <c r="B837" s="177" t="s">
        <v>2839</v>
      </c>
      <c r="C837" s="177" t="s">
        <v>2839</v>
      </c>
    </row>
    <row r="838">
      <c r="B838" s="177" t="s">
        <v>2840</v>
      </c>
      <c r="C838" s="177" t="s">
        <v>2840</v>
      </c>
    </row>
    <row r="839">
      <c r="B839" s="177" t="s">
        <v>2841</v>
      </c>
      <c r="C839" s="177" t="s">
        <v>2841</v>
      </c>
    </row>
    <row r="840">
      <c r="B840" s="177" t="s">
        <v>2842</v>
      </c>
      <c r="C840" s="177" t="s">
        <v>2842</v>
      </c>
    </row>
    <row r="841">
      <c r="B841" s="177" t="s">
        <v>2843</v>
      </c>
      <c r="C841" s="177" t="s">
        <v>2843</v>
      </c>
    </row>
    <row r="842">
      <c r="B842" s="177" t="s">
        <v>2844</v>
      </c>
      <c r="C842" s="177" t="s">
        <v>2844</v>
      </c>
    </row>
    <row r="843">
      <c r="B843" s="177" t="s">
        <v>2845</v>
      </c>
      <c r="C843" s="177" t="s">
        <v>2845</v>
      </c>
    </row>
    <row r="844">
      <c r="B844" s="177" t="s">
        <v>2846</v>
      </c>
      <c r="C844" s="177" t="s">
        <v>2846</v>
      </c>
    </row>
    <row r="845">
      <c r="B845" s="177" t="s">
        <v>2847</v>
      </c>
      <c r="C845" s="177" t="s">
        <v>2847</v>
      </c>
    </row>
    <row r="846">
      <c r="B846" s="177" t="s">
        <v>2848</v>
      </c>
      <c r="C846" s="177" t="s">
        <v>2848</v>
      </c>
    </row>
    <row r="847">
      <c r="B847" s="177" t="s">
        <v>2849</v>
      </c>
      <c r="C847" s="177" t="s">
        <v>2849</v>
      </c>
    </row>
    <row r="848">
      <c r="B848" s="177" t="s">
        <v>2850</v>
      </c>
      <c r="C848" s="177" t="s">
        <v>2850</v>
      </c>
    </row>
    <row r="849">
      <c r="B849" s="177" t="s">
        <v>2851</v>
      </c>
      <c r="C849" s="177" t="s">
        <v>2851</v>
      </c>
    </row>
    <row r="850">
      <c r="B850" s="177" t="s">
        <v>2852</v>
      </c>
      <c r="C850" s="177" t="s">
        <v>2852</v>
      </c>
    </row>
    <row r="851">
      <c r="B851" s="177" t="s">
        <v>2853</v>
      </c>
      <c r="C851" s="177" t="s">
        <v>2853</v>
      </c>
    </row>
    <row r="852">
      <c r="B852" s="177" t="s">
        <v>2854</v>
      </c>
      <c r="C852" s="177" t="s">
        <v>2854</v>
      </c>
    </row>
    <row r="853">
      <c r="B853" s="177" t="s">
        <v>2855</v>
      </c>
      <c r="C853" s="177" t="s">
        <v>2855</v>
      </c>
    </row>
    <row r="854">
      <c r="B854" s="177" t="s">
        <v>2856</v>
      </c>
      <c r="C854" s="177" t="s">
        <v>2856</v>
      </c>
    </row>
    <row r="855">
      <c r="B855" s="177" t="s">
        <v>2857</v>
      </c>
      <c r="C855" s="177" t="s">
        <v>2857</v>
      </c>
    </row>
    <row r="856">
      <c r="B856" s="177" t="s">
        <v>2858</v>
      </c>
      <c r="C856" s="177" t="s">
        <v>2858</v>
      </c>
    </row>
    <row r="857">
      <c r="B857" s="177" t="s">
        <v>2859</v>
      </c>
      <c r="C857" s="177" t="s">
        <v>2859</v>
      </c>
    </row>
    <row r="858">
      <c r="B858" s="177" t="s">
        <v>2860</v>
      </c>
      <c r="C858" s="177" t="s">
        <v>2860</v>
      </c>
    </row>
    <row r="859">
      <c r="B859" s="177" t="s">
        <v>2861</v>
      </c>
      <c r="C859" s="177" t="s">
        <v>2861</v>
      </c>
    </row>
    <row r="860">
      <c r="B860" s="177" t="s">
        <v>2862</v>
      </c>
      <c r="C860" s="177" t="s">
        <v>2862</v>
      </c>
    </row>
    <row r="861">
      <c r="B861" s="177" t="s">
        <v>2863</v>
      </c>
      <c r="C861" s="177" t="s">
        <v>2863</v>
      </c>
    </row>
    <row r="862">
      <c r="B862" s="177" t="s">
        <v>2864</v>
      </c>
      <c r="C862" s="177" t="s">
        <v>2864</v>
      </c>
    </row>
    <row r="863">
      <c r="B863" s="177" t="s">
        <v>2865</v>
      </c>
      <c r="C863" s="177" t="s">
        <v>2865</v>
      </c>
    </row>
    <row r="864">
      <c r="B864" s="177" t="s">
        <v>2866</v>
      </c>
      <c r="C864" s="177" t="s">
        <v>2866</v>
      </c>
    </row>
    <row r="865">
      <c r="B865" s="177" t="s">
        <v>2867</v>
      </c>
      <c r="C865" s="177" t="s">
        <v>2867</v>
      </c>
    </row>
    <row r="866">
      <c r="B866" s="177" t="s">
        <v>2868</v>
      </c>
      <c r="C866" s="177" t="s">
        <v>2868</v>
      </c>
    </row>
    <row r="867">
      <c r="B867" s="177" t="s">
        <v>2869</v>
      </c>
      <c r="C867" s="177" t="s">
        <v>2869</v>
      </c>
    </row>
    <row r="868">
      <c r="B868" s="177" t="s">
        <v>2870</v>
      </c>
      <c r="C868" s="177" t="s">
        <v>2870</v>
      </c>
    </row>
    <row r="869">
      <c r="B869" s="177" t="s">
        <v>2871</v>
      </c>
      <c r="C869" s="177" t="s">
        <v>2871</v>
      </c>
    </row>
    <row r="870">
      <c r="B870" s="177" t="s">
        <v>2872</v>
      </c>
      <c r="C870" s="177" t="s">
        <v>2872</v>
      </c>
    </row>
    <row r="871">
      <c r="B871" s="177" t="s">
        <v>2873</v>
      </c>
      <c r="C871" s="177" t="s">
        <v>2873</v>
      </c>
    </row>
    <row r="872">
      <c r="B872" s="177" t="s">
        <v>2874</v>
      </c>
      <c r="C872" s="177" t="s">
        <v>2874</v>
      </c>
    </row>
    <row r="873">
      <c r="B873" s="177" t="s">
        <v>2875</v>
      </c>
      <c r="C873" s="177" t="s">
        <v>2875</v>
      </c>
    </row>
    <row r="874">
      <c r="B874" s="177" t="s">
        <v>2876</v>
      </c>
      <c r="C874" s="177" t="s">
        <v>2876</v>
      </c>
    </row>
    <row r="875">
      <c r="B875" s="177" t="s">
        <v>2877</v>
      </c>
      <c r="C875" s="177" t="s">
        <v>2877</v>
      </c>
    </row>
    <row r="876">
      <c r="B876" s="177" t="s">
        <v>2878</v>
      </c>
      <c r="C876" s="177" t="s">
        <v>2878</v>
      </c>
    </row>
    <row r="877">
      <c r="B877" s="177" t="s">
        <v>2879</v>
      </c>
      <c r="C877" s="177" t="s">
        <v>2879</v>
      </c>
    </row>
    <row r="878">
      <c r="B878" s="177" t="s">
        <v>2880</v>
      </c>
      <c r="C878" s="177" t="s">
        <v>2880</v>
      </c>
    </row>
    <row r="879">
      <c r="B879" s="177" t="s">
        <v>2881</v>
      </c>
      <c r="C879" s="177" t="s">
        <v>2881</v>
      </c>
    </row>
    <row r="880">
      <c r="B880" s="177" t="s">
        <v>2882</v>
      </c>
      <c r="C880" s="177" t="s">
        <v>2882</v>
      </c>
    </row>
    <row r="881">
      <c r="B881" s="177" t="s">
        <v>2883</v>
      </c>
      <c r="C881" s="177" t="s">
        <v>2883</v>
      </c>
    </row>
    <row r="882">
      <c r="B882" s="177" t="s">
        <v>2884</v>
      </c>
      <c r="C882" s="177" t="s">
        <v>2884</v>
      </c>
    </row>
    <row r="883">
      <c r="B883" s="177" t="s">
        <v>2885</v>
      </c>
      <c r="C883" s="177" t="s">
        <v>2885</v>
      </c>
    </row>
    <row r="884">
      <c r="B884" s="177" t="s">
        <v>2886</v>
      </c>
      <c r="C884" s="177" t="s">
        <v>2886</v>
      </c>
    </row>
    <row r="885">
      <c r="B885" s="177" t="s">
        <v>2887</v>
      </c>
      <c r="C885" s="177" t="s">
        <v>2887</v>
      </c>
    </row>
    <row r="886">
      <c r="B886" s="177" t="s">
        <v>2888</v>
      </c>
      <c r="C886" s="177" t="s">
        <v>2888</v>
      </c>
    </row>
    <row r="887">
      <c r="B887" s="177" t="s">
        <v>2889</v>
      </c>
      <c r="C887" s="177" t="s">
        <v>2889</v>
      </c>
    </row>
    <row r="888">
      <c r="B888" s="177" t="s">
        <v>2890</v>
      </c>
      <c r="C888" s="177" t="s">
        <v>2890</v>
      </c>
    </row>
    <row r="889">
      <c r="B889" s="177" t="s">
        <v>2891</v>
      </c>
      <c r="C889" s="177" t="s">
        <v>2891</v>
      </c>
    </row>
    <row r="890">
      <c r="B890" s="177" t="s">
        <v>2892</v>
      </c>
      <c r="C890" s="177" t="s">
        <v>2892</v>
      </c>
    </row>
    <row r="891">
      <c r="B891" s="177" t="s">
        <v>2893</v>
      </c>
      <c r="C891" s="177" t="s">
        <v>2893</v>
      </c>
    </row>
    <row r="892">
      <c r="B892" s="177" t="s">
        <v>2894</v>
      </c>
      <c r="C892" s="177" t="s">
        <v>2894</v>
      </c>
    </row>
    <row r="893">
      <c r="B893" s="177" t="s">
        <v>2895</v>
      </c>
      <c r="C893" s="177" t="s">
        <v>2895</v>
      </c>
    </row>
    <row r="894">
      <c r="B894" s="177" t="s">
        <v>2896</v>
      </c>
      <c r="C894" s="177" t="s">
        <v>2896</v>
      </c>
    </row>
    <row r="895">
      <c r="B895" s="177" t="s">
        <v>2897</v>
      </c>
      <c r="C895" s="177" t="s">
        <v>2897</v>
      </c>
    </row>
    <row r="896">
      <c r="B896" s="177" t="s">
        <v>2898</v>
      </c>
      <c r="C896" s="177" t="s">
        <v>2898</v>
      </c>
    </row>
    <row r="897">
      <c r="B897" s="177" t="s">
        <v>2899</v>
      </c>
      <c r="C897" s="177" t="s">
        <v>2899</v>
      </c>
    </row>
    <row r="898">
      <c r="B898" s="177" t="s">
        <v>2900</v>
      </c>
      <c r="C898" s="177" t="s">
        <v>2900</v>
      </c>
    </row>
    <row r="899">
      <c r="B899" s="177" t="s">
        <v>2901</v>
      </c>
      <c r="C899" s="177" t="s">
        <v>2901</v>
      </c>
    </row>
    <row r="900">
      <c r="B900" s="177" t="s">
        <v>2902</v>
      </c>
      <c r="C900" s="177" t="s">
        <v>2902</v>
      </c>
    </row>
    <row r="901">
      <c r="B901" s="177" t="s">
        <v>2903</v>
      </c>
      <c r="C901" s="177" t="s">
        <v>2903</v>
      </c>
    </row>
    <row r="902">
      <c r="B902" s="177" t="s">
        <v>2904</v>
      </c>
      <c r="C902" s="177" t="s">
        <v>2904</v>
      </c>
    </row>
    <row r="903">
      <c r="B903" s="177" t="s">
        <v>2905</v>
      </c>
      <c r="C903" s="177" t="s">
        <v>2905</v>
      </c>
    </row>
    <row r="904">
      <c r="B904" s="177" t="s">
        <v>2906</v>
      </c>
      <c r="C904" s="177" t="s">
        <v>2906</v>
      </c>
    </row>
    <row r="905">
      <c r="B905" s="177" t="s">
        <v>2907</v>
      </c>
      <c r="C905" s="177" t="s">
        <v>2907</v>
      </c>
    </row>
    <row r="906">
      <c r="B906" s="177" t="s">
        <v>2908</v>
      </c>
      <c r="C906" s="177" t="s">
        <v>2908</v>
      </c>
    </row>
    <row r="907">
      <c r="B907" s="177" t="s">
        <v>2909</v>
      </c>
      <c r="C907" s="177" t="s">
        <v>2909</v>
      </c>
    </row>
    <row r="908">
      <c r="B908" s="177" t="s">
        <v>2910</v>
      </c>
      <c r="C908" s="177" t="s">
        <v>2910</v>
      </c>
    </row>
    <row r="909">
      <c r="B909" s="177" t="s">
        <v>2911</v>
      </c>
      <c r="C909" s="177" t="s">
        <v>2911</v>
      </c>
    </row>
    <row r="910">
      <c r="B910" s="177" t="s">
        <v>2912</v>
      </c>
      <c r="C910" s="177" t="s">
        <v>2912</v>
      </c>
    </row>
    <row r="911">
      <c r="B911" s="177" t="s">
        <v>2913</v>
      </c>
      <c r="C911" s="177" t="s">
        <v>2913</v>
      </c>
    </row>
    <row r="912">
      <c r="B912" s="177" t="s">
        <v>2914</v>
      </c>
      <c r="C912" s="177" t="s">
        <v>2914</v>
      </c>
    </row>
    <row r="913">
      <c r="B913" s="177" t="s">
        <v>2915</v>
      </c>
      <c r="C913" s="177" t="s">
        <v>2915</v>
      </c>
    </row>
    <row r="914">
      <c r="B914" s="177" t="s">
        <v>2916</v>
      </c>
      <c r="C914" s="177" t="s">
        <v>2916</v>
      </c>
    </row>
    <row r="915">
      <c r="B915" s="177" t="s">
        <v>2917</v>
      </c>
      <c r="C915" s="177" t="s">
        <v>2917</v>
      </c>
    </row>
    <row r="916">
      <c r="B916" s="177" t="s">
        <v>2918</v>
      </c>
      <c r="C916" s="177" t="s">
        <v>2918</v>
      </c>
    </row>
    <row r="917">
      <c r="B917" s="177" t="s">
        <v>2919</v>
      </c>
      <c r="C917" s="177" t="s">
        <v>2919</v>
      </c>
    </row>
    <row r="918">
      <c r="B918" s="177" t="s">
        <v>2920</v>
      </c>
      <c r="C918" s="177" t="s">
        <v>2920</v>
      </c>
    </row>
    <row r="919">
      <c r="B919" s="177" t="s">
        <v>2921</v>
      </c>
      <c r="C919" s="177" t="s">
        <v>2921</v>
      </c>
    </row>
    <row r="920">
      <c r="B920" s="177" t="s">
        <v>2922</v>
      </c>
      <c r="C920" s="177" t="s">
        <v>2922</v>
      </c>
    </row>
    <row r="921">
      <c r="B921" s="177" t="s">
        <v>2923</v>
      </c>
      <c r="C921" s="177" t="s">
        <v>2923</v>
      </c>
    </row>
    <row r="922">
      <c r="B922" s="177" t="s">
        <v>2924</v>
      </c>
      <c r="C922" s="177" t="s">
        <v>2924</v>
      </c>
    </row>
    <row r="923">
      <c r="B923" s="177" t="s">
        <v>2925</v>
      </c>
      <c r="C923" s="177" t="s">
        <v>2925</v>
      </c>
    </row>
    <row r="924">
      <c r="B924" s="177" t="s">
        <v>2926</v>
      </c>
      <c r="C924" s="177" t="s">
        <v>2926</v>
      </c>
    </row>
    <row r="925">
      <c r="B925" s="177" t="s">
        <v>2927</v>
      </c>
      <c r="C925" s="177" t="s">
        <v>2927</v>
      </c>
    </row>
    <row r="926">
      <c r="B926" s="177" t="s">
        <v>2928</v>
      </c>
      <c r="C926" s="177" t="s">
        <v>2928</v>
      </c>
    </row>
    <row r="927">
      <c r="B927" s="177" t="s">
        <v>2929</v>
      </c>
      <c r="C927" s="177" t="s">
        <v>2929</v>
      </c>
    </row>
    <row r="928">
      <c r="B928" s="177" t="s">
        <v>2930</v>
      </c>
      <c r="C928" s="177" t="s">
        <v>2930</v>
      </c>
    </row>
    <row r="929">
      <c r="B929" s="177" t="s">
        <v>2931</v>
      </c>
      <c r="C929" s="177" t="s">
        <v>2931</v>
      </c>
    </row>
    <row r="930">
      <c r="B930" s="177" t="s">
        <v>2932</v>
      </c>
      <c r="C930" s="177" t="s">
        <v>2932</v>
      </c>
    </row>
    <row r="931">
      <c r="B931" s="177" t="s">
        <v>2933</v>
      </c>
      <c r="C931" s="177" t="s">
        <v>2933</v>
      </c>
    </row>
    <row r="932">
      <c r="B932" s="177" t="s">
        <v>2934</v>
      </c>
      <c r="C932" s="177" t="s">
        <v>2934</v>
      </c>
    </row>
    <row r="933">
      <c r="B933" s="177" t="s">
        <v>2935</v>
      </c>
      <c r="C933" s="177" t="s">
        <v>2935</v>
      </c>
    </row>
    <row r="934">
      <c r="B934" s="177" t="s">
        <v>2936</v>
      </c>
      <c r="C934" s="177" t="s">
        <v>2936</v>
      </c>
    </row>
    <row r="935">
      <c r="B935" s="177" t="s">
        <v>2937</v>
      </c>
      <c r="C935" s="177" t="s">
        <v>2937</v>
      </c>
    </row>
    <row r="936">
      <c r="B936" s="177" t="s">
        <v>2938</v>
      </c>
      <c r="C936" s="177" t="s">
        <v>2938</v>
      </c>
    </row>
    <row r="937">
      <c r="B937" s="177" t="s">
        <v>2939</v>
      </c>
      <c r="C937" s="177" t="s">
        <v>2939</v>
      </c>
    </row>
    <row r="938">
      <c r="B938" s="177" t="s">
        <v>2940</v>
      </c>
      <c r="C938" s="177" t="s">
        <v>2940</v>
      </c>
    </row>
    <row r="939">
      <c r="B939" s="177" t="s">
        <v>2941</v>
      </c>
      <c r="C939" s="177" t="s">
        <v>2941</v>
      </c>
    </row>
    <row r="940">
      <c r="B940" s="177" t="s">
        <v>2942</v>
      </c>
      <c r="C940" s="177" t="s">
        <v>2942</v>
      </c>
    </row>
    <row r="941">
      <c r="B941" s="177" t="s">
        <v>2943</v>
      </c>
      <c r="C941" s="177" t="s">
        <v>2943</v>
      </c>
    </row>
    <row r="942">
      <c r="B942" s="177" t="s">
        <v>2944</v>
      </c>
      <c r="C942" s="177" t="s">
        <v>2944</v>
      </c>
    </row>
    <row r="943">
      <c r="B943" s="177" t="s">
        <v>2945</v>
      </c>
      <c r="C943" s="177" t="s">
        <v>2945</v>
      </c>
    </row>
    <row r="944">
      <c r="B944" s="177" t="s">
        <v>2946</v>
      </c>
      <c r="C944" s="177" t="s">
        <v>2946</v>
      </c>
    </row>
    <row r="945">
      <c r="B945" s="177" t="s">
        <v>2947</v>
      </c>
      <c r="C945" s="177" t="s">
        <v>2947</v>
      </c>
    </row>
    <row r="946">
      <c r="B946" s="177" t="s">
        <v>2948</v>
      </c>
      <c r="C946" s="177" t="s">
        <v>2948</v>
      </c>
    </row>
    <row r="947">
      <c r="B947" s="177" t="s">
        <v>2949</v>
      </c>
      <c r="C947" s="177" t="s">
        <v>2949</v>
      </c>
    </row>
    <row r="948">
      <c r="B948" s="177" t="s">
        <v>2950</v>
      </c>
      <c r="C948" s="177" t="s">
        <v>2950</v>
      </c>
    </row>
    <row r="949">
      <c r="B949" s="177" t="s">
        <v>2951</v>
      </c>
      <c r="C949" s="177" t="s">
        <v>2951</v>
      </c>
    </row>
    <row r="950">
      <c r="B950" s="177" t="s">
        <v>2952</v>
      </c>
      <c r="C950" s="177" t="s">
        <v>2952</v>
      </c>
    </row>
    <row r="951">
      <c r="B951" s="177" t="s">
        <v>2953</v>
      </c>
      <c r="C951" s="177" t="s">
        <v>2953</v>
      </c>
    </row>
    <row r="952">
      <c r="B952" s="177" t="s">
        <v>2954</v>
      </c>
      <c r="C952" s="177" t="s">
        <v>2954</v>
      </c>
    </row>
    <row r="953">
      <c r="B953" s="177" t="s">
        <v>2955</v>
      </c>
      <c r="C953" s="177" t="s">
        <v>2955</v>
      </c>
    </row>
    <row r="954">
      <c r="B954" s="177" t="s">
        <v>2956</v>
      </c>
      <c r="C954" s="177" t="s">
        <v>2956</v>
      </c>
    </row>
    <row r="955">
      <c r="B955" s="177" t="s">
        <v>2957</v>
      </c>
      <c r="C955" s="177" t="s">
        <v>2957</v>
      </c>
    </row>
    <row r="956">
      <c r="B956" s="177" t="s">
        <v>2958</v>
      </c>
      <c r="C956" s="177" t="s">
        <v>2958</v>
      </c>
    </row>
    <row r="957">
      <c r="B957" s="177" t="s">
        <v>2959</v>
      </c>
      <c r="C957" s="177" t="s">
        <v>2959</v>
      </c>
    </row>
    <row r="958">
      <c r="B958" s="177" t="s">
        <v>2960</v>
      </c>
      <c r="C958" s="177" t="s">
        <v>2960</v>
      </c>
    </row>
    <row r="959">
      <c r="B959" s="177" t="s">
        <v>2961</v>
      </c>
      <c r="C959" s="177" t="s">
        <v>2961</v>
      </c>
    </row>
    <row r="960">
      <c r="B960" s="177" t="s">
        <v>2962</v>
      </c>
      <c r="C960" s="177" t="s">
        <v>2962</v>
      </c>
    </row>
    <row r="961">
      <c r="B961" s="177" t="s">
        <v>2963</v>
      </c>
      <c r="C961" s="177" t="s">
        <v>2963</v>
      </c>
    </row>
    <row r="962">
      <c r="B962" s="177" t="s">
        <v>2964</v>
      </c>
      <c r="C962" s="177" t="s">
        <v>2964</v>
      </c>
    </row>
    <row r="963">
      <c r="B963" s="177" t="s">
        <v>2965</v>
      </c>
      <c r="C963" s="177" t="s">
        <v>2965</v>
      </c>
    </row>
    <row r="964">
      <c r="B964" s="178" t="s">
        <v>2966</v>
      </c>
      <c r="C964" s="178" t="s">
        <v>2966</v>
      </c>
    </row>
    <row r="965">
      <c r="B965" s="178" t="s">
        <v>2967</v>
      </c>
      <c r="C965" s="178" t="s">
        <v>2967</v>
      </c>
    </row>
    <row r="966">
      <c r="B966" s="178" t="s">
        <v>2968</v>
      </c>
      <c r="C966" s="178" t="s">
        <v>2968</v>
      </c>
    </row>
    <row r="967">
      <c r="B967" s="178" t="s">
        <v>2969</v>
      </c>
      <c r="C967" s="178" t="s">
        <v>2969</v>
      </c>
    </row>
    <row r="968">
      <c r="B968" s="178" t="s">
        <v>2970</v>
      </c>
      <c r="C968" s="178" t="s">
        <v>2970</v>
      </c>
    </row>
    <row r="969">
      <c r="B969" s="178" t="s">
        <v>2971</v>
      </c>
      <c r="C969" s="178" t="s">
        <v>2971</v>
      </c>
    </row>
    <row r="970">
      <c r="B970" s="178" t="s">
        <v>2972</v>
      </c>
      <c r="C970" s="178" t="s">
        <v>2972</v>
      </c>
    </row>
    <row r="971">
      <c r="B971" s="178" t="s">
        <v>2973</v>
      </c>
      <c r="C971" s="178" t="s">
        <v>2973</v>
      </c>
    </row>
    <row r="972">
      <c r="B972" s="178" t="s">
        <v>2974</v>
      </c>
      <c r="C972" s="178" t="s">
        <v>2974</v>
      </c>
    </row>
    <row r="973">
      <c r="B973" s="178" t="s">
        <v>2975</v>
      </c>
      <c r="C973" s="178" t="s">
        <v>2975</v>
      </c>
    </row>
    <row r="974">
      <c r="B974" s="178" t="s">
        <v>2976</v>
      </c>
      <c r="C974" s="178" t="s">
        <v>2976</v>
      </c>
    </row>
    <row r="975">
      <c r="B975" s="178" t="s">
        <v>2977</v>
      </c>
      <c r="C975" s="178" t="s">
        <v>2977</v>
      </c>
    </row>
    <row r="976">
      <c r="B976" s="178" t="s">
        <v>2978</v>
      </c>
      <c r="C976" s="178" t="s">
        <v>2978</v>
      </c>
    </row>
    <row r="977">
      <c r="B977" s="178" t="s">
        <v>2979</v>
      </c>
      <c r="C977" s="178" t="s">
        <v>2979</v>
      </c>
    </row>
    <row r="978">
      <c r="B978" s="178" t="s">
        <v>2980</v>
      </c>
      <c r="C978" s="178" t="s">
        <v>2980</v>
      </c>
    </row>
    <row r="979">
      <c r="B979" s="178" t="s">
        <v>2981</v>
      </c>
      <c r="C979" s="178" t="s">
        <v>2981</v>
      </c>
    </row>
    <row r="980">
      <c r="B980" s="178" t="s">
        <v>2982</v>
      </c>
      <c r="C980" s="178" t="s">
        <v>2982</v>
      </c>
    </row>
    <row r="981">
      <c r="B981" s="178" t="s">
        <v>2983</v>
      </c>
      <c r="C981" s="178" t="s">
        <v>2983</v>
      </c>
    </row>
    <row r="982">
      <c r="B982" s="178" t="s">
        <v>2984</v>
      </c>
      <c r="C982" s="178" t="s">
        <v>2984</v>
      </c>
    </row>
    <row r="983">
      <c r="B983" s="178" t="s">
        <v>2985</v>
      </c>
      <c r="C983" s="178" t="s">
        <v>2985</v>
      </c>
    </row>
    <row r="984">
      <c r="B984" s="178" t="s">
        <v>2986</v>
      </c>
      <c r="C984" s="178" t="s">
        <v>2986</v>
      </c>
    </row>
    <row r="985">
      <c r="B985" s="178" t="s">
        <v>2987</v>
      </c>
      <c r="C985" s="178" t="s">
        <v>2987</v>
      </c>
    </row>
    <row r="986">
      <c r="B986" s="178" t="s">
        <v>2988</v>
      </c>
      <c r="C986" s="178" t="s">
        <v>2988</v>
      </c>
    </row>
    <row r="987">
      <c r="B987" s="178" t="s">
        <v>2989</v>
      </c>
      <c r="C987" s="178" t="s">
        <v>2989</v>
      </c>
    </row>
    <row r="988">
      <c r="B988" s="178" t="s">
        <v>2990</v>
      </c>
      <c r="C988" s="178" t="s">
        <v>2990</v>
      </c>
    </row>
    <row r="989">
      <c r="B989" s="178" t="s">
        <v>2991</v>
      </c>
      <c r="C989" s="178" t="s">
        <v>2991</v>
      </c>
    </row>
    <row r="990">
      <c r="B990" s="178" t="s">
        <v>2992</v>
      </c>
      <c r="C990" s="178" t="s">
        <v>2992</v>
      </c>
    </row>
    <row r="991">
      <c r="B991" s="178" t="s">
        <v>2993</v>
      </c>
      <c r="C991" s="178" t="s">
        <v>2993</v>
      </c>
    </row>
    <row r="992">
      <c r="B992" s="178" t="s">
        <v>2994</v>
      </c>
      <c r="C992" s="178" t="s">
        <v>2994</v>
      </c>
    </row>
    <row r="993">
      <c r="B993" s="178" t="s">
        <v>2995</v>
      </c>
      <c r="C993" s="178" t="s">
        <v>2995</v>
      </c>
    </row>
    <row r="994">
      <c r="B994" s="178" t="s">
        <v>2996</v>
      </c>
      <c r="C994" s="178" t="s">
        <v>2996</v>
      </c>
    </row>
    <row r="995">
      <c r="B995" s="178" t="s">
        <v>2997</v>
      </c>
      <c r="C995" s="178" t="s">
        <v>2997</v>
      </c>
    </row>
    <row r="996">
      <c r="B996" s="178" t="s">
        <v>2998</v>
      </c>
      <c r="C996" s="178" t="s">
        <v>2998</v>
      </c>
    </row>
    <row r="997">
      <c r="B997" s="178" t="s">
        <v>2966</v>
      </c>
      <c r="C997" s="178" t="s">
        <v>2966</v>
      </c>
    </row>
    <row r="998">
      <c r="B998" s="178" t="s">
        <v>2999</v>
      </c>
      <c r="C998" s="178" t="s">
        <v>2999</v>
      </c>
    </row>
    <row r="999">
      <c r="B999" s="178" t="s">
        <v>3000</v>
      </c>
      <c r="C999" s="178" t="s">
        <v>3000</v>
      </c>
    </row>
    <row r="1000">
      <c r="B1000" s="178" t="s">
        <v>3001</v>
      </c>
      <c r="C1000" s="178" t="s">
        <v>3001</v>
      </c>
    </row>
    <row r="1001">
      <c r="B1001" s="178" t="s">
        <v>3002</v>
      </c>
      <c r="C1001" s="178" t="s">
        <v>3002</v>
      </c>
    </row>
    <row r="1002">
      <c r="B1002" s="178" t="s">
        <v>3003</v>
      </c>
      <c r="C1002" s="178" t="s">
        <v>3003</v>
      </c>
    </row>
    <row r="1003">
      <c r="B1003" s="178" t="s">
        <v>3004</v>
      </c>
      <c r="C1003" s="178" t="s">
        <v>3004</v>
      </c>
    </row>
    <row r="1004">
      <c r="B1004" s="178" t="s">
        <v>3005</v>
      </c>
      <c r="C1004" s="178" t="s">
        <v>3005</v>
      </c>
    </row>
    <row r="1005">
      <c r="B1005" s="178" t="s">
        <v>3006</v>
      </c>
      <c r="C1005" s="178" t="s">
        <v>3006</v>
      </c>
    </row>
    <row r="1006">
      <c r="B1006" s="178" t="s">
        <v>3007</v>
      </c>
      <c r="C1006" s="178" t="s">
        <v>3007</v>
      </c>
    </row>
    <row r="1007">
      <c r="B1007" s="178" t="s">
        <v>3008</v>
      </c>
      <c r="C1007" s="178" t="s">
        <v>3008</v>
      </c>
    </row>
    <row r="1008">
      <c r="B1008" s="178" t="s">
        <v>3009</v>
      </c>
      <c r="C1008" s="178" t="s">
        <v>3009</v>
      </c>
    </row>
    <row r="1009">
      <c r="B1009" s="178" t="s">
        <v>3010</v>
      </c>
      <c r="C1009" s="178" t="s">
        <v>3010</v>
      </c>
    </row>
    <row r="1010">
      <c r="B1010" s="178" t="s">
        <v>3011</v>
      </c>
      <c r="C1010" s="178" t="s">
        <v>3011</v>
      </c>
    </row>
    <row r="1011">
      <c r="B1011" s="178" t="s">
        <v>3012</v>
      </c>
      <c r="C1011" s="178" t="s">
        <v>3012</v>
      </c>
    </row>
    <row r="1012">
      <c r="B1012" s="178" t="s">
        <v>3013</v>
      </c>
      <c r="C1012" s="178" t="s">
        <v>3013</v>
      </c>
    </row>
    <row r="1013">
      <c r="B1013" s="178" t="s">
        <v>3014</v>
      </c>
      <c r="C1013" s="178" t="s">
        <v>3014</v>
      </c>
    </row>
    <row r="1014">
      <c r="B1014" s="178" t="s">
        <v>3015</v>
      </c>
      <c r="C1014" s="178" t="s">
        <v>3015</v>
      </c>
    </row>
    <row r="1015">
      <c r="B1015" s="178" t="s">
        <v>3016</v>
      </c>
      <c r="C1015" s="178" t="s">
        <v>3016</v>
      </c>
    </row>
    <row r="1016">
      <c r="B1016" s="178" t="s">
        <v>3017</v>
      </c>
      <c r="C1016" s="178" t="s">
        <v>3017</v>
      </c>
    </row>
    <row r="1017">
      <c r="B1017" s="178" t="s">
        <v>3018</v>
      </c>
      <c r="C1017" s="178" t="s">
        <v>3018</v>
      </c>
    </row>
    <row r="1018">
      <c r="B1018" s="178" t="s">
        <v>3019</v>
      </c>
      <c r="C1018" s="178" t="s">
        <v>3019</v>
      </c>
    </row>
    <row r="1019">
      <c r="B1019" s="178" t="s">
        <v>3021</v>
      </c>
      <c r="C1019" s="178" t="s">
        <v>3021</v>
      </c>
    </row>
    <row r="1020">
      <c r="B1020" s="178" t="s">
        <v>3023</v>
      </c>
      <c r="C1020" s="178" t="s">
        <v>3023</v>
      </c>
    </row>
    <row r="1021">
      <c r="B1021" s="178" t="s">
        <v>3024</v>
      </c>
      <c r="C1021" s="178" t="s">
        <v>3024</v>
      </c>
    </row>
    <row r="1022">
      <c r="B1022" s="178" t="s">
        <v>3025</v>
      </c>
      <c r="C1022" s="178" t="s">
        <v>3025</v>
      </c>
    </row>
    <row r="1023">
      <c r="B1023" s="178" t="s">
        <v>3026</v>
      </c>
      <c r="C1023" s="178" t="s">
        <v>3026</v>
      </c>
    </row>
    <row r="1024">
      <c r="B1024" s="178" t="s">
        <v>3027</v>
      </c>
      <c r="C1024" s="178" t="s">
        <v>3027</v>
      </c>
    </row>
    <row r="1025">
      <c r="B1025" s="178" t="s">
        <v>3028</v>
      </c>
      <c r="C1025" s="178" t="s">
        <v>3028</v>
      </c>
    </row>
    <row r="1026">
      <c r="B1026" s="178" t="s">
        <v>3030</v>
      </c>
      <c r="C1026" s="178" t="s">
        <v>3030</v>
      </c>
    </row>
    <row r="1027">
      <c r="B1027" s="178" t="s">
        <v>3032</v>
      </c>
      <c r="C1027" s="178" t="s">
        <v>3032</v>
      </c>
    </row>
    <row r="1028">
      <c r="B1028" s="178" t="s">
        <v>3033</v>
      </c>
      <c r="C1028" s="178" t="s">
        <v>3033</v>
      </c>
    </row>
    <row r="1029">
      <c r="B1029" s="178" t="s">
        <v>3034</v>
      </c>
      <c r="C1029" s="178" t="s">
        <v>3034</v>
      </c>
    </row>
    <row r="1030">
      <c r="B1030" s="178" t="s">
        <v>3035</v>
      </c>
      <c r="C1030" s="178" t="s">
        <v>3035</v>
      </c>
    </row>
    <row r="1031">
      <c r="B1031" s="178" t="s">
        <v>3036</v>
      </c>
      <c r="C1031" s="178" t="s">
        <v>3036</v>
      </c>
    </row>
    <row r="1032">
      <c r="B1032" s="178" t="s">
        <v>3037</v>
      </c>
      <c r="C1032" s="178" t="s">
        <v>3037</v>
      </c>
    </row>
    <row r="1033">
      <c r="B1033" s="178" t="s">
        <v>3038</v>
      </c>
      <c r="C1033" s="178" t="s">
        <v>3038</v>
      </c>
    </row>
    <row r="1034">
      <c r="B1034" s="178" t="s">
        <v>3039</v>
      </c>
      <c r="C1034" s="178" t="s">
        <v>3039</v>
      </c>
    </row>
    <row r="1035">
      <c r="B1035" s="178" t="s">
        <v>3040</v>
      </c>
      <c r="C1035" s="178" t="s">
        <v>3040</v>
      </c>
    </row>
    <row r="1036">
      <c r="B1036" s="178" t="s">
        <v>3041</v>
      </c>
      <c r="C1036" s="178" t="s">
        <v>3041</v>
      </c>
    </row>
    <row r="1037">
      <c r="B1037" s="178" t="s">
        <v>3042</v>
      </c>
      <c r="C1037" s="178" t="s">
        <v>3042</v>
      </c>
    </row>
    <row r="1038">
      <c r="B1038" s="178" t="s">
        <v>3043</v>
      </c>
      <c r="C1038" s="178" t="s">
        <v>3043</v>
      </c>
    </row>
    <row r="1039">
      <c r="B1039" s="178" t="s">
        <v>3044</v>
      </c>
      <c r="C1039" s="178" t="s">
        <v>3044</v>
      </c>
    </row>
    <row r="1040">
      <c r="B1040" s="178" t="s">
        <v>3045</v>
      </c>
      <c r="C1040" s="178" t="s">
        <v>3045</v>
      </c>
    </row>
    <row r="1041">
      <c r="B1041" s="178" t="s">
        <v>3046</v>
      </c>
      <c r="C1041" s="178" t="s">
        <v>3046</v>
      </c>
    </row>
    <row r="1042">
      <c r="B1042" s="178" t="s">
        <v>3047</v>
      </c>
      <c r="C1042" s="178" t="s">
        <v>3047</v>
      </c>
    </row>
    <row r="1043">
      <c r="B1043" s="178" t="s">
        <v>3048</v>
      </c>
      <c r="C1043" s="178" t="s">
        <v>3048</v>
      </c>
    </row>
    <row r="1044">
      <c r="B1044" s="178" t="s">
        <v>3049</v>
      </c>
      <c r="C1044" s="178" t="s">
        <v>3049</v>
      </c>
    </row>
    <row r="1045">
      <c r="B1045" s="178" t="s">
        <v>3050</v>
      </c>
      <c r="C1045" s="178" t="s">
        <v>3050</v>
      </c>
    </row>
    <row r="1046">
      <c r="B1046" s="178" t="s">
        <v>3051</v>
      </c>
      <c r="C1046" s="178" t="s">
        <v>3051</v>
      </c>
    </row>
    <row r="1047">
      <c r="B1047" s="178" t="s">
        <v>3052</v>
      </c>
      <c r="C1047" s="178" t="s">
        <v>3052</v>
      </c>
    </row>
    <row r="1048">
      <c r="B1048" s="178" t="s">
        <v>3053</v>
      </c>
      <c r="C1048" s="178" t="s">
        <v>3053</v>
      </c>
    </row>
    <row r="1049">
      <c r="B1049" s="178" t="s">
        <v>3054</v>
      </c>
      <c r="C1049" s="178" t="s">
        <v>3054</v>
      </c>
    </row>
    <row r="1050">
      <c r="B1050" s="178" t="s">
        <v>3055</v>
      </c>
      <c r="C1050" s="178" t="s">
        <v>3055</v>
      </c>
    </row>
    <row r="1051">
      <c r="B1051" s="178" t="s">
        <v>3056</v>
      </c>
      <c r="C1051" s="178" t="s">
        <v>3056</v>
      </c>
    </row>
    <row r="1052">
      <c r="B1052" s="178" t="s">
        <v>3057</v>
      </c>
      <c r="C1052" s="178" t="s">
        <v>3057</v>
      </c>
    </row>
    <row r="1053">
      <c r="B1053" s="178" t="s">
        <v>3058</v>
      </c>
      <c r="C1053" s="178" t="s">
        <v>3058</v>
      </c>
    </row>
    <row r="1054">
      <c r="B1054" s="178" t="s">
        <v>3059</v>
      </c>
      <c r="C1054" s="178" t="s">
        <v>3059</v>
      </c>
    </row>
    <row r="1055">
      <c r="B1055" s="178" t="s">
        <v>3060</v>
      </c>
      <c r="C1055" s="178" t="s">
        <v>3060</v>
      </c>
    </row>
    <row r="1056">
      <c r="B1056" s="178" t="s">
        <v>3061</v>
      </c>
      <c r="C1056" s="178" t="s">
        <v>3061</v>
      </c>
    </row>
    <row r="1057">
      <c r="B1057" s="178" t="s">
        <v>3062</v>
      </c>
      <c r="C1057" s="178" t="s">
        <v>3062</v>
      </c>
    </row>
    <row r="1058">
      <c r="B1058" s="178" t="s">
        <v>3063</v>
      </c>
      <c r="C1058" s="178" t="s">
        <v>3063</v>
      </c>
    </row>
    <row r="1059">
      <c r="B1059" s="178" t="s">
        <v>3064</v>
      </c>
      <c r="C1059" s="178" t="s">
        <v>3064</v>
      </c>
    </row>
    <row r="1060">
      <c r="B1060" s="178" t="s">
        <v>3065</v>
      </c>
      <c r="C1060" s="178" t="s">
        <v>3065</v>
      </c>
    </row>
    <row r="1061">
      <c r="B1061" s="178" t="s">
        <v>3067</v>
      </c>
      <c r="C1061" s="178" t="s">
        <v>3067</v>
      </c>
    </row>
    <row r="1062">
      <c r="B1062" s="178" t="s">
        <v>3068</v>
      </c>
      <c r="C1062" s="178" t="s">
        <v>3068</v>
      </c>
    </row>
    <row r="1063">
      <c r="B1063" s="178" t="s">
        <v>3069</v>
      </c>
      <c r="C1063" s="178" t="s">
        <v>3069</v>
      </c>
    </row>
    <row r="1064">
      <c r="B1064" s="178" t="s">
        <v>3070</v>
      </c>
      <c r="C1064" s="178" t="s">
        <v>3070</v>
      </c>
    </row>
    <row r="1065">
      <c r="B1065" s="178" t="s">
        <v>3071</v>
      </c>
      <c r="C1065" s="178" t="s">
        <v>3071</v>
      </c>
    </row>
    <row r="1066">
      <c r="B1066" s="178" t="s">
        <v>3072</v>
      </c>
      <c r="C1066" s="178" t="s">
        <v>3072</v>
      </c>
    </row>
    <row r="1067">
      <c r="B1067" s="178" t="s">
        <v>3073</v>
      </c>
      <c r="C1067" s="178" t="s">
        <v>3073</v>
      </c>
    </row>
    <row r="1068">
      <c r="B1068" s="178" t="s">
        <v>3074</v>
      </c>
      <c r="C1068" s="178" t="s">
        <v>3074</v>
      </c>
    </row>
    <row r="1069">
      <c r="B1069" s="178" t="s">
        <v>2966</v>
      </c>
      <c r="C1069" s="178" t="s">
        <v>2966</v>
      </c>
    </row>
    <row r="1070">
      <c r="B1070" s="178" t="s">
        <v>3075</v>
      </c>
      <c r="C1070" s="178" t="s">
        <v>3075</v>
      </c>
    </row>
    <row r="1071">
      <c r="B1071" s="178" t="s">
        <v>3076</v>
      </c>
      <c r="C1071" s="178" t="s">
        <v>3076</v>
      </c>
    </row>
    <row r="1072">
      <c r="B1072" s="178" t="s">
        <v>3077</v>
      </c>
      <c r="C1072" s="178" t="s">
        <v>3077</v>
      </c>
    </row>
    <row r="1073">
      <c r="B1073" s="178" t="s">
        <v>3078</v>
      </c>
      <c r="C1073" s="178" t="s">
        <v>3078</v>
      </c>
    </row>
    <row r="1074">
      <c r="B1074" s="178" t="s">
        <v>3079</v>
      </c>
      <c r="C1074" s="178" t="s">
        <v>3079</v>
      </c>
    </row>
    <row r="1075">
      <c r="B1075" s="178" t="s">
        <v>3080</v>
      </c>
      <c r="C1075" s="178" t="s">
        <v>3080</v>
      </c>
    </row>
    <row r="1076">
      <c r="B1076" s="178" t="s">
        <v>3081</v>
      </c>
      <c r="C1076" s="178" t="s">
        <v>3081</v>
      </c>
    </row>
    <row r="1077">
      <c r="B1077" s="178" t="s">
        <v>3082</v>
      </c>
      <c r="C1077" s="178" t="s">
        <v>3082</v>
      </c>
    </row>
    <row r="1078">
      <c r="B1078" s="178" t="s">
        <v>3083</v>
      </c>
      <c r="C1078" s="178" t="s">
        <v>3083</v>
      </c>
    </row>
    <row r="1079">
      <c r="B1079" s="178" t="s">
        <v>3084</v>
      </c>
      <c r="C1079" s="178" t="s">
        <v>3084</v>
      </c>
    </row>
    <row r="1080">
      <c r="B1080" s="178" t="s">
        <v>3085</v>
      </c>
      <c r="C1080" s="178" t="s">
        <v>3085</v>
      </c>
    </row>
    <row r="1081">
      <c r="B1081" s="178" t="s">
        <v>3086</v>
      </c>
      <c r="C1081" s="178" t="s">
        <v>3086</v>
      </c>
    </row>
    <row r="1082">
      <c r="B1082" s="178" t="s">
        <v>3087</v>
      </c>
      <c r="C1082" s="178" t="s">
        <v>3087</v>
      </c>
    </row>
    <row r="1083">
      <c r="B1083" s="178" t="s">
        <v>3088</v>
      </c>
      <c r="C1083" s="178" t="s">
        <v>3088</v>
      </c>
    </row>
    <row r="1084">
      <c r="B1084" s="178" t="s">
        <v>3089</v>
      </c>
      <c r="C1084" s="178" t="s">
        <v>3089</v>
      </c>
    </row>
    <row r="1085">
      <c r="B1085" s="178" t="s">
        <v>3090</v>
      </c>
      <c r="C1085" s="178" t="s">
        <v>3090</v>
      </c>
    </row>
    <row r="1086">
      <c r="B1086" s="178" t="s">
        <v>3091</v>
      </c>
      <c r="C1086" s="178" t="s">
        <v>3091</v>
      </c>
    </row>
    <row r="1087">
      <c r="B1087" s="178" t="s">
        <v>3092</v>
      </c>
      <c r="C1087" s="178" t="s">
        <v>3092</v>
      </c>
    </row>
    <row r="1088">
      <c r="B1088" s="178" t="s">
        <v>3093</v>
      </c>
      <c r="C1088" s="178" t="s">
        <v>3093</v>
      </c>
    </row>
    <row r="1089">
      <c r="B1089" s="178" t="s">
        <v>3094</v>
      </c>
      <c r="C1089" s="178" t="s">
        <v>3094</v>
      </c>
    </row>
    <row r="1090">
      <c r="B1090" s="178" t="s">
        <v>3095</v>
      </c>
      <c r="C1090" s="178" t="s">
        <v>3095</v>
      </c>
    </row>
    <row r="1091">
      <c r="B1091" s="178" t="s">
        <v>3096</v>
      </c>
      <c r="C1091" s="178" t="s">
        <v>3096</v>
      </c>
    </row>
    <row r="1092">
      <c r="B1092" s="178" t="s">
        <v>3097</v>
      </c>
      <c r="C1092" s="178" t="s">
        <v>3097</v>
      </c>
    </row>
    <row r="1093">
      <c r="B1093" s="178" t="s">
        <v>3098</v>
      </c>
      <c r="C1093" s="178" t="s">
        <v>3098</v>
      </c>
    </row>
    <row r="1094">
      <c r="B1094" s="178" t="s">
        <v>3099</v>
      </c>
      <c r="C1094" s="178" t="s">
        <v>3099</v>
      </c>
    </row>
    <row r="1095">
      <c r="B1095" s="178" t="s">
        <v>3100</v>
      </c>
      <c r="C1095" s="178" t="s">
        <v>3100</v>
      </c>
    </row>
    <row r="1096">
      <c r="B1096" s="178" t="s">
        <v>3101</v>
      </c>
      <c r="C1096" s="178" t="s">
        <v>3101</v>
      </c>
    </row>
    <row r="1097">
      <c r="B1097" s="178" t="s">
        <v>3102</v>
      </c>
      <c r="C1097" s="178" t="s">
        <v>3102</v>
      </c>
    </row>
    <row r="1098">
      <c r="B1098" s="178" t="s">
        <v>3103</v>
      </c>
      <c r="C1098" s="178" t="s">
        <v>3103</v>
      </c>
    </row>
    <row r="1099">
      <c r="B1099" s="178" t="s">
        <v>3104</v>
      </c>
      <c r="C1099" s="178" t="s">
        <v>3104</v>
      </c>
    </row>
    <row r="1100">
      <c r="B1100" s="178" t="s">
        <v>3105</v>
      </c>
      <c r="C1100" s="178" t="s">
        <v>3105</v>
      </c>
    </row>
    <row r="1101">
      <c r="B1101" s="178" t="s">
        <v>3106</v>
      </c>
      <c r="C1101" s="178" t="s">
        <v>3106</v>
      </c>
    </row>
    <row r="1102">
      <c r="B1102" s="178" t="s">
        <v>3107</v>
      </c>
      <c r="C1102" s="178" t="s">
        <v>3107</v>
      </c>
    </row>
    <row r="1103">
      <c r="B1103" s="178" t="s">
        <v>3108</v>
      </c>
      <c r="C1103" s="178" t="s">
        <v>3108</v>
      </c>
    </row>
    <row r="1104">
      <c r="B1104" s="178" t="s">
        <v>3109</v>
      </c>
      <c r="C1104" s="178" t="s">
        <v>3109</v>
      </c>
    </row>
    <row r="1105">
      <c r="B1105" s="178" t="s">
        <v>3110</v>
      </c>
      <c r="C1105" s="178" t="s">
        <v>3110</v>
      </c>
    </row>
    <row r="1106">
      <c r="B1106" s="178" t="s">
        <v>3111</v>
      </c>
      <c r="C1106" s="178" t="s">
        <v>3111</v>
      </c>
    </row>
    <row r="1107">
      <c r="B1107" s="178" t="s">
        <v>3112</v>
      </c>
      <c r="C1107" s="178" t="s">
        <v>3112</v>
      </c>
    </row>
    <row r="1108">
      <c r="B1108" s="178" t="s">
        <v>3113</v>
      </c>
      <c r="C1108" s="178" t="s">
        <v>3113</v>
      </c>
    </row>
    <row r="1109">
      <c r="B1109" s="178" t="s">
        <v>3114</v>
      </c>
      <c r="C1109" s="178" t="s">
        <v>3114</v>
      </c>
    </row>
    <row r="1110">
      <c r="B1110" s="178" t="s">
        <v>3115</v>
      </c>
      <c r="C1110" s="178" t="s">
        <v>3115</v>
      </c>
    </row>
    <row r="1111">
      <c r="B1111" s="178" t="s">
        <v>3116</v>
      </c>
      <c r="C1111" s="178" t="s">
        <v>3116</v>
      </c>
    </row>
    <row r="1112">
      <c r="B1112" s="178" t="s">
        <v>3117</v>
      </c>
      <c r="C1112" s="178" t="s">
        <v>3117</v>
      </c>
    </row>
    <row r="1113">
      <c r="B1113" s="178" t="s">
        <v>3118</v>
      </c>
      <c r="C1113" s="178" t="s">
        <v>3118</v>
      </c>
    </row>
    <row r="1114">
      <c r="B1114" s="178" t="s">
        <v>3119</v>
      </c>
      <c r="C1114" s="178" t="s">
        <v>3119</v>
      </c>
    </row>
    <row r="1115">
      <c r="B1115" s="178" t="s">
        <v>3120</v>
      </c>
      <c r="C1115" s="178" t="s">
        <v>3120</v>
      </c>
    </row>
    <row r="1116">
      <c r="B1116" s="178" t="s">
        <v>3121</v>
      </c>
      <c r="C1116" s="178" t="s">
        <v>3121</v>
      </c>
    </row>
    <row r="1117">
      <c r="B1117" s="178" t="s">
        <v>3122</v>
      </c>
      <c r="C1117" s="178" t="s">
        <v>3122</v>
      </c>
    </row>
    <row r="1118">
      <c r="B1118" s="178" t="s">
        <v>3123</v>
      </c>
      <c r="C1118" s="178" t="s">
        <v>3123</v>
      </c>
    </row>
    <row r="1119">
      <c r="B1119" s="178" t="s">
        <v>3124</v>
      </c>
      <c r="C1119" s="178" t="s">
        <v>3124</v>
      </c>
    </row>
    <row r="1120">
      <c r="B1120" s="178" t="s">
        <v>3125</v>
      </c>
      <c r="C1120" s="178" t="s">
        <v>3125</v>
      </c>
    </row>
    <row r="1121">
      <c r="B1121" s="178" t="s">
        <v>3126</v>
      </c>
      <c r="C1121" s="178" t="s">
        <v>3126</v>
      </c>
    </row>
    <row r="1122">
      <c r="B1122" s="178" t="s">
        <v>3127</v>
      </c>
      <c r="C1122" s="178" t="s">
        <v>3127</v>
      </c>
    </row>
    <row r="1123">
      <c r="B1123" s="178" t="s">
        <v>3128</v>
      </c>
      <c r="C1123" s="178" t="s">
        <v>3128</v>
      </c>
    </row>
    <row r="1124">
      <c r="B1124" s="178" t="s">
        <v>3129</v>
      </c>
      <c r="C1124" s="178" t="s">
        <v>3129</v>
      </c>
    </row>
    <row r="1125">
      <c r="B1125" s="178" t="s">
        <v>3130</v>
      </c>
      <c r="C1125" s="178" t="s">
        <v>3130</v>
      </c>
    </row>
    <row r="1126">
      <c r="B1126" s="178" t="s">
        <v>3131</v>
      </c>
      <c r="C1126" s="178" t="s">
        <v>3131</v>
      </c>
    </row>
    <row r="1127">
      <c r="B1127" s="178" t="s">
        <v>3132</v>
      </c>
      <c r="C1127" s="178" t="s">
        <v>3132</v>
      </c>
    </row>
    <row r="1128">
      <c r="B1128" s="178" t="s">
        <v>3133</v>
      </c>
      <c r="C1128" s="178" t="s">
        <v>3133</v>
      </c>
    </row>
    <row r="1129">
      <c r="B1129" s="178" t="s">
        <v>3134</v>
      </c>
      <c r="C1129" s="178" t="s">
        <v>3134</v>
      </c>
    </row>
    <row r="1130">
      <c r="B1130" s="178" t="s">
        <v>3135</v>
      </c>
      <c r="C1130" s="178" t="s">
        <v>3135</v>
      </c>
    </row>
    <row r="1131">
      <c r="B1131" s="178" t="s">
        <v>3136</v>
      </c>
      <c r="C1131" s="178" t="s">
        <v>3136</v>
      </c>
    </row>
    <row r="1132">
      <c r="B1132" s="178" t="s">
        <v>3137</v>
      </c>
      <c r="C1132" s="178" t="s">
        <v>3137</v>
      </c>
    </row>
    <row r="1133">
      <c r="B1133" s="178" t="s">
        <v>3138</v>
      </c>
      <c r="C1133" s="178" t="s">
        <v>3138</v>
      </c>
    </row>
    <row r="1134">
      <c r="B1134" s="178" t="s">
        <v>3139</v>
      </c>
      <c r="C1134" s="178" t="s">
        <v>3139</v>
      </c>
    </row>
    <row r="1135">
      <c r="B1135" s="178" t="s">
        <v>3140</v>
      </c>
      <c r="C1135" s="178" t="s">
        <v>3140</v>
      </c>
    </row>
    <row r="1136">
      <c r="B1136" s="178" t="s">
        <v>3141</v>
      </c>
      <c r="C1136" s="178" t="s">
        <v>3141</v>
      </c>
    </row>
    <row r="1137">
      <c r="B1137" s="178" t="s">
        <v>3142</v>
      </c>
      <c r="C1137" s="178" t="s">
        <v>3142</v>
      </c>
    </row>
    <row r="1138">
      <c r="B1138" s="178" t="s">
        <v>3143</v>
      </c>
      <c r="C1138" s="178" t="s">
        <v>3143</v>
      </c>
    </row>
    <row r="1139">
      <c r="B1139" s="178" t="s">
        <v>3144</v>
      </c>
      <c r="C1139" s="178" t="s">
        <v>3144</v>
      </c>
    </row>
    <row r="1140">
      <c r="B1140" s="178" t="s">
        <v>3145</v>
      </c>
      <c r="C1140" s="178" t="s">
        <v>3145</v>
      </c>
    </row>
    <row r="1141">
      <c r="B1141" s="178" t="s">
        <v>3146</v>
      </c>
      <c r="C1141" s="178" t="s">
        <v>3146</v>
      </c>
    </row>
    <row r="1142">
      <c r="B1142" s="178" t="s">
        <v>3147</v>
      </c>
      <c r="C1142" s="178" t="s">
        <v>3147</v>
      </c>
    </row>
    <row r="1143">
      <c r="B1143" s="178" t="s">
        <v>3148</v>
      </c>
      <c r="C1143" s="178" t="s">
        <v>3148</v>
      </c>
    </row>
    <row r="1144">
      <c r="B1144" s="178" t="s">
        <v>3149</v>
      </c>
      <c r="C1144" s="178" t="s">
        <v>3149</v>
      </c>
    </row>
    <row r="1145">
      <c r="B1145" s="178" t="s">
        <v>3150</v>
      </c>
      <c r="C1145" s="178" t="s">
        <v>3150</v>
      </c>
    </row>
    <row r="1146">
      <c r="B1146" s="178" t="s">
        <v>3151</v>
      </c>
      <c r="C1146" s="178" t="s">
        <v>3151</v>
      </c>
    </row>
    <row r="1147">
      <c r="B1147" s="178" t="s">
        <v>3152</v>
      </c>
      <c r="C1147" s="178" t="s">
        <v>3152</v>
      </c>
    </row>
    <row r="1148">
      <c r="B1148" s="178" t="s">
        <v>3153</v>
      </c>
      <c r="C1148" s="178" t="s">
        <v>3153</v>
      </c>
    </row>
    <row r="1149">
      <c r="B1149" s="178" t="s">
        <v>3154</v>
      </c>
      <c r="C1149" s="178" t="s">
        <v>3154</v>
      </c>
    </row>
    <row r="1150">
      <c r="B1150" s="178" t="s">
        <v>3155</v>
      </c>
      <c r="C1150" s="178" t="s">
        <v>3155</v>
      </c>
    </row>
    <row r="1151">
      <c r="B1151" s="178" t="s">
        <v>3156</v>
      </c>
      <c r="C1151" s="178" t="s">
        <v>3156</v>
      </c>
    </row>
    <row r="1152">
      <c r="B1152" s="178" t="s">
        <v>3157</v>
      </c>
      <c r="C1152" s="178" t="s">
        <v>3157</v>
      </c>
    </row>
    <row r="1153">
      <c r="B1153" s="178" t="s">
        <v>3158</v>
      </c>
      <c r="C1153" s="178" t="s">
        <v>3158</v>
      </c>
    </row>
    <row r="1154">
      <c r="B1154" s="178" t="s">
        <v>3159</v>
      </c>
      <c r="C1154" s="178" t="s">
        <v>3159</v>
      </c>
    </row>
    <row r="1155">
      <c r="B1155" s="178" t="s">
        <v>3160</v>
      </c>
      <c r="C1155" s="178" t="s">
        <v>3160</v>
      </c>
    </row>
    <row r="1156">
      <c r="B1156" s="178" t="s">
        <v>3161</v>
      </c>
      <c r="C1156" s="178" t="s">
        <v>3161</v>
      </c>
    </row>
    <row r="1157">
      <c r="B1157" s="178" t="s">
        <v>3162</v>
      </c>
      <c r="C1157" s="178" t="s">
        <v>3162</v>
      </c>
    </row>
    <row r="1158">
      <c r="B1158" s="178" t="s">
        <v>3163</v>
      </c>
      <c r="C1158" s="178" t="s">
        <v>3163</v>
      </c>
    </row>
    <row r="1159">
      <c r="B1159" s="178" t="s">
        <v>3164</v>
      </c>
      <c r="C1159" s="178" t="s">
        <v>3164</v>
      </c>
    </row>
    <row r="1160">
      <c r="B1160" s="178" t="s">
        <v>3165</v>
      </c>
      <c r="C1160" s="178" t="s">
        <v>3165</v>
      </c>
    </row>
    <row r="1161">
      <c r="B1161" s="178" t="s">
        <v>3166</v>
      </c>
      <c r="C1161" s="178" t="s">
        <v>3166</v>
      </c>
    </row>
    <row r="1162">
      <c r="B1162" s="178" t="s">
        <v>3167</v>
      </c>
      <c r="C1162" s="178" t="s">
        <v>3167</v>
      </c>
    </row>
    <row r="1163">
      <c r="B1163" s="178" t="s">
        <v>3168</v>
      </c>
      <c r="C1163" s="178" t="s">
        <v>3168</v>
      </c>
    </row>
    <row r="1164">
      <c r="B1164" s="178" t="s">
        <v>3169</v>
      </c>
      <c r="C1164" s="178" t="s">
        <v>3169</v>
      </c>
    </row>
    <row r="1165">
      <c r="B1165" s="178" t="s">
        <v>3170</v>
      </c>
      <c r="C1165" s="178" t="s">
        <v>3170</v>
      </c>
    </row>
    <row r="1166">
      <c r="B1166" s="178" t="s">
        <v>3171</v>
      </c>
      <c r="C1166" s="178" t="s">
        <v>3171</v>
      </c>
    </row>
    <row r="1167">
      <c r="B1167" s="178" t="s">
        <v>3172</v>
      </c>
      <c r="C1167" s="178" t="s">
        <v>3172</v>
      </c>
    </row>
    <row r="1168">
      <c r="B1168" s="178" t="s">
        <v>3173</v>
      </c>
      <c r="C1168" s="178" t="s">
        <v>3173</v>
      </c>
    </row>
    <row r="1169">
      <c r="B1169" s="178" t="s">
        <v>3174</v>
      </c>
      <c r="C1169" s="178" t="s">
        <v>3174</v>
      </c>
    </row>
    <row r="1170">
      <c r="B1170" s="178" t="s">
        <v>3175</v>
      </c>
      <c r="C1170" s="178" t="s">
        <v>3175</v>
      </c>
    </row>
    <row r="1171">
      <c r="B1171" s="178" t="s">
        <v>3176</v>
      </c>
      <c r="C1171" s="178" t="s">
        <v>3176</v>
      </c>
    </row>
    <row r="1172">
      <c r="B1172" s="178" t="s">
        <v>3177</v>
      </c>
      <c r="C1172" s="178" t="s">
        <v>3177</v>
      </c>
    </row>
    <row r="1173">
      <c r="B1173" s="178" t="s">
        <v>3178</v>
      </c>
      <c r="C1173" s="178" t="s">
        <v>3178</v>
      </c>
    </row>
    <row r="1174">
      <c r="B1174" s="178" t="s">
        <v>2966</v>
      </c>
      <c r="C1174" s="178" t="s">
        <v>2966</v>
      </c>
    </row>
    <row r="1175">
      <c r="B1175" s="178" t="s">
        <v>3179</v>
      </c>
      <c r="C1175" s="178" t="s">
        <v>3179</v>
      </c>
    </row>
    <row r="1176">
      <c r="B1176" s="178" t="s">
        <v>3180</v>
      </c>
      <c r="C1176" s="178" t="s">
        <v>3180</v>
      </c>
    </row>
    <row r="1177">
      <c r="B1177" s="178" t="s">
        <v>3181</v>
      </c>
      <c r="C1177" s="178" t="s">
        <v>3181</v>
      </c>
    </row>
    <row r="1178">
      <c r="B1178" s="178" t="s">
        <v>3182</v>
      </c>
      <c r="C1178" s="178" t="s">
        <v>3182</v>
      </c>
    </row>
    <row r="1179">
      <c r="B1179" s="178" t="s">
        <v>3183</v>
      </c>
      <c r="C1179" s="178" t="s">
        <v>3183</v>
      </c>
    </row>
    <row r="1180">
      <c r="B1180" s="178" t="s">
        <v>3184</v>
      </c>
      <c r="C1180" s="178" t="s">
        <v>3184</v>
      </c>
    </row>
    <row r="1181">
      <c r="B1181" s="178" t="s">
        <v>3186</v>
      </c>
      <c r="C1181" s="178" t="s">
        <v>3186</v>
      </c>
    </row>
    <row r="1182">
      <c r="B1182" s="178" t="s">
        <v>3188</v>
      </c>
      <c r="C1182" s="178" t="s">
        <v>3188</v>
      </c>
    </row>
    <row r="1183">
      <c r="B1183" s="178" t="s">
        <v>3189</v>
      </c>
      <c r="C1183" s="178" t="s">
        <v>3189</v>
      </c>
    </row>
    <row r="1184">
      <c r="B1184" s="178" t="s">
        <v>3190</v>
      </c>
      <c r="C1184" s="178" t="s">
        <v>3190</v>
      </c>
    </row>
    <row r="1185">
      <c r="B1185" s="178" t="s">
        <v>3191</v>
      </c>
      <c r="C1185" s="178" t="s">
        <v>3191</v>
      </c>
    </row>
    <row r="1186">
      <c r="B1186" s="178" t="s">
        <v>3192</v>
      </c>
      <c r="C1186" s="178" t="s">
        <v>3192</v>
      </c>
    </row>
    <row r="1187">
      <c r="B1187" s="178" t="s">
        <v>3193</v>
      </c>
      <c r="C1187" s="178" t="s">
        <v>3193</v>
      </c>
    </row>
    <row r="1188">
      <c r="B1188" s="178" t="s">
        <v>3194</v>
      </c>
      <c r="C1188" s="178" t="s">
        <v>3194</v>
      </c>
    </row>
    <row r="1189">
      <c r="B1189" s="178" t="s">
        <v>3195</v>
      </c>
      <c r="C1189" s="178" t="s">
        <v>3195</v>
      </c>
    </row>
    <row r="1190">
      <c r="B1190" s="178" t="s">
        <v>3196</v>
      </c>
      <c r="C1190" s="178" t="s">
        <v>3196</v>
      </c>
    </row>
    <row r="1191">
      <c r="B1191" s="178" t="s">
        <v>3197</v>
      </c>
      <c r="C1191" s="178" t="s">
        <v>3197</v>
      </c>
    </row>
    <row r="1192">
      <c r="B1192" s="178" t="s">
        <v>3198</v>
      </c>
      <c r="C1192" s="178" t="s">
        <v>3198</v>
      </c>
    </row>
    <row r="1193">
      <c r="B1193" s="178" t="s">
        <v>3199</v>
      </c>
      <c r="C1193" s="178" t="s">
        <v>3199</v>
      </c>
    </row>
    <row r="1194">
      <c r="B1194" s="178" t="s">
        <v>3200</v>
      </c>
      <c r="C1194" s="178" t="s">
        <v>3200</v>
      </c>
    </row>
    <row r="1195">
      <c r="B1195" s="178" t="s">
        <v>3201</v>
      </c>
      <c r="C1195" s="178" t="s">
        <v>3201</v>
      </c>
    </row>
    <row r="1196">
      <c r="B1196" s="178" t="s">
        <v>3202</v>
      </c>
      <c r="C1196" s="178" t="s">
        <v>3202</v>
      </c>
    </row>
    <row r="1197">
      <c r="B1197" s="178" t="s">
        <v>3203</v>
      </c>
      <c r="C1197" s="178" t="s">
        <v>3203</v>
      </c>
    </row>
    <row r="1198">
      <c r="B1198" s="178" t="s">
        <v>3204</v>
      </c>
      <c r="C1198" s="178" t="s">
        <v>3204</v>
      </c>
    </row>
    <row r="1199">
      <c r="B1199" s="178" t="s">
        <v>3205</v>
      </c>
      <c r="C1199" s="178" t="s">
        <v>3205</v>
      </c>
    </row>
    <row r="1200">
      <c r="B1200" s="178" t="s">
        <v>3206</v>
      </c>
      <c r="C1200" s="178" t="s">
        <v>3206</v>
      </c>
    </row>
    <row r="1201">
      <c r="B1201" s="178" t="s">
        <v>3207</v>
      </c>
      <c r="C1201" s="178" t="s">
        <v>3207</v>
      </c>
    </row>
    <row r="1202">
      <c r="B1202" s="178" t="s">
        <v>3208</v>
      </c>
      <c r="C1202" s="178" t="s">
        <v>3208</v>
      </c>
    </row>
    <row r="1203">
      <c r="B1203" s="178" t="s">
        <v>3209</v>
      </c>
      <c r="C1203" s="178" t="s">
        <v>3209</v>
      </c>
    </row>
    <row r="1204">
      <c r="B1204" s="178" t="s">
        <v>3210</v>
      </c>
      <c r="C1204" s="178" t="s">
        <v>3210</v>
      </c>
    </row>
    <row r="1205">
      <c r="B1205" s="178" t="s">
        <v>3211</v>
      </c>
      <c r="C1205" s="178" t="s">
        <v>3211</v>
      </c>
    </row>
    <row r="1206">
      <c r="B1206" s="178" t="s">
        <v>3212</v>
      </c>
      <c r="C1206" s="178" t="s">
        <v>3212</v>
      </c>
    </row>
    <row r="1207">
      <c r="B1207" s="178" t="s">
        <v>3213</v>
      </c>
      <c r="C1207" s="178" t="s">
        <v>3213</v>
      </c>
    </row>
    <row r="1208">
      <c r="B1208" s="178" t="s">
        <v>3214</v>
      </c>
      <c r="C1208" s="178" t="s">
        <v>3214</v>
      </c>
    </row>
    <row r="1209">
      <c r="B1209" s="178" t="s">
        <v>3215</v>
      </c>
      <c r="C1209" s="178" t="s">
        <v>3215</v>
      </c>
    </row>
    <row r="1210">
      <c r="B1210" s="178" t="s">
        <v>3216</v>
      </c>
      <c r="C1210" s="178" t="s">
        <v>3216</v>
      </c>
    </row>
    <row r="1211">
      <c r="B1211" s="178" t="s">
        <v>3217</v>
      </c>
      <c r="C1211" s="178" t="s">
        <v>3217</v>
      </c>
    </row>
    <row r="1212">
      <c r="B1212" s="178" t="s">
        <v>3218</v>
      </c>
      <c r="C1212" s="178" t="s">
        <v>3218</v>
      </c>
    </row>
    <row r="1213">
      <c r="B1213" s="178" t="s">
        <v>3219</v>
      </c>
      <c r="C1213" s="178" t="s">
        <v>3219</v>
      </c>
    </row>
    <row r="1214">
      <c r="B1214" s="178" t="s">
        <v>3220</v>
      </c>
      <c r="C1214" s="178" t="s">
        <v>3220</v>
      </c>
    </row>
    <row r="1215">
      <c r="B1215" s="178" t="s">
        <v>3221</v>
      </c>
      <c r="C1215" s="178" t="s">
        <v>3221</v>
      </c>
    </row>
    <row r="1216">
      <c r="B1216" s="178" t="s">
        <v>3222</v>
      </c>
      <c r="C1216" s="178" t="s">
        <v>3222</v>
      </c>
    </row>
    <row r="1217">
      <c r="B1217" s="178" t="s">
        <v>3223</v>
      </c>
      <c r="C1217" s="178" t="s">
        <v>3223</v>
      </c>
    </row>
    <row r="1218">
      <c r="B1218" s="178" t="s">
        <v>3224</v>
      </c>
      <c r="C1218" s="178" t="s">
        <v>3224</v>
      </c>
    </row>
    <row r="1219">
      <c r="B1219" s="178" t="s">
        <v>3225</v>
      </c>
      <c r="C1219" s="178" t="s">
        <v>3225</v>
      </c>
    </row>
    <row r="1220">
      <c r="B1220" s="178" t="s">
        <v>3226</v>
      </c>
      <c r="C1220" s="178" t="s">
        <v>3226</v>
      </c>
    </row>
    <row r="1221">
      <c r="B1221" s="178" t="s">
        <v>3227</v>
      </c>
      <c r="C1221" s="178" t="s">
        <v>3227</v>
      </c>
    </row>
    <row r="1222">
      <c r="B1222" s="178" t="s">
        <v>3228</v>
      </c>
      <c r="C1222" s="178" t="s">
        <v>3228</v>
      </c>
    </row>
    <row r="1223">
      <c r="B1223" s="178" t="s">
        <v>3229</v>
      </c>
      <c r="C1223" s="178" t="s">
        <v>3229</v>
      </c>
    </row>
    <row r="1224">
      <c r="B1224" s="178" t="s">
        <v>3230</v>
      </c>
      <c r="C1224" s="178" t="s">
        <v>3230</v>
      </c>
    </row>
    <row r="1225">
      <c r="B1225" s="178" t="s">
        <v>3231</v>
      </c>
      <c r="C1225" s="178" t="s">
        <v>3231</v>
      </c>
    </row>
    <row r="1226">
      <c r="B1226" s="178" t="s">
        <v>3232</v>
      </c>
      <c r="C1226" s="178" t="s">
        <v>3232</v>
      </c>
    </row>
    <row r="1227">
      <c r="B1227" s="178" t="s">
        <v>3233</v>
      </c>
      <c r="C1227" s="178" t="s">
        <v>3233</v>
      </c>
    </row>
    <row r="1228">
      <c r="B1228" s="178" t="s">
        <v>3234</v>
      </c>
      <c r="C1228" s="178" t="s">
        <v>3234</v>
      </c>
    </row>
    <row r="1229">
      <c r="B1229" s="178" t="s">
        <v>3235</v>
      </c>
      <c r="C1229" s="178" t="s">
        <v>3235</v>
      </c>
    </row>
    <row r="1230">
      <c r="B1230" s="178" t="s">
        <v>3236</v>
      </c>
      <c r="C1230" s="178" t="s">
        <v>3236</v>
      </c>
    </row>
    <row r="1231">
      <c r="B1231" s="178" t="s">
        <v>3237</v>
      </c>
      <c r="C1231" s="178" t="s">
        <v>3237</v>
      </c>
    </row>
    <row r="1232">
      <c r="B1232" s="178" t="s">
        <v>3238</v>
      </c>
      <c r="C1232" s="178" t="s">
        <v>3238</v>
      </c>
    </row>
    <row r="1233">
      <c r="B1233" s="178" t="s">
        <v>3239</v>
      </c>
      <c r="C1233" s="178" t="s">
        <v>3239</v>
      </c>
    </row>
    <row r="1234">
      <c r="B1234" s="178" t="s">
        <v>3240</v>
      </c>
      <c r="C1234" s="178" t="s">
        <v>3240</v>
      </c>
    </row>
    <row r="1235">
      <c r="B1235" s="178" t="s">
        <v>3241</v>
      </c>
      <c r="C1235" s="178" t="s">
        <v>3241</v>
      </c>
    </row>
    <row r="1236">
      <c r="B1236" s="178" t="s">
        <v>3242</v>
      </c>
      <c r="C1236" s="178" t="s">
        <v>3242</v>
      </c>
    </row>
    <row r="1237">
      <c r="B1237" s="178" t="s">
        <v>3243</v>
      </c>
      <c r="C1237" s="178" t="s">
        <v>3243</v>
      </c>
    </row>
    <row r="1238">
      <c r="B1238" s="178" t="s">
        <v>3244</v>
      </c>
      <c r="C1238" s="178" t="s">
        <v>3244</v>
      </c>
    </row>
    <row r="1239">
      <c r="B1239" s="178" t="s">
        <v>3245</v>
      </c>
      <c r="C1239" s="178" t="s">
        <v>3245</v>
      </c>
    </row>
    <row r="1240">
      <c r="B1240" s="178" t="s">
        <v>3246</v>
      </c>
      <c r="C1240" s="178" t="s">
        <v>3246</v>
      </c>
    </row>
    <row r="1241">
      <c r="B1241" s="178" t="s">
        <v>3247</v>
      </c>
      <c r="C1241" s="178" t="s">
        <v>3247</v>
      </c>
    </row>
    <row r="1242">
      <c r="B1242" s="178" t="s">
        <v>3248</v>
      </c>
      <c r="C1242" s="178" t="s">
        <v>3248</v>
      </c>
    </row>
    <row r="1243">
      <c r="B1243" s="178" t="s">
        <v>3249</v>
      </c>
      <c r="C1243" s="178" t="s">
        <v>3249</v>
      </c>
    </row>
    <row r="1244">
      <c r="B1244" s="178" t="s">
        <v>3250</v>
      </c>
      <c r="C1244" s="178" t="s">
        <v>3250</v>
      </c>
    </row>
    <row r="1245">
      <c r="B1245" s="178" t="s">
        <v>3251</v>
      </c>
      <c r="C1245" s="178" t="s">
        <v>3251</v>
      </c>
    </row>
    <row r="1246">
      <c r="B1246" s="178" t="s">
        <v>3254</v>
      </c>
      <c r="C1246" s="178" t="s">
        <v>3254</v>
      </c>
    </row>
    <row r="1247">
      <c r="B1247" s="178" t="s">
        <v>3255</v>
      </c>
      <c r="C1247" s="178" t="s">
        <v>3255</v>
      </c>
    </row>
    <row r="1248">
      <c r="B1248" s="178" t="s">
        <v>3256</v>
      </c>
      <c r="C1248" s="178" t="s">
        <v>3256</v>
      </c>
    </row>
    <row r="1249">
      <c r="B1249" s="178" t="s">
        <v>3257</v>
      </c>
      <c r="C1249" s="178" t="s">
        <v>3257</v>
      </c>
    </row>
    <row r="1250">
      <c r="B1250" s="178" t="s">
        <v>3258</v>
      </c>
      <c r="C1250" s="178" t="s">
        <v>3258</v>
      </c>
    </row>
    <row r="1251">
      <c r="B1251" s="178" t="s">
        <v>3259</v>
      </c>
      <c r="C1251" s="178" t="s">
        <v>3259</v>
      </c>
    </row>
    <row r="1252">
      <c r="B1252" s="178" t="s">
        <v>3260</v>
      </c>
      <c r="C1252" s="178" t="s">
        <v>3260</v>
      </c>
    </row>
    <row r="1253">
      <c r="B1253" s="178" t="s">
        <v>3261</v>
      </c>
      <c r="C1253" s="178" t="s">
        <v>3261</v>
      </c>
    </row>
    <row r="1254">
      <c r="B1254" s="178" t="s">
        <v>3262</v>
      </c>
      <c r="C1254" s="178" t="s">
        <v>3262</v>
      </c>
    </row>
    <row r="1255">
      <c r="B1255" s="178" t="s">
        <v>3263</v>
      </c>
      <c r="C1255" s="178" t="s">
        <v>3263</v>
      </c>
    </row>
    <row r="1256">
      <c r="B1256" s="178" t="s">
        <v>3264</v>
      </c>
      <c r="C1256" s="178" t="s">
        <v>3264</v>
      </c>
    </row>
    <row r="1257">
      <c r="B1257" s="178" t="s">
        <v>3265</v>
      </c>
      <c r="C1257" s="178" t="s">
        <v>3265</v>
      </c>
    </row>
    <row r="1258">
      <c r="B1258" s="178" t="s">
        <v>3266</v>
      </c>
      <c r="C1258" s="178" t="s">
        <v>3266</v>
      </c>
    </row>
    <row r="1259">
      <c r="B1259" s="178" t="s">
        <v>3267</v>
      </c>
      <c r="C1259" s="178" t="s">
        <v>3267</v>
      </c>
    </row>
    <row r="1260">
      <c r="B1260" s="178" t="s">
        <v>3268</v>
      </c>
      <c r="C1260" s="178" t="s">
        <v>3268</v>
      </c>
    </row>
    <row r="1261">
      <c r="B1261" s="178" t="s">
        <v>3269</v>
      </c>
      <c r="C1261" s="178" t="s">
        <v>3269</v>
      </c>
    </row>
    <row r="1262">
      <c r="B1262" s="178" t="s">
        <v>3270</v>
      </c>
      <c r="C1262" s="178" t="s">
        <v>3270</v>
      </c>
    </row>
    <row r="1263">
      <c r="B1263" s="178" t="s">
        <v>3271</v>
      </c>
      <c r="C1263" s="178" t="s">
        <v>3271</v>
      </c>
    </row>
    <row r="1264">
      <c r="B1264" s="178" t="s">
        <v>3272</v>
      </c>
      <c r="C1264" s="178" t="s">
        <v>3272</v>
      </c>
    </row>
    <row r="1265">
      <c r="B1265" s="178" t="s">
        <v>3273</v>
      </c>
      <c r="C1265" s="178" t="s">
        <v>3273</v>
      </c>
    </row>
    <row r="1266">
      <c r="B1266" s="178" t="s">
        <v>3274</v>
      </c>
      <c r="C1266" s="178" t="s">
        <v>3274</v>
      </c>
    </row>
    <row r="1267">
      <c r="B1267" s="178" t="s">
        <v>3275</v>
      </c>
      <c r="C1267" s="178" t="s">
        <v>3275</v>
      </c>
    </row>
    <row r="1268">
      <c r="B1268" s="178" t="s">
        <v>3276</v>
      </c>
      <c r="C1268" s="178" t="s">
        <v>3276</v>
      </c>
    </row>
    <row r="1269">
      <c r="B1269" s="178" t="s">
        <v>3277</v>
      </c>
      <c r="C1269" s="178" t="s">
        <v>3277</v>
      </c>
    </row>
    <row r="1270">
      <c r="B1270" s="178" t="s">
        <v>3278</v>
      </c>
      <c r="C1270" s="178" t="s">
        <v>3278</v>
      </c>
    </row>
    <row r="1271">
      <c r="B1271" s="178" t="s">
        <v>3279</v>
      </c>
      <c r="C1271" s="178" t="s">
        <v>3279</v>
      </c>
    </row>
    <row r="1272">
      <c r="B1272" s="178" t="s">
        <v>3280</v>
      </c>
      <c r="C1272" s="178" t="s">
        <v>3280</v>
      </c>
    </row>
    <row r="1273">
      <c r="B1273" s="178" t="s">
        <v>3281</v>
      </c>
      <c r="C1273" s="178" t="s">
        <v>3281</v>
      </c>
    </row>
    <row r="1274">
      <c r="B1274" s="178" t="s">
        <v>3282</v>
      </c>
      <c r="C1274" s="178" t="s">
        <v>3282</v>
      </c>
    </row>
    <row r="1275">
      <c r="B1275" s="178" t="s">
        <v>3283</v>
      </c>
      <c r="C1275" s="178" t="s">
        <v>3283</v>
      </c>
    </row>
    <row r="1276">
      <c r="B1276" s="178" t="s">
        <v>3284</v>
      </c>
      <c r="C1276" s="178" t="s">
        <v>3284</v>
      </c>
    </row>
    <row r="1277">
      <c r="B1277" s="178" t="s">
        <v>3285</v>
      </c>
      <c r="C1277" s="178" t="s">
        <v>3285</v>
      </c>
    </row>
    <row r="1278">
      <c r="B1278" s="178" t="s">
        <v>3286</v>
      </c>
      <c r="C1278" s="178" t="s">
        <v>3286</v>
      </c>
    </row>
    <row r="1279">
      <c r="B1279" s="178" t="s">
        <v>3287</v>
      </c>
      <c r="C1279" s="178" t="s">
        <v>3287</v>
      </c>
    </row>
    <row r="1280">
      <c r="B1280" s="178" t="s">
        <v>3288</v>
      </c>
      <c r="C1280" s="178" t="s">
        <v>3288</v>
      </c>
    </row>
    <row r="1281">
      <c r="B1281" s="178" t="s">
        <v>3289</v>
      </c>
      <c r="C1281" s="178" t="s">
        <v>3289</v>
      </c>
    </row>
    <row r="1282">
      <c r="B1282" s="178" t="s">
        <v>3290</v>
      </c>
      <c r="C1282" s="178" t="s">
        <v>3290</v>
      </c>
    </row>
    <row r="1283">
      <c r="B1283" s="178" t="s">
        <v>3291</v>
      </c>
      <c r="C1283" s="178" t="s">
        <v>3291</v>
      </c>
    </row>
    <row r="1284">
      <c r="B1284" s="178" t="s">
        <v>3292</v>
      </c>
      <c r="C1284" s="178" t="s">
        <v>3292</v>
      </c>
    </row>
    <row r="1285">
      <c r="B1285" s="178" t="s">
        <v>3293</v>
      </c>
      <c r="C1285" s="178" t="s">
        <v>3293</v>
      </c>
    </row>
    <row r="1286">
      <c r="B1286" s="178" t="s">
        <v>3294</v>
      </c>
      <c r="C1286" s="178" t="s">
        <v>3294</v>
      </c>
    </row>
    <row r="1287">
      <c r="B1287" s="178" t="s">
        <v>3295</v>
      </c>
      <c r="C1287" s="178" t="s">
        <v>3295</v>
      </c>
    </row>
    <row r="1288">
      <c r="B1288" s="178" t="s">
        <v>3296</v>
      </c>
      <c r="C1288" s="178" t="s">
        <v>3296</v>
      </c>
    </row>
    <row r="1289">
      <c r="B1289" s="178" t="s">
        <v>3297</v>
      </c>
      <c r="C1289" s="178" t="s">
        <v>3297</v>
      </c>
    </row>
    <row r="1290">
      <c r="B1290" s="178" t="s">
        <v>3298</v>
      </c>
      <c r="C1290" s="178" t="s">
        <v>3298</v>
      </c>
    </row>
    <row r="1291">
      <c r="B1291" s="178" t="s">
        <v>3299</v>
      </c>
      <c r="C1291" s="178" t="s">
        <v>3299</v>
      </c>
    </row>
    <row r="1292">
      <c r="B1292" s="178" t="s">
        <v>3300</v>
      </c>
      <c r="C1292" s="178" t="s">
        <v>3300</v>
      </c>
    </row>
    <row r="1293">
      <c r="B1293" s="178" t="s">
        <v>3301</v>
      </c>
      <c r="C1293" s="178" t="s">
        <v>3301</v>
      </c>
    </row>
    <row r="1294">
      <c r="B1294" s="178" t="s">
        <v>3302</v>
      </c>
      <c r="C1294" s="178" t="s">
        <v>3302</v>
      </c>
    </row>
    <row r="1295">
      <c r="B1295" s="178" t="s">
        <v>3303</v>
      </c>
      <c r="C1295" s="178" t="s">
        <v>3303</v>
      </c>
    </row>
    <row r="1296">
      <c r="B1296" s="178" t="s">
        <v>3304</v>
      </c>
      <c r="C1296" s="178" t="s">
        <v>3304</v>
      </c>
    </row>
    <row r="1297">
      <c r="B1297" s="178" t="s">
        <v>3305</v>
      </c>
      <c r="C1297" s="178" t="s">
        <v>3305</v>
      </c>
    </row>
    <row r="1298">
      <c r="B1298" s="178" t="s">
        <v>3306</v>
      </c>
      <c r="C1298" s="178" t="s">
        <v>3306</v>
      </c>
    </row>
    <row r="1299">
      <c r="B1299" s="178" t="s">
        <v>3307</v>
      </c>
      <c r="C1299" s="178" t="s">
        <v>3307</v>
      </c>
    </row>
    <row r="1300">
      <c r="B1300" s="178" t="s">
        <v>3308</v>
      </c>
      <c r="C1300" s="178" t="s">
        <v>3308</v>
      </c>
    </row>
    <row r="1301">
      <c r="B1301" s="178" t="s">
        <v>3309</v>
      </c>
      <c r="C1301" s="178" t="s">
        <v>3309</v>
      </c>
    </row>
    <row r="1302">
      <c r="B1302" s="178" t="s">
        <v>3310</v>
      </c>
      <c r="C1302" s="178" t="s">
        <v>3310</v>
      </c>
    </row>
    <row r="1303">
      <c r="B1303" s="178" t="s">
        <v>3311</v>
      </c>
      <c r="C1303" s="178" t="s">
        <v>3311</v>
      </c>
    </row>
    <row r="1304">
      <c r="B1304" s="178" t="s">
        <v>3312</v>
      </c>
      <c r="C1304" s="178" t="s">
        <v>3312</v>
      </c>
    </row>
    <row r="1305">
      <c r="B1305" s="178" t="s">
        <v>3313</v>
      </c>
      <c r="C1305" s="178" t="s">
        <v>3313</v>
      </c>
    </row>
    <row r="1306">
      <c r="B1306" s="178" t="s">
        <v>3314</v>
      </c>
      <c r="C1306" s="178" t="s">
        <v>3314</v>
      </c>
    </row>
    <row r="1307">
      <c r="B1307" s="178" t="s">
        <v>3315</v>
      </c>
      <c r="C1307" s="178" t="s">
        <v>3315</v>
      </c>
    </row>
    <row r="1308">
      <c r="B1308" s="178" t="s">
        <v>3316</v>
      </c>
      <c r="C1308" s="178" t="s">
        <v>3316</v>
      </c>
    </row>
    <row r="1309">
      <c r="B1309" s="178" t="s">
        <v>3317</v>
      </c>
      <c r="C1309" s="178" t="s">
        <v>3317</v>
      </c>
    </row>
    <row r="1310">
      <c r="B1310" s="178" t="s">
        <v>3318</v>
      </c>
      <c r="C1310" s="178" t="s">
        <v>3318</v>
      </c>
    </row>
    <row r="1311">
      <c r="B1311" s="178" t="s">
        <v>3319</v>
      </c>
      <c r="C1311" s="178" t="s">
        <v>3319</v>
      </c>
    </row>
    <row r="1312">
      <c r="B1312" s="178" t="s">
        <v>3320</v>
      </c>
      <c r="C1312" s="178" t="s">
        <v>3320</v>
      </c>
    </row>
    <row r="1313">
      <c r="B1313" s="178" t="s">
        <v>3321</v>
      </c>
      <c r="C1313" s="178" t="s">
        <v>3321</v>
      </c>
    </row>
    <row r="1314">
      <c r="B1314" s="178" t="s">
        <v>3322</v>
      </c>
      <c r="C1314" s="178" t="s">
        <v>3322</v>
      </c>
    </row>
    <row r="1315">
      <c r="B1315" s="178" t="s">
        <v>3323</v>
      </c>
      <c r="C1315" s="178" t="s">
        <v>3323</v>
      </c>
    </row>
    <row r="1316">
      <c r="B1316" s="178" t="s">
        <v>3324</v>
      </c>
      <c r="C1316" s="178" t="s">
        <v>3324</v>
      </c>
    </row>
    <row r="1317">
      <c r="B1317" s="178" t="s">
        <v>3325</v>
      </c>
      <c r="C1317" s="178" t="s">
        <v>3325</v>
      </c>
    </row>
    <row r="1318">
      <c r="B1318" s="178" t="s">
        <v>3326</v>
      </c>
      <c r="C1318" s="178" t="s">
        <v>3326</v>
      </c>
    </row>
    <row r="1319">
      <c r="B1319" s="178" t="s">
        <v>3327</v>
      </c>
      <c r="C1319" s="178" t="s">
        <v>3327</v>
      </c>
    </row>
    <row r="1320">
      <c r="B1320" s="178" t="s">
        <v>3328</v>
      </c>
      <c r="C1320" s="178" t="s">
        <v>3328</v>
      </c>
    </row>
    <row r="1321">
      <c r="B1321" s="178" t="s">
        <v>3329</v>
      </c>
      <c r="C1321" s="178" t="s">
        <v>3329</v>
      </c>
    </row>
    <row r="1322">
      <c r="B1322" s="178" t="s">
        <v>3330</v>
      </c>
      <c r="C1322" s="178" t="s">
        <v>3330</v>
      </c>
    </row>
    <row r="1323">
      <c r="B1323" s="178" t="s">
        <v>3331</v>
      </c>
      <c r="C1323" s="178" t="s">
        <v>3331</v>
      </c>
    </row>
    <row r="1324">
      <c r="B1324" s="178" t="s">
        <v>3332</v>
      </c>
      <c r="C1324" s="178" t="s">
        <v>3332</v>
      </c>
    </row>
    <row r="1325">
      <c r="B1325" s="178" t="s">
        <v>3333</v>
      </c>
      <c r="C1325" s="178" t="s">
        <v>3333</v>
      </c>
    </row>
    <row r="1326">
      <c r="B1326" s="178" t="s">
        <v>3334</v>
      </c>
      <c r="C1326" s="178" t="s">
        <v>3334</v>
      </c>
    </row>
    <row r="1327">
      <c r="B1327" s="178" t="s">
        <v>3335</v>
      </c>
      <c r="C1327" s="178" t="s">
        <v>3335</v>
      </c>
    </row>
    <row r="1328">
      <c r="B1328" s="178" t="s">
        <v>3336</v>
      </c>
      <c r="C1328" s="178" t="s">
        <v>3336</v>
      </c>
    </row>
    <row r="1329">
      <c r="B1329" s="178" t="s">
        <v>3337</v>
      </c>
      <c r="C1329" s="178" t="s">
        <v>3337</v>
      </c>
    </row>
    <row r="1330">
      <c r="B1330" s="178" t="s">
        <v>3338</v>
      </c>
      <c r="C1330" s="178" t="s">
        <v>3338</v>
      </c>
    </row>
    <row r="1331">
      <c r="B1331" s="178" t="s">
        <v>3339</v>
      </c>
      <c r="C1331" s="178" t="s">
        <v>3339</v>
      </c>
    </row>
    <row r="1332">
      <c r="B1332" s="178" t="s">
        <v>3340</v>
      </c>
      <c r="C1332" s="178" t="s">
        <v>3340</v>
      </c>
    </row>
    <row r="1333">
      <c r="B1333" s="178" t="s">
        <v>3341</v>
      </c>
      <c r="C1333" s="178" t="s">
        <v>3341</v>
      </c>
    </row>
    <row r="1334">
      <c r="B1334" s="178" t="s">
        <v>3342</v>
      </c>
      <c r="C1334" s="178" t="s">
        <v>3342</v>
      </c>
    </row>
    <row r="1335">
      <c r="B1335" s="178" t="s">
        <v>3343</v>
      </c>
      <c r="C1335" s="178" t="s">
        <v>3343</v>
      </c>
    </row>
    <row r="1336">
      <c r="B1336" s="178" t="s">
        <v>3344</v>
      </c>
      <c r="C1336" s="178" t="s">
        <v>3344</v>
      </c>
    </row>
    <row r="1337">
      <c r="B1337" s="178" t="s">
        <v>3345</v>
      </c>
      <c r="C1337" s="178" t="s">
        <v>3345</v>
      </c>
    </row>
    <row r="1338">
      <c r="B1338" s="178" t="s">
        <v>3346</v>
      </c>
      <c r="C1338" s="178" t="s">
        <v>3346</v>
      </c>
    </row>
    <row r="1339">
      <c r="B1339" s="178" t="s">
        <v>3347</v>
      </c>
      <c r="C1339" s="178" t="s">
        <v>3347</v>
      </c>
    </row>
    <row r="1340">
      <c r="B1340" s="178" t="s">
        <v>3348</v>
      </c>
      <c r="C1340" s="178" t="s">
        <v>3348</v>
      </c>
    </row>
    <row r="1341">
      <c r="B1341" s="178" t="s">
        <v>3349</v>
      </c>
      <c r="C1341" s="178" t="s">
        <v>3349</v>
      </c>
    </row>
    <row r="1342">
      <c r="B1342" s="178" t="s">
        <v>3350</v>
      </c>
      <c r="C1342" s="178" t="s">
        <v>3350</v>
      </c>
    </row>
    <row r="1343">
      <c r="B1343" s="178" t="s">
        <v>3351</v>
      </c>
      <c r="C1343" s="178" t="s">
        <v>3351</v>
      </c>
    </row>
    <row r="1344">
      <c r="B1344" s="178" t="s">
        <v>3352</v>
      </c>
      <c r="C1344" s="178" t="s">
        <v>3352</v>
      </c>
    </row>
    <row r="1345">
      <c r="B1345" s="178" t="s">
        <v>3353</v>
      </c>
      <c r="C1345" s="178" t="s">
        <v>3353</v>
      </c>
    </row>
    <row r="1346">
      <c r="B1346" s="178" t="s">
        <v>3354</v>
      </c>
      <c r="C1346" s="178" t="s">
        <v>3354</v>
      </c>
    </row>
    <row r="1347">
      <c r="B1347" s="178" t="s">
        <v>3355</v>
      </c>
      <c r="C1347" s="178" t="s">
        <v>3355</v>
      </c>
    </row>
    <row r="1348">
      <c r="B1348" s="178" t="s">
        <v>3356</v>
      </c>
      <c r="C1348" s="178" t="s">
        <v>3356</v>
      </c>
    </row>
    <row r="1349">
      <c r="B1349" s="178" t="s">
        <v>3357</v>
      </c>
      <c r="C1349" s="178" t="s">
        <v>3357</v>
      </c>
    </row>
    <row r="1350">
      <c r="B1350" s="178" t="s">
        <v>3358</v>
      </c>
      <c r="C1350" s="178" t="s">
        <v>3358</v>
      </c>
    </row>
    <row r="1351">
      <c r="B1351" s="178" t="s">
        <v>3359</v>
      </c>
      <c r="C1351" s="178" t="s">
        <v>3359</v>
      </c>
    </row>
    <row r="1352">
      <c r="B1352" s="178" t="s">
        <v>3360</v>
      </c>
      <c r="C1352" s="178" t="s">
        <v>3360</v>
      </c>
    </row>
    <row r="1353">
      <c r="B1353" s="178" t="s">
        <v>3361</v>
      </c>
      <c r="C1353" s="178" t="s">
        <v>3361</v>
      </c>
    </row>
    <row r="1354">
      <c r="B1354" s="178" t="s">
        <v>3362</v>
      </c>
      <c r="C1354" s="178" t="s">
        <v>3362</v>
      </c>
    </row>
    <row r="1355">
      <c r="B1355" s="178" t="s">
        <v>3363</v>
      </c>
      <c r="C1355" s="178" t="s">
        <v>3363</v>
      </c>
    </row>
    <row r="1356">
      <c r="B1356" s="178" t="s">
        <v>3364</v>
      </c>
      <c r="C1356" s="178" t="s">
        <v>3364</v>
      </c>
    </row>
    <row r="1357">
      <c r="B1357" s="178" t="s">
        <v>3365</v>
      </c>
      <c r="C1357" s="178" t="s">
        <v>3365</v>
      </c>
    </row>
    <row r="1358">
      <c r="B1358" s="178" t="s">
        <v>3366</v>
      </c>
      <c r="C1358" s="178" t="s">
        <v>3366</v>
      </c>
    </row>
    <row r="1359">
      <c r="B1359" s="178" t="s">
        <v>3367</v>
      </c>
      <c r="C1359" s="178" t="s">
        <v>3367</v>
      </c>
    </row>
    <row r="1360">
      <c r="B1360" s="178" t="s">
        <v>3368</v>
      </c>
      <c r="C1360" s="178" t="s">
        <v>3368</v>
      </c>
    </row>
    <row r="1361">
      <c r="B1361" s="178" t="s">
        <v>3369</v>
      </c>
      <c r="C1361" s="178" t="s">
        <v>3369</v>
      </c>
    </row>
    <row r="1362">
      <c r="B1362" s="178" t="s">
        <v>3370</v>
      </c>
      <c r="C1362" s="178" t="s">
        <v>3370</v>
      </c>
    </row>
    <row r="1363">
      <c r="B1363" s="178" t="s">
        <v>3371</v>
      </c>
      <c r="C1363" s="178" t="s">
        <v>3371</v>
      </c>
    </row>
    <row r="1364">
      <c r="B1364" s="178" t="s">
        <v>3372</v>
      </c>
      <c r="C1364" s="178" t="s">
        <v>3372</v>
      </c>
    </row>
    <row r="1365">
      <c r="B1365" s="178" t="s">
        <v>3373</v>
      </c>
      <c r="C1365" s="178" t="s">
        <v>3373</v>
      </c>
    </row>
    <row r="1366">
      <c r="B1366" s="178" t="s">
        <v>3374</v>
      </c>
      <c r="C1366" s="178" t="s">
        <v>3374</v>
      </c>
    </row>
    <row r="1367">
      <c r="B1367" s="178" t="s">
        <v>3375</v>
      </c>
      <c r="C1367" s="178" t="s">
        <v>3375</v>
      </c>
    </row>
    <row r="1368">
      <c r="B1368" s="178" t="s">
        <v>3376</v>
      </c>
      <c r="C1368" s="178" t="s">
        <v>3376</v>
      </c>
    </row>
    <row r="1369">
      <c r="B1369" s="178" t="s">
        <v>3377</v>
      </c>
      <c r="C1369" s="178" t="s">
        <v>3377</v>
      </c>
    </row>
    <row r="1370">
      <c r="B1370" s="178" t="s">
        <v>3378</v>
      </c>
      <c r="C1370" s="178" t="s">
        <v>3378</v>
      </c>
    </row>
    <row r="1371">
      <c r="B1371" s="178" t="s">
        <v>3379</v>
      </c>
      <c r="C1371" s="178" t="s">
        <v>3379</v>
      </c>
    </row>
    <row r="1372">
      <c r="B1372" s="178" t="s">
        <v>3380</v>
      </c>
      <c r="C1372" s="178" t="s">
        <v>3380</v>
      </c>
    </row>
    <row r="1373">
      <c r="B1373" s="178" t="s">
        <v>3381</v>
      </c>
      <c r="C1373" s="178" t="s">
        <v>3381</v>
      </c>
    </row>
    <row r="1374">
      <c r="B1374" s="178" t="s">
        <v>3382</v>
      </c>
      <c r="C1374" s="178" t="s">
        <v>3382</v>
      </c>
    </row>
    <row r="1375">
      <c r="B1375" s="178" t="s">
        <v>3383</v>
      </c>
      <c r="C1375" s="178" t="s">
        <v>3383</v>
      </c>
    </row>
    <row r="1376">
      <c r="B1376" s="178" t="s">
        <v>3384</v>
      </c>
      <c r="C1376" s="178" t="s">
        <v>3384</v>
      </c>
    </row>
    <row r="1377">
      <c r="B1377" s="178" t="s">
        <v>3385</v>
      </c>
      <c r="C1377" s="178" t="s">
        <v>3385</v>
      </c>
    </row>
    <row r="1378">
      <c r="B1378" s="178" t="s">
        <v>3386</v>
      </c>
      <c r="C1378" s="178" t="s">
        <v>3386</v>
      </c>
    </row>
    <row r="1379">
      <c r="B1379" s="178" t="s">
        <v>3387</v>
      </c>
      <c r="C1379" s="178" t="s">
        <v>3387</v>
      </c>
    </row>
    <row r="1380">
      <c r="B1380" s="178" t="s">
        <v>3388</v>
      </c>
      <c r="C1380" s="178" t="s">
        <v>3388</v>
      </c>
    </row>
    <row r="1381">
      <c r="B1381" s="178" t="s">
        <v>3389</v>
      </c>
      <c r="C1381" s="178" t="s">
        <v>3389</v>
      </c>
    </row>
    <row r="1382">
      <c r="B1382" s="178" t="s">
        <v>3390</v>
      </c>
      <c r="C1382" s="178" t="s">
        <v>3390</v>
      </c>
    </row>
    <row r="1383">
      <c r="B1383" s="178" t="s">
        <v>3391</v>
      </c>
      <c r="C1383" s="178" t="s">
        <v>3391</v>
      </c>
    </row>
    <row r="1384">
      <c r="B1384" s="178" t="s">
        <v>3392</v>
      </c>
      <c r="C1384" s="178" t="s">
        <v>3392</v>
      </c>
    </row>
    <row r="1385">
      <c r="B1385" s="178" t="s">
        <v>3393</v>
      </c>
      <c r="C1385" s="178" t="s">
        <v>3393</v>
      </c>
    </row>
    <row r="1386">
      <c r="B1386" s="178" t="s">
        <v>3394</v>
      </c>
      <c r="C1386" s="178" t="s">
        <v>3394</v>
      </c>
    </row>
    <row r="1387">
      <c r="B1387" s="178" t="s">
        <v>3395</v>
      </c>
      <c r="C1387" s="178" t="s">
        <v>3395</v>
      </c>
    </row>
    <row r="1388">
      <c r="B1388" s="178" t="s">
        <v>3396</v>
      </c>
      <c r="C1388" s="178" t="s">
        <v>3396</v>
      </c>
    </row>
    <row r="1389">
      <c r="B1389" s="178" t="s">
        <v>3397</v>
      </c>
      <c r="C1389" s="178" t="s">
        <v>3397</v>
      </c>
    </row>
    <row r="1390">
      <c r="B1390" s="178" t="s">
        <v>3398</v>
      </c>
      <c r="C1390" s="178" t="s">
        <v>3398</v>
      </c>
    </row>
    <row r="1391">
      <c r="B1391" s="178" t="s">
        <v>3399</v>
      </c>
      <c r="C1391" s="178" t="s">
        <v>3399</v>
      </c>
    </row>
    <row r="1392">
      <c r="B1392" s="178" t="s">
        <v>3400</v>
      </c>
      <c r="C1392" s="178" t="s">
        <v>3400</v>
      </c>
    </row>
    <row r="1393">
      <c r="B1393" s="178" t="s">
        <v>3401</v>
      </c>
      <c r="C1393" s="178" t="s">
        <v>3401</v>
      </c>
    </row>
    <row r="1394">
      <c r="B1394" s="178" t="s">
        <v>3402</v>
      </c>
      <c r="C1394" s="178" t="s">
        <v>3402</v>
      </c>
    </row>
    <row r="1395">
      <c r="B1395" s="178" t="s">
        <v>3403</v>
      </c>
      <c r="C1395" s="178" t="s">
        <v>3403</v>
      </c>
    </row>
    <row r="1396">
      <c r="B1396" s="178" t="s">
        <v>3404</v>
      </c>
      <c r="C1396" s="178" t="s">
        <v>3404</v>
      </c>
    </row>
    <row r="1397">
      <c r="B1397" s="178" t="s">
        <v>3405</v>
      </c>
      <c r="C1397" s="178" t="s">
        <v>3405</v>
      </c>
    </row>
    <row r="1398">
      <c r="B1398" s="178" t="s">
        <v>3406</v>
      </c>
      <c r="C1398" s="178" t="s">
        <v>3406</v>
      </c>
    </row>
    <row r="1399">
      <c r="B1399" s="178" t="s">
        <v>3407</v>
      </c>
      <c r="C1399" s="178" t="s">
        <v>3407</v>
      </c>
    </row>
    <row r="1400">
      <c r="B1400" s="178" t="s">
        <v>3408</v>
      </c>
      <c r="C1400" s="178" t="s">
        <v>3408</v>
      </c>
    </row>
    <row r="1401">
      <c r="B1401" s="178" t="s">
        <v>3409</v>
      </c>
      <c r="C1401" s="178" t="s">
        <v>3409</v>
      </c>
    </row>
    <row r="1402">
      <c r="B1402" s="178" t="s">
        <v>3410</v>
      </c>
      <c r="C1402" s="178" t="s">
        <v>3410</v>
      </c>
    </row>
    <row r="1403">
      <c r="B1403" s="178" t="s">
        <v>3411</v>
      </c>
      <c r="C1403" s="178" t="s">
        <v>3411</v>
      </c>
    </row>
    <row r="1404">
      <c r="B1404" s="178" t="s">
        <v>3412</v>
      </c>
      <c r="C1404" s="178" t="s">
        <v>3412</v>
      </c>
    </row>
    <row r="1405">
      <c r="B1405" s="178" t="s">
        <v>3413</v>
      </c>
      <c r="C1405" s="178" t="s">
        <v>3413</v>
      </c>
    </row>
    <row r="1406">
      <c r="B1406" s="178" t="s">
        <v>3414</v>
      </c>
      <c r="C1406" s="178" t="s">
        <v>3414</v>
      </c>
    </row>
    <row r="1407">
      <c r="B1407" s="178" t="s">
        <v>3415</v>
      </c>
      <c r="C1407" s="178" t="s">
        <v>3415</v>
      </c>
    </row>
    <row r="1408">
      <c r="B1408" s="178" t="s">
        <v>3416</v>
      </c>
      <c r="C1408" s="178" t="s">
        <v>3416</v>
      </c>
    </row>
    <row r="1409">
      <c r="B1409" s="178" t="s">
        <v>3417</v>
      </c>
      <c r="C1409" s="178" t="s">
        <v>3417</v>
      </c>
    </row>
    <row r="1410">
      <c r="B1410" s="178" t="s">
        <v>3418</v>
      </c>
      <c r="C1410" s="178" t="s">
        <v>3418</v>
      </c>
    </row>
    <row r="1411">
      <c r="B1411" s="178" t="s">
        <v>3419</v>
      </c>
      <c r="C1411" s="178" t="s">
        <v>3419</v>
      </c>
    </row>
    <row r="1412">
      <c r="B1412" s="178" t="s">
        <v>3420</v>
      </c>
      <c r="C1412" s="178" t="s">
        <v>3420</v>
      </c>
    </row>
    <row r="1413">
      <c r="B1413" s="178" t="s">
        <v>3421</v>
      </c>
      <c r="C1413" s="178" t="s">
        <v>3421</v>
      </c>
    </row>
    <row r="1414">
      <c r="B1414" s="178" t="s">
        <v>3422</v>
      </c>
      <c r="C1414" s="178" t="s">
        <v>3422</v>
      </c>
    </row>
    <row r="1415">
      <c r="B1415" s="178" t="s">
        <v>3423</v>
      </c>
      <c r="C1415" s="178" t="s">
        <v>3423</v>
      </c>
    </row>
    <row r="1416">
      <c r="B1416" s="178" t="s">
        <v>3424</v>
      </c>
      <c r="C1416" s="178" t="s">
        <v>3424</v>
      </c>
    </row>
    <row r="1417">
      <c r="B1417" s="178" t="s">
        <v>3425</v>
      </c>
      <c r="C1417" s="178" t="s">
        <v>3425</v>
      </c>
    </row>
    <row r="1418">
      <c r="B1418" s="178" t="s">
        <v>3426</v>
      </c>
      <c r="C1418" s="178" t="s">
        <v>3426</v>
      </c>
    </row>
    <row r="1419">
      <c r="B1419" s="178" t="s">
        <v>3427</v>
      </c>
      <c r="C1419" s="178" t="s">
        <v>3427</v>
      </c>
    </row>
    <row r="1420">
      <c r="B1420" s="178" t="s">
        <v>3428</v>
      </c>
      <c r="C1420" s="178" t="s">
        <v>3428</v>
      </c>
    </row>
    <row r="1421">
      <c r="B1421" s="178" t="s">
        <v>3429</v>
      </c>
      <c r="C1421" s="178" t="s">
        <v>3429</v>
      </c>
    </row>
    <row r="1422">
      <c r="B1422" s="178" t="s">
        <v>3430</v>
      </c>
      <c r="C1422" s="178" t="s">
        <v>3430</v>
      </c>
    </row>
    <row r="1423">
      <c r="B1423" s="178" t="s">
        <v>3431</v>
      </c>
      <c r="C1423" s="178" t="s">
        <v>3431</v>
      </c>
    </row>
    <row r="1424">
      <c r="B1424" s="178" t="s">
        <v>3432</v>
      </c>
      <c r="C1424" s="178" t="s">
        <v>3432</v>
      </c>
    </row>
    <row r="1425">
      <c r="B1425" s="178" t="s">
        <v>3433</v>
      </c>
      <c r="C1425" s="178" t="s">
        <v>3433</v>
      </c>
    </row>
    <row r="1426">
      <c r="B1426" s="178" t="s">
        <v>3434</v>
      </c>
      <c r="C1426" s="178" t="s">
        <v>3434</v>
      </c>
    </row>
    <row r="1427">
      <c r="B1427" s="178" t="s">
        <v>3435</v>
      </c>
      <c r="C1427" s="178" t="s">
        <v>3435</v>
      </c>
    </row>
    <row r="1428">
      <c r="B1428" s="178" t="s">
        <v>3436</v>
      </c>
      <c r="C1428" s="178" t="s">
        <v>3436</v>
      </c>
    </row>
    <row r="1429">
      <c r="B1429" s="178" t="s">
        <v>3437</v>
      </c>
      <c r="C1429" s="178" t="s">
        <v>3437</v>
      </c>
    </row>
    <row r="1430">
      <c r="B1430" s="178" t="s">
        <v>3438</v>
      </c>
      <c r="C1430" s="178" t="s">
        <v>3438</v>
      </c>
    </row>
    <row r="1431">
      <c r="B1431" s="178" t="s">
        <v>3439</v>
      </c>
      <c r="C1431" s="178" t="s">
        <v>3439</v>
      </c>
    </row>
    <row r="1432">
      <c r="B1432" s="178" t="s">
        <v>3440</v>
      </c>
      <c r="C1432" s="178" t="s">
        <v>3440</v>
      </c>
    </row>
    <row r="1433">
      <c r="B1433" s="178" t="s">
        <v>3441</v>
      </c>
      <c r="C1433" s="178" t="s">
        <v>3441</v>
      </c>
    </row>
    <row r="1434">
      <c r="B1434" s="178" t="s">
        <v>3442</v>
      </c>
      <c r="C1434" s="178" t="s">
        <v>3442</v>
      </c>
    </row>
    <row r="1435">
      <c r="B1435" s="178" t="s">
        <v>3443</v>
      </c>
      <c r="C1435" s="178" t="s">
        <v>3443</v>
      </c>
    </row>
    <row r="1436">
      <c r="B1436" s="178" t="s">
        <v>3444</v>
      </c>
      <c r="C1436" s="178" t="s">
        <v>3444</v>
      </c>
    </row>
    <row r="1437">
      <c r="B1437" s="178" t="s">
        <v>3445</v>
      </c>
      <c r="C1437" s="178" t="s">
        <v>3445</v>
      </c>
    </row>
    <row r="1438">
      <c r="B1438" s="178" t="s">
        <v>3446</v>
      </c>
      <c r="C1438" s="178" t="s">
        <v>3446</v>
      </c>
    </row>
    <row r="1439">
      <c r="B1439" s="178" t="s">
        <v>3447</v>
      </c>
      <c r="C1439" s="178" t="s">
        <v>3447</v>
      </c>
    </row>
    <row r="1440">
      <c r="B1440" s="178" t="s">
        <v>3448</v>
      </c>
      <c r="C1440" s="178" t="s">
        <v>3448</v>
      </c>
    </row>
    <row r="1441">
      <c r="B1441" s="178" t="s">
        <v>3449</v>
      </c>
      <c r="C1441" s="178" t="s">
        <v>3449</v>
      </c>
    </row>
    <row r="1442">
      <c r="B1442" s="178" t="s">
        <v>3450</v>
      </c>
      <c r="C1442" s="178" t="s">
        <v>3450</v>
      </c>
    </row>
    <row r="1443">
      <c r="B1443" s="178" t="s">
        <v>3451</v>
      </c>
      <c r="C1443" s="178" t="s">
        <v>3451</v>
      </c>
    </row>
    <row r="1444">
      <c r="B1444" s="178" t="s">
        <v>3452</v>
      </c>
      <c r="C1444" s="178" t="s">
        <v>3452</v>
      </c>
    </row>
    <row r="1445">
      <c r="B1445" s="178" t="s">
        <v>3453</v>
      </c>
      <c r="C1445" s="178" t="s">
        <v>3453</v>
      </c>
    </row>
    <row r="1446">
      <c r="B1446" s="178" t="s">
        <v>3454</v>
      </c>
      <c r="C1446" s="178" t="s">
        <v>3454</v>
      </c>
    </row>
    <row r="1447">
      <c r="B1447" s="178" t="s">
        <v>3455</v>
      </c>
      <c r="C1447" s="178" t="s">
        <v>3455</v>
      </c>
    </row>
    <row r="1448">
      <c r="B1448" s="178" t="s">
        <v>3456</v>
      </c>
      <c r="C1448" s="178" t="s">
        <v>3456</v>
      </c>
    </row>
    <row r="1449">
      <c r="B1449" s="178" t="s">
        <v>3457</v>
      </c>
      <c r="C1449" s="178" t="s">
        <v>3457</v>
      </c>
    </row>
    <row r="1450">
      <c r="B1450" s="178" t="s">
        <v>3458</v>
      </c>
      <c r="C1450" s="178" t="s">
        <v>3458</v>
      </c>
    </row>
    <row r="1451">
      <c r="B1451" s="178" t="s">
        <v>2966</v>
      </c>
      <c r="C1451" s="178" t="s">
        <v>2966</v>
      </c>
    </row>
    <row r="1452">
      <c r="B1452" s="178" t="s">
        <v>3461</v>
      </c>
      <c r="C1452" s="178" t="s">
        <v>3461</v>
      </c>
    </row>
    <row r="1453">
      <c r="B1453" s="178" t="s">
        <v>3462</v>
      </c>
      <c r="C1453" s="178" t="s">
        <v>3462</v>
      </c>
    </row>
    <row r="1454">
      <c r="B1454" s="178" t="s">
        <v>3463</v>
      </c>
      <c r="C1454" s="178" t="s">
        <v>3463</v>
      </c>
    </row>
    <row r="1455">
      <c r="B1455" s="178" t="s">
        <v>3464</v>
      </c>
      <c r="C1455" s="178" t="s">
        <v>3464</v>
      </c>
    </row>
    <row r="1456">
      <c r="B1456" s="178" t="s">
        <v>3465</v>
      </c>
      <c r="C1456" s="178" t="s">
        <v>3465</v>
      </c>
    </row>
    <row r="1457">
      <c r="B1457" s="178" t="s">
        <v>3466</v>
      </c>
      <c r="C1457" s="178" t="s">
        <v>3466</v>
      </c>
    </row>
    <row r="1458">
      <c r="B1458" s="178" t="s">
        <v>3467</v>
      </c>
      <c r="C1458" s="178" t="s">
        <v>3467</v>
      </c>
    </row>
    <row r="1459">
      <c r="B1459" s="178" t="s">
        <v>3468</v>
      </c>
      <c r="C1459" s="178" t="s">
        <v>3468</v>
      </c>
    </row>
    <row r="1460">
      <c r="B1460" s="178" t="s">
        <v>3469</v>
      </c>
      <c r="C1460" s="178" t="s">
        <v>3469</v>
      </c>
    </row>
    <row r="1461">
      <c r="B1461" s="178" t="s">
        <v>3470</v>
      </c>
      <c r="C1461" s="178" t="s">
        <v>3470</v>
      </c>
    </row>
    <row r="1462">
      <c r="B1462" s="178" t="s">
        <v>3471</v>
      </c>
      <c r="C1462" s="178" t="s">
        <v>3471</v>
      </c>
    </row>
    <row r="1463">
      <c r="B1463" s="178" t="s">
        <v>3472</v>
      </c>
      <c r="C1463" s="178" t="s">
        <v>3472</v>
      </c>
    </row>
    <row r="1464">
      <c r="B1464" s="178" t="s">
        <v>3473</v>
      </c>
      <c r="C1464" s="178" t="s">
        <v>3473</v>
      </c>
    </row>
    <row r="1465">
      <c r="B1465" s="178" t="s">
        <v>3474</v>
      </c>
      <c r="C1465" s="178" t="s">
        <v>3474</v>
      </c>
    </row>
    <row r="1466">
      <c r="B1466" s="178" t="s">
        <v>3475</v>
      </c>
      <c r="C1466" s="178" t="s">
        <v>3475</v>
      </c>
    </row>
    <row r="1467">
      <c r="B1467" s="178" t="s">
        <v>3476</v>
      </c>
      <c r="C1467" s="178" t="s">
        <v>3476</v>
      </c>
    </row>
    <row r="1468">
      <c r="B1468" s="178" t="s">
        <v>3477</v>
      </c>
      <c r="C1468" s="178" t="s">
        <v>3477</v>
      </c>
    </row>
    <row r="1469">
      <c r="B1469" s="178" t="s">
        <v>3478</v>
      </c>
      <c r="C1469" s="178" t="s">
        <v>3478</v>
      </c>
    </row>
    <row r="1470">
      <c r="B1470" s="178" t="s">
        <v>3479</v>
      </c>
      <c r="C1470" s="178" t="s">
        <v>3479</v>
      </c>
    </row>
    <row r="1471">
      <c r="B1471" s="178" t="s">
        <v>3480</v>
      </c>
      <c r="C1471" s="178" t="s">
        <v>3480</v>
      </c>
    </row>
    <row r="1472">
      <c r="B1472" s="178" t="s">
        <v>3481</v>
      </c>
      <c r="C1472" s="178" t="s">
        <v>3481</v>
      </c>
    </row>
    <row r="1473">
      <c r="B1473" s="178" t="s">
        <v>3482</v>
      </c>
      <c r="C1473" s="178" t="s">
        <v>3482</v>
      </c>
    </row>
    <row r="1474">
      <c r="B1474" s="178" t="s">
        <v>3483</v>
      </c>
      <c r="C1474" s="178" t="s">
        <v>3483</v>
      </c>
    </row>
    <row r="1475">
      <c r="B1475" s="178" t="s">
        <v>3484</v>
      </c>
      <c r="C1475" s="178" t="s">
        <v>3484</v>
      </c>
    </row>
    <row r="1476">
      <c r="B1476" s="178" t="s">
        <v>3485</v>
      </c>
      <c r="C1476" s="178" t="s">
        <v>3485</v>
      </c>
    </row>
    <row r="1477">
      <c r="B1477" s="178" t="s">
        <v>3486</v>
      </c>
      <c r="C1477" s="178" t="s">
        <v>3486</v>
      </c>
    </row>
    <row r="1478">
      <c r="B1478" s="178" t="s">
        <v>3487</v>
      </c>
      <c r="C1478" s="178" t="s">
        <v>3487</v>
      </c>
    </row>
    <row r="1479">
      <c r="B1479" s="178" t="s">
        <v>3488</v>
      </c>
      <c r="C1479" s="178" t="s">
        <v>3488</v>
      </c>
    </row>
    <row r="1480">
      <c r="B1480" s="178" t="s">
        <v>3489</v>
      </c>
      <c r="C1480" s="178" t="s">
        <v>3489</v>
      </c>
    </row>
    <row r="1481">
      <c r="B1481" s="178" t="s">
        <v>3490</v>
      </c>
      <c r="C1481" s="178" t="s">
        <v>3490</v>
      </c>
    </row>
    <row r="1482">
      <c r="B1482" s="178" t="s">
        <v>3491</v>
      </c>
      <c r="C1482" s="178" t="s">
        <v>3491</v>
      </c>
    </row>
    <row r="1483">
      <c r="B1483" s="178" t="s">
        <v>3492</v>
      </c>
      <c r="C1483" s="178" t="s">
        <v>3492</v>
      </c>
    </row>
    <row r="1484">
      <c r="B1484" s="178" t="s">
        <v>3493</v>
      </c>
      <c r="C1484" s="178" t="s">
        <v>3493</v>
      </c>
    </row>
    <row r="1485">
      <c r="B1485" s="178" t="s">
        <v>3494</v>
      </c>
      <c r="C1485" s="178" t="s">
        <v>3494</v>
      </c>
    </row>
    <row r="1486">
      <c r="B1486" s="178" t="s">
        <v>3495</v>
      </c>
      <c r="C1486" s="178" t="s">
        <v>3495</v>
      </c>
    </row>
    <row r="1487">
      <c r="B1487" s="178" t="s">
        <v>3496</v>
      </c>
      <c r="C1487" s="178" t="s">
        <v>3496</v>
      </c>
    </row>
    <row r="1488">
      <c r="B1488" s="178" t="s">
        <v>3497</v>
      </c>
      <c r="C1488" s="178" t="s">
        <v>3497</v>
      </c>
    </row>
    <row r="1489">
      <c r="B1489" s="178" t="s">
        <v>3498</v>
      </c>
      <c r="C1489" s="178" t="s">
        <v>3498</v>
      </c>
    </row>
    <row r="1490">
      <c r="B1490" s="178" t="s">
        <v>3499</v>
      </c>
      <c r="C1490" s="178" t="s">
        <v>3499</v>
      </c>
    </row>
    <row r="1491">
      <c r="B1491" s="178" t="s">
        <v>3500</v>
      </c>
      <c r="C1491" s="178" t="s">
        <v>3500</v>
      </c>
    </row>
    <row r="1492">
      <c r="B1492" s="178" t="s">
        <v>3501</v>
      </c>
      <c r="C1492" s="178" t="s">
        <v>3501</v>
      </c>
    </row>
    <row r="1493">
      <c r="B1493" s="178" t="s">
        <v>3502</v>
      </c>
      <c r="C1493" s="178" t="s">
        <v>3502</v>
      </c>
    </row>
    <row r="1494">
      <c r="B1494" s="178" t="s">
        <v>3503</v>
      </c>
      <c r="C1494" s="178" t="s">
        <v>3503</v>
      </c>
    </row>
    <row r="1495">
      <c r="B1495" s="178" t="s">
        <v>3504</v>
      </c>
      <c r="C1495" s="178" t="s">
        <v>3504</v>
      </c>
    </row>
    <row r="1496">
      <c r="B1496" s="178" t="s">
        <v>3505</v>
      </c>
      <c r="C1496" s="178" t="s">
        <v>3505</v>
      </c>
    </row>
    <row r="1497">
      <c r="B1497" s="178" t="s">
        <v>3506</v>
      </c>
      <c r="C1497" s="178" t="s">
        <v>3506</v>
      </c>
    </row>
    <row r="1498">
      <c r="B1498" s="178" t="s">
        <v>3507</v>
      </c>
      <c r="C1498" s="178" t="s">
        <v>3507</v>
      </c>
    </row>
    <row r="1499">
      <c r="B1499" s="178" t="s">
        <v>3508</v>
      </c>
      <c r="C1499" s="178" t="s">
        <v>3508</v>
      </c>
    </row>
    <row r="1500">
      <c r="B1500" s="178" t="s">
        <v>3509</v>
      </c>
      <c r="C1500" s="178" t="s">
        <v>3509</v>
      </c>
    </row>
    <row r="1501">
      <c r="B1501" s="178" t="s">
        <v>3510</v>
      </c>
      <c r="C1501" s="178" t="s">
        <v>3510</v>
      </c>
    </row>
    <row r="1502">
      <c r="B1502" s="178" t="s">
        <v>3511</v>
      </c>
      <c r="C1502" s="178" t="s">
        <v>3511</v>
      </c>
    </row>
    <row r="1503">
      <c r="B1503" s="178" t="s">
        <v>3512</v>
      </c>
      <c r="C1503" s="178" t="s">
        <v>3512</v>
      </c>
    </row>
    <row r="1504">
      <c r="B1504" s="178" t="s">
        <v>3513</v>
      </c>
      <c r="C1504" s="178" t="s">
        <v>3513</v>
      </c>
    </row>
    <row r="1505">
      <c r="B1505" s="178" t="s">
        <v>3514</v>
      </c>
      <c r="C1505" s="178" t="s">
        <v>3514</v>
      </c>
    </row>
    <row r="1506">
      <c r="B1506" s="178" t="s">
        <v>3515</v>
      </c>
      <c r="C1506" s="178" t="s">
        <v>3515</v>
      </c>
    </row>
    <row r="1507">
      <c r="B1507" s="178" t="s">
        <v>3516</v>
      </c>
      <c r="C1507" s="178" t="s">
        <v>3516</v>
      </c>
    </row>
    <row r="1508">
      <c r="B1508" s="178" t="s">
        <v>3517</v>
      </c>
      <c r="C1508" s="178" t="s">
        <v>3517</v>
      </c>
    </row>
    <row r="1509">
      <c r="B1509" s="178" t="s">
        <v>3518</v>
      </c>
      <c r="C1509" s="178" t="s">
        <v>3518</v>
      </c>
    </row>
    <row r="1510">
      <c r="B1510" s="178" t="s">
        <v>3519</v>
      </c>
      <c r="C1510" s="178" t="s">
        <v>3519</v>
      </c>
    </row>
    <row r="1511">
      <c r="B1511" s="178" t="s">
        <v>3520</v>
      </c>
      <c r="C1511" s="178" t="s">
        <v>3520</v>
      </c>
    </row>
    <row r="1512">
      <c r="B1512" s="178" t="s">
        <v>3521</v>
      </c>
      <c r="C1512" s="178" t="s">
        <v>3521</v>
      </c>
    </row>
    <row r="1513">
      <c r="B1513" s="178" t="s">
        <v>3522</v>
      </c>
      <c r="C1513" s="178" t="s">
        <v>3522</v>
      </c>
    </row>
    <row r="1514">
      <c r="B1514" s="178" t="s">
        <v>3523</v>
      </c>
      <c r="C1514" s="178" t="s">
        <v>3523</v>
      </c>
    </row>
    <row r="1515">
      <c r="B1515" s="178" t="s">
        <v>3524</v>
      </c>
      <c r="C1515" s="178" t="s">
        <v>3524</v>
      </c>
    </row>
    <row r="1516">
      <c r="B1516" s="178" t="s">
        <v>3525</v>
      </c>
      <c r="C1516" s="178" t="s">
        <v>3525</v>
      </c>
    </row>
    <row r="1517">
      <c r="B1517" s="178" t="s">
        <v>3526</v>
      </c>
      <c r="C1517" s="178" t="s">
        <v>3526</v>
      </c>
    </row>
    <row r="1518">
      <c r="B1518" s="178" t="s">
        <v>3527</v>
      </c>
      <c r="C1518" s="178" t="s">
        <v>3527</v>
      </c>
    </row>
    <row r="1519">
      <c r="B1519" s="178" t="s">
        <v>3528</v>
      </c>
      <c r="C1519" s="178" t="s">
        <v>3528</v>
      </c>
    </row>
    <row r="1520">
      <c r="B1520" s="178" t="s">
        <v>3529</v>
      </c>
      <c r="C1520" s="178" t="s">
        <v>3529</v>
      </c>
    </row>
    <row r="1521">
      <c r="B1521" s="178" t="s">
        <v>3530</v>
      </c>
      <c r="C1521" s="178" t="s">
        <v>3530</v>
      </c>
    </row>
    <row r="1522">
      <c r="B1522" s="178" t="s">
        <v>3531</v>
      </c>
      <c r="C1522" s="178" t="s">
        <v>3531</v>
      </c>
    </row>
    <row r="1523">
      <c r="B1523" s="178" t="s">
        <v>3532</v>
      </c>
      <c r="C1523" s="178" t="s">
        <v>3532</v>
      </c>
    </row>
    <row r="1524">
      <c r="B1524" s="178" t="s">
        <v>3533</v>
      </c>
      <c r="C1524" s="178" t="s">
        <v>3533</v>
      </c>
    </row>
    <row r="1525">
      <c r="B1525" s="178" t="s">
        <v>3534</v>
      </c>
      <c r="C1525" s="178" t="s">
        <v>3534</v>
      </c>
    </row>
    <row r="1526">
      <c r="B1526" s="178" t="s">
        <v>3535</v>
      </c>
      <c r="C1526" s="178" t="s">
        <v>3535</v>
      </c>
    </row>
    <row r="1527">
      <c r="B1527" s="178" t="s">
        <v>3536</v>
      </c>
      <c r="C1527" s="178" t="s">
        <v>3536</v>
      </c>
    </row>
    <row r="1528">
      <c r="B1528" s="178" t="s">
        <v>3537</v>
      </c>
      <c r="C1528" s="178" t="s">
        <v>3537</v>
      </c>
    </row>
    <row r="1529">
      <c r="B1529" s="178" t="s">
        <v>3538</v>
      </c>
      <c r="C1529" s="178" t="s">
        <v>3538</v>
      </c>
    </row>
    <row r="1530">
      <c r="B1530" s="178" t="s">
        <v>3539</v>
      </c>
      <c r="C1530" s="178" t="s">
        <v>3539</v>
      </c>
    </row>
    <row r="1531">
      <c r="B1531" s="178" t="s">
        <v>3540</v>
      </c>
      <c r="C1531" s="178" t="s">
        <v>3540</v>
      </c>
    </row>
    <row r="1532">
      <c r="B1532" s="178" t="s">
        <v>3541</v>
      </c>
      <c r="C1532" s="178" t="s">
        <v>3541</v>
      </c>
    </row>
    <row r="1533">
      <c r="B1533" s="178" t="s">
        <v>3542</v>
      </c>
      <c r="C1533" s="178" t="s">
        <v>3542</v>
      </c>
    </row>
    <row r="1534">
      <c r="B1534" s="178" t="s">
        <v>3543</v>
      </c>
      <c r="C1534" s="178" t="s">
        <v>3543</v>
      </c>
    </row>
    <row r="1535">
      <c r="B1535" s="178" t="s">
        <v>3544</v>
      </c>
      <c r="C1535" s="178" t="s">
        <v>3544</v>
      </c>
    </row>
    <row r="1536">
      <c r="B1536" s="178" t="s">
        <v>3545</v>
      </c>
      <c r="C1536" s="178" t="s">
        <v>3545</v>
      </c>
    </row>
    <row r="1537">
      <c r="B1537" s="178" t="s">
        <v>3546</v>
      </c>
      <c r="C1537" s="178" t="s">
        <v>3546</v>
      </c>
    </row>
    <row r="1538">
      <c r="B1538" s="178" t="s">
        <v>3547</v>
      </c>
      <c r="C1538" s="178" t="s">
        <v>3547</v>
      </c>
    </row>
    <row r="1539">
      <c r="B1539" s="178" t="s">
        <v>3548</v>
      </c>
      <c r="C1539" s="178" t="s">
        <v>3548</v>
      </c>
    </row>
    <row r="1540">
      <c r="B1540" s="178" t="s">
        <v>3549</v>
      </c>
      <c r="C1540" s="178" t="s">
        <v>3549</v>
      </c>
    </row>
    <row r="1541">
      <c r="B1541" s="178" t="s">
        <v>3550</v>
      </c>
      <c r="C1541" s="178" t="s">
        <v>3550</v>
      </c>
    </row>
    <row r="1542">
      <c r="B1542" s="178" t="s">
        <v>3551</v>
      </c>
      <c r="C1542" s="178" t="s">
        <v>3551</v>
      </c>
    </row>
    <row r="1543">
      <c r="B1543" s="178" t="s">
        <v>3552</v>
      </c>
      <c r="C1543" s="178" t="s">
        <v>3552</v>
      </c>
    </row>
    <row r="1544">
      <c r="B1544" s="178" t="s">
        <v>3553</v>
      </c>
      <c r="C1544" s="178" t="s">
        <v>3553</v>
      </c>
    </row>
    <row r="1545">
      <c r="B1545" s="178" t="s">
        <v>3554</v>
      </c>
      <c r="C1545" s="178" t="s">
        <v>3554</v>
      </c>
    </row>
    <row r="1546">
      <c r="B1546" s="178" t="s">
        <v>3555</v>
      </c>
      <c r="C1546" s="178" t="s">
        <v>3555</v>
      </c>
    </row>
    <row r="1547">
      <c r="B1547" s="178" t="s">
        <v>3556</v>
      </c>
      <c r="C1547" s="178" t="s">
        <v>3556</v>
      </c>
    </row>
    <row r="1548">
      <c r="B1548" s="178" t="s">
        <v>3557</v>
      </c>
      <c r="C1548" s="178" t="s">
        <v>3557</v>
      </c>
    </row>
    <row r="1549">
      <c r="B1549" s="178" t="s">
        <v>3558</v>
      </c>
      <c r="C1549" s="178" t="s">
        <v>3558</v>
      </c>
    </row>
    <row r="1550">
      <c r="B1550" s="178" t="s">
        <v>3559</v>
      </c>
      <c r="C1550" s="178" t="s">
        <v>3559</v>
      </c>
    </row>
    <row r="1551">
      <c r="B1551" s="178" t="s">
        <v>3560</v>
      </c>
      <c r="C1551" s="178" t="s">
        <v>3560</v>
      </c>
    </row>
    <row r="1552">
      <c r="B1552" s="178" t="s">
        <v>3561</v>
      </c>
      <c r="C1552" s="178" t="s">
        <v>3561</v>
      </c>
    </row>
    <row r="1553">
      <c r="B1553" s="178" t="s">
        <v>3562</v>
      </c>
      <c r="C1553" s="178" t="s">
        <v>3562</v>
      </c>
    </row>
    <row r="1554">
      <c r="B1554" s="178" t="s">
        <v>3563</v>
      </c>
      <c r="C1554" s="178" t="s">
        <v>3563</v>
      </c>
    </row>
    <row r="1555">
      <c r="B1555" s="178" t="s">
        <v>2966</v>
      </c>
      <c r="C1555" s="178" t="s">
        <v>2966</v>
      </c>
    </row>
    <row r="1556">
      <c r="B1556" s="178" t="s">
        <v>3564</v>
      </c>
      <c r="C1556" s="178" t="s">
        <v>3564</v>
      </c>
    </row>
    <row r="1557">
      <c r="B1557" s="178" t="s">
        <v>3565</v>
      </c>
      <c r="C1557" s="178" t="s">
        <v>3565</v>
      </c>
    </row>
    <row r="1558">
      <c r="B1558" s="178" t="s">
        <v>3566</v>
      </c>
      <c r="C1558" s="178" t="s">
        <v>3566</v>
      </c>
    </row>
    <row r="1559">
      <c r="B1559" s="178" t="s">
        <v>3567</v>
      </c>
      <c r="C1559" s="178" t="s">
        <v>3567</v>
      </c>
    </row>
    <row r="1560">
      <c r="B1560" s="178" t="s">
        <v>3568</v>
      </c>
      <c r="C1560" s="178" t="s">
        <v>3568</v>
      </c>
    </row>
    <row r="1561">
      <c r="B1561" s="178" t="s">
        <v>3569</v>
      </c>
      <c r="C1561" s="178" t="s">
        <v>3569</v>
      </c>
    </row>
    <row r="1562">
      <c r="B1562" s="178" t="s">
        <v>3570</v>
      </c>
      <c r="C1562" s="178" t="s">
        <v>3570</v>
      </c>
    </row>
    <row r="1563">
      <c r="B1563" s="178" t="s">
        <v>3571</v>
      </c>
      <c r="C1563" s="178" t="s">
        <v>3571</v>
      </c>
    </row>
    <row r="1564">
      <c r="B1564" s="178" t="s">
        <v>3572</v>
      </c>
      <c r="C1564" s="178" t="s">
        <v>3572</v>
      </c>
    </row>
    <row r="1565">
      <c r="B1565" s="178" t="s">
        <v>3573</v>
      </c>
      <c r="C1565" s="178" t="s">
        <v>3573</v>
      </c>
    </row>
    <row r="1566">
      <c r="B1566" s="178" t="s">
        <v>3574</v>
      </c>
      <c r="C1566" s="178" t="s">
        <v>3574</v>
      </c>
    </row>
    <row r="1567">
      <c r="B1567" s="178" t="s">
        <v>3575</v>
      </c>
      <c r="C1567" s="178" t="s">
        <v>3575</v>
      </c>
    </row>
    <row r="1568">
      <c r="B1568" s="178" t="s">
        <v>3576</v>
      </c>
      <c r="C1568" s="178" t="s">
        <v>3576</v>
      </c>
    </row>
    <row r="1569">
      <c r="B1569" s="178" t="s">
        <v>3577</v>
      </c>
      <c r="C1569" s="178" t="s">
        <v>3577</v>
      </c>
    </row>
    <row r="1570">
      <c r="B1570" s="178" t="s">
        <v>3578</v>
      </c>
      <c r="C1570" s="178" t="s">
        <v>3578</v>
      </c>
    </row>
    <row r="1571">
      <c r="B1571" s="178" t="s">
        <v>3579</v>
      </c>
      <c r="C1571" s="178" t="s">
        <v>3579</v>
      </c>
    </row>
    <row r="1572">
      <c r="B1572" s="178" t="s">
        <v>3580</v>
      </c>
      <c r="C1572" s="178" t="s">
        <v>3580</v>
      </c>
    </row>
    <row r="1573">
      <c r="B1573" s="178" t="s">
        <v>3581</v>
      </c>
      <c r="C1573" s="178" t="s">
        <v>3581</v>
      </c>
    </row>
    <row r="1574">
      <c r="B1574" s="178" t="s">
        <v>3583</v>
      </c>
      <c r="C1574" s="178" t="s">
        <v>3583</v>
      </c>
    </row>
    <row r="1575">
      <c r="B1575" s="178" t="s">
        <v>3585</v>
      </c>
      <c r="C1575" s="178" t="s">
        <v>3585</v>
      </c>
    </row>
    <row r="1576">
      <c r="B1576" s="178" t="s">
        <v>3586</v>
      </c>
      <c r="C1576" s="178" t="s">
        <v>3586</v>
      </c>
    </row>
    <row r="1577">
      <c r="B1577" s="178" t="s">
        <v>3587</v>
      </c>
      <c r="C1577" s="178" t="s">
        <v>3587</v>
      </c>
    </row>
    <row r="1578">
      <c r="B1578" s="178" t="s">
        <v>3588</v>
      </c>
      <c r="C1578" s="178" t="s">
        <v>3588</v>
      </c>
    </row>
    <row r="1579">
      <c r="B1579" s="178" t="s">
        <v>3589</v>
      </c>
      <c r="C1579" s="178" t="s">
        <v>3589</v>
      </c>
    </row>
    <row r="1580">
      <c r="B1580" s="178" t="s">
        <v>3590</v>
      </c>
      <c r="C1580" s="178" t="s">
        <v>3590</v>
      </c>
    </row>
    <row r="1581">
      <c r="B1581" s="178" t="s">
        <v>3591</v>
      </c>
      <c r="C1581" s="178" t="s">
        <v>3591</v>
      </c>
    </row>
    <row r="1582">
      <c r="B1582" s="178" t="s">
        <v>3592</v>
      </c>
      <c r="C1582" s="178" t="s">
        <v>3592</v>
      </c>
    </row>
    <row r="1583">
      <c r="B1583" s="178" t="s">
        <v>3593</v>
      </c>
      <c r="C1583" s="178" t="s">
        <v>3593</v>
      </c>
    </row>
    <row r="1584">
      <c r="B1584" s="178" t="s">
        <v>3594</v>
      </c>
      <c r="C1584" s="178" t="s">
        <v>3594</v>
      </c>
    </row>
    <row r="1585">
      <c r="B1585" s="178" t="s">
        <v>3597</v>
      </c>
      <c r="C1585" s="178" t="s">
        <v>3597</v>
      </c>
    </row>
    <row r="1586">
      <c r="B1586" s="178" t="s">
        <v>3598</v>
      </c>
      <c r="C1586" s="178" t="s">
        <v>3598</v>
      </c>
    </row>
    <row r="1587">
      <c r="B1587" s="178" t="s">
        <v>3599</v>
      </c>
      <c r="C1587" s="178" t="s">
        <v>3599</v>
      </c>
    </row>
    <row r="1588">
      <c r="B1588" s="178" t="s">
        <v>3600</v>
      </c>
      <c r="C1588" s="178" t="s">
        <v>3600</v>
      </c>
    </row>
    <row r="1589">
      <c r="B1589" s="178" t="s">
        <v>3601</v>
      </c>
      <c r="C1589" s="178" t="s">
        <v>3601</v>
      </c>
    </row>
    <row r="1590">
      <c r="B1590" s="178" t="s">
        <v>3602</v>
      </c>
      <c r="C1590" s="178" t="s">
        <v>3602</v>
      </c>
    </row>
    <row r="1591">
      <c r="B1591" s="178" t="s">
        <v>3603</v>
      </c>
      <c r="C1591" s="178" t="s">
        <v>3603</v>
      </c>
    </row>
    <row r="1592">
      <c r="B1592" s="178" t="s">
        <v>3604</v>
      </c>
      <c r="C1592" s="178" t="s">
        <v>3604</v>
      </c>
    </row>
    <row r="1593">
      <c r="B1593" s="178" t="s">
        <v>3605</v>
      </c>
      <c r="C1593" s="178" t="s">
        <v>3605</v>
      </c>
    </row>
    <row r="1594">
      <c r="B1594" s="178" t="s">
        <v>3608</v>
      </c>
      <c r="C1594" s="178" t="s">
        <v>3608</v>
      </c>
    </row>
    <row r="1595">
      <c r="B1595" s="178" t="s">
        <v>3609</v>
      </c>
      <c r="C1595" s="178" t="s">
        <v>3609</v>
      </c>
    </row>
    <row r="1596">
      <c r="B1596" s="178" t="s">
        <v>3610</v>
      </c>
      <c r="C1596" s="178" t="s">
        <v>3610</v>
      </c>
    </row>
    <row r="1597">
      <c r="B1597" s="178" t="s">
        <v>3611</v>
      </c>
      <c r="C1597" s="178" t="s">
        <v>3611</v>
      </c>
    </row>
    <row r="1598">
      <c r="B1598" s="178" t="s">
        <v>3612</v>
      </c>
      <c r="C1598" s="178" t="s">
        <v>3612</v>
      </c>
    </row>
    <row r="1599">
      <c r="B1599" s="178" t="s">
        <v>3613</v>
      </c>
      <c r="C1599" s="178" t="s">
        <v>3613</v>
      </c>
    </row>
    <row r="1600">
      <c r="B1600" s="178" t="s">
        <v>3614</v>
      </c>
      <c r="C1600" s="178" t="s">
        <v>3614</v>
      </c>
    </row>
    <row r="1601">
      <c r="B1601" s="178" t="s">
        <v>3615</v>
      </c>
      <c r="C1601" s="178" t="s">
        <v>3615</v>
      </c>
    </row>
    <row r="1602">
      <c r="B1602" s="178" t="s">
        <v>3616</v>
      </c>
      <c r="C1602" s="178" t="s">
        <v>3616</v>
      </c>
    </row>
    <row r="1603">
      <c r="B1603" s="178" t="s">
        <v>2966</v>
      </c>
      <c r="C1603" s="178" t="s">
        <v>2966</v>
      </c>
    </row>
    <row r="1604">
      <c r="B1604" s="178" t="s">
        <v>3617</v>
      </c>
      <c r="C1604" s="178" t="s">
        <v>3617</v>
      </c>
    </row>
    <row r="1605">
      <c r="B1605" s="178" t="s">
        <v>3618</v>
      </c>
      <c r="C1605" s="178" t="s">
        <v>3618</v>
      </c>
    </row>
    <row r="1606">
      <c r="B1606" s="178" t="s">
        <v>3619</v>
      </c>
      <c r="C1606" s="178" t="s">
        <v>3619</v>
      </c>
    </row>
    <row r="1607">
      <c r="B1607" s="178" t="s">
        <v>3620</v>
      </c>
      <c r="C1607" s="178" t="s">
        <v>3620</v>
      </c>
    </row>
    <row r="1608">
      <c r="B1608" s="178" t="s">
        <v>3621</v>
      </c>
      <c r="C1608" s="178" t="s">
        <v>3621</v>
      </c>
    </row>
    <row r="1609">
      <c r="B1609" s="178" t="s">
        <v>3622</v>
      </c>
      <c r="C1609" s="178" t="s">
        <v>3622</v>
      </c>
    </row>
    <row r="1610">
      <c r="B1610" s="178" t="s">
        <v>3623</v>
      </c>
      <c r="C1610" s="178" t="s">
        <v>3623</v>
      </c>
    </row>
    <row r="1611">
      <c r="B1611" s="178" t="s">
        <v>3624</v>
      </c>
      <c r="C1611" s="178" t="s">
        <v>3624</v>
      </c>
    </row>
    <row r="1612">
      <c r="B1612" s="178" t="s">
        <v>3625</v>
      </c>
      <c r="C1612" s="178" t="s">
        <v>3625</v>
      </c>
    </row>
    <row r="1613">
      <c r="B1613" s="178" t="s">
        <v>3626</v>
      </c>
      <c r="C1613" s="178" t="s">
        <v>3626</v>
      </c>
    </row>
    <row r="1614">
      <c r="B1614" s="178" t="s">
        <v>3627</v>
      </c>
      <c r="C1614" s="178" t="s">
        <v>3627</v>
      </c>
    </row>
    <row r="1615">
      <c r="B1615" s="178" t="s">
        <v>3628</v>
      </c>
      <c r="C1615" s="178" t="s">
        <v>3628</v>
      </c>
    </row>
    <row r="1616">
      <c r="B1616" s="178" t="s">
        <v>3629</v>
      </c>
      <c r="C1616" s="178" t="s">
        <v>3629</v>
      </c>
    </row>
    <row r="1617">
      <c r="B1617" s="178" t="s">
        <v>3630</v>
      </c>
      <c r="C1617" s="178" t="s">
        <v>3630</v>
      </c>
    </row>
    <row r="1618">
      <c r="B1618" s="178" t="s">
        <v>3632</v>
      </c>
      <c r="C1618" s="178" t="s">
        <v>3632</v>
      </c>
    </row>
    <row r="1619">
      <c r="B1619" s="178" t="s">
        <v>3634</v>
      </c>
      <c r="C1619" s="178" t="s">
        <v>3634</v>
      </c>
    </row>
    <row r="1620">
      <c r="B1620" s="178" t="s">
        <v>3635</v>
      </c>
      <c r="C1620" s="178" t="s">
        <v>3635</v>
      </c>
    </row>
    <row r="1621">
      <c r="B1621" s="178" t="s">
        <v>3636</v>
      </c>
      <c r="C1621" s="178" t="s">
        <v>3636</v>
      </c>
    </row>
    <row r="1622">
      <c r="B1622" s="178" t="s">
        <v>3637</v>
      </c>
      <c r="C1622" s="178" t="s">
        <v>3637</v>
      </c>
    </row>
    <row r="1623">
      <c r="B1623" s="178" t="s">
        <v>3638</v>
      </c>
      <c r="C1623" s="178" t="s">
        <v>3638</v>
      </c>
    </row>
    <row r="1624">
      <c r="B1624" s="178" t="s">
        <v>3639</v>
      </c>
      <c r="C1624" s="178" t="s">
        <v>3639</v>
      </c>
    </row>
    <row r="1625">
      <c r="B1625" s="178" t="s">
        <v>3640</v>
      </c>
      <c r="C1625" s="178" t="s">
        <v>3640</v>
      </c>
    </row>
    <row r="1626">
      <c r="B1626" s="178" t="s">
        <v>3641</v>
      </c>
      <c r="C1626" s="178" t="s">
        <v>3641</v>
      </c>
    </row>
    <row r="1627">
      <c r="B1627" s="178" t="s">
        <v>3642</v>
      </c>
      <c r="C1627" s="178" t="s">
        <v>3642</v>
      </c>
    </row>
    <row r="1628">
      <c r="B1628" s="178" t="s">
        <v>3644</v>
      </c>
      <c r="C1628" s="178" t="s">
        <v>3644</v>
      </c>
    </row>
    <row r="1629">
      <c r="B1629" s="178" t="s">
        <v>3645</v>
      </c>
      <c r="C1629" s="178" t="s">
        <v>3645</v>
      </c>
    </row>
    <row r="1630">
      <c r="B1630" s="178" t="s">
        <v>3646</v>
      </c>
      <c r="C1630" s="178" t="s">
        <v>3646</v>
      </c>
    </row>
    <row r="1631">
      <c r="B1631" s="178" t="s">
        <v>3647</v>
      </c>
      <c r="C1631" s="178" t="s">
        <v>3647</v>
      </c>
    </row>
    <row r="1632">
      <c r="B1632" s="178" t="s">
        <v>3648</v>
      </c>
      <c r="C1632" s="178" t="s">
        <v>3648</v>
      </c>
    </row>
    <row r="1633">
      <c r="B1633" s="178" t="s">
        <v>3649</v>
      </c>
      <c r="C1633" s="178" t="s">
        <v>3649</v>
      </c>
    </row>
    <row r="1634">
      <c r="B1634" s="178" t="s">
        <v>3650</v>
      </c>
      <c r="C1634" s="178" t="s">
        <v>3650</v>
      </c>
    </row>
    <row r="1635">
      <c r="B1635" s="178" t="s">
        <v>3651</v>
      </c>
      <c r="C1635" s="178" t="s">
        <v>3651</v>
      </c>
    </row>
    <row r="1636">
      <c r="B1636" s="178" t="s">
        <v>3652</v>
      </c>
      <c r="C1636" s="178" t="s">
        <v>3652</v>
      </c>
    </row>
    <row r="1637">
      <c r="B1637" s="178" t="s">
        <v>3653</v>
      </c>
      <c r="C1637" s="178" t="s">
        <v>3653</v>
      </c>
    </row>
    <row r="1638">
      <c r="B1638" s="178" t="s">
        <v>3654</v>
      </c>
      <c r="C1638" s="178" t="s">
        <v>3654</v>
      </c>
    </row>
    <row r="1639">
      <c r="B1639" s="178" t="s">
        <v>3655</v>
      </c>
      <c r="C1639" s="178" t="s">
        <v>3655</v>
      </c>
    </row>
    <row r="1640">
      <c r="B1640" s="178" t="s">
        <v>3656</v>
      </c>
      <c r="C1640" s="178" t="s">
        <v>3656</v>
      </c>
    </row>
    <row r="1641">
      <c r="B1641" s="178" t="s">
        <v>3657</v>
      </c>
      <c r="C1641" s="178" t="s">
        <v>3657</v>
      </c>
    </row>
    <row r="1642">
      <c r="B1642" s="178" t="s">
        <v>3658</v>
      </c>
      <c r="C1642" s="178" t="s">
        <v>3658</v>
      </c>
    </row>
    <row r="1643">
      <c r="B1643" s="178" t="s">
        <v>3659</v>
      </c>
      <c r="C1643" s="178" t="s">
        <v>3659</v>
      </c>
    </row>
    <row r="1644">
      <c r="B1644" s="178" t="s">
        <v>3660</v>
      </c>
      <c r="C1644" s="178" t="s">
        <v>3660</v>
      </c>
    </row>
    <row r="1645">
      <c r="B1645" s="178" t="s">
        <v>3661</v>
      </c>
      <c r="C1645" s="178" t="s">
        <v>3661</v>
      </c>
    </row>
    <row r="1646">
      <c r="B1646" s="178" t="s">
        <v>3662</v>
      </c>
      <c r="C1646" s="178" t="s">
        <v>3662</v>
      </c>
    </row>
    <row r="1647">
      <c r="B1647" s="178" t="s">
        <v>3663</v>
      </c>
      <c r="C1647" s="178" t="s">
        <v>3663</v>
      </c>
    </row>
    <row r="1648">
      <c r="B1648" s="178" t="s">
        <v>3664</v>
      </c>
      <c r="C1648" s="178" t="s">
        <v>3664</v>
      </c>
    </row>
    <row r="1649">
      <c r="B1649" s="178" t="s">
        <v>3665</v>
      </c>
      <c r="C1649" s="178" t="s">
        <v>3665</v>
      </c>
    </row>
    <row r="1650">
      <c r="B1650" s="178" t="s">
        <v>3666</v>
      </c>
      <c r="C1650" s="178" t="s">
        <v>3666</v>
      </c>
    </row>
    <row r="1651">
      <c r="B1651" s="178" t="s">
        <v>3667</v>
      </c>
      <c r="C1651" s="178" t="s">
        <v>3667</v>
      </c>
    </row>
    <row r="1652">
      <c r="B1652" s="178" t="s">
        <v>3668</v>
      </c>
      <c r="C1652" s="178" t="s">
        <v>3668</v>
      </c>
    </row>
    <row r="1653">
      <c r="B1653" s="178" t="s">
        <v>3669</v>
      </c>
      <c r="C1653" s="178" t="s">
        <v>3669</v>
      </c>
    </row>
    <row r="1654">
      <c r="B1654" s="178" t="s">
        <v>3670</v>
      </c>
      <c r="C1654" s="178" t="s">
        <v>3670</v>
      </c>
    </row>
    <row r="1655">
      <c r="B1655" s="178" t="s">
        <v>3671</v>
      </c>
      <c r="C1655" s="178" t="s">
        <v>3671</v>
      </c>
    </row>
    <row r="1656">
      <c r="B1656" s="178" t="s">
        <v>3673</v>
      </c>
      <c r="C1656" s="178" t="s">
        <v>3673</v>
      </c>
    </row>
    <row r="1657">
      <c r="B1657" s="178" t="s">
        <v>3674</v>
      </c>
      <c r="C1657" s="178" t="s">
        <v>3674</v>
      </c>
    </row>
    <row r="1658">
      <c r="B1658" s="178" t="s">
        <v>3675</v>
      </c>
      <c r="C1658" s="178" t="s">
        <v>3675</v>
      </c>
    </row>
    <row r="1659">
      <c r="B1659" s="178" t="s">
        <v>3676</v>
      </c>
      <c r="C1659" s="178" t="s">
        <v>3676</v>
      </c>
    </row>
    <row r="1660">
      <c r="B1660" s="178" t="s">
        <v>3677</v>
      </c>
      <c r="C1660" s="178" t="s">
        <v>3677</v>
      </c>
    </row>
    <row r="1661">
      <c r="B1661" s="178" t="s">
        <v>3678</v>
      </c>
      <c r="C1661" s="178" t="s">
        <v>3678</v>
      </c>
    </row>
    <row r="1662">
      <c r="B1662" s="178" t="s">
        <v>3679</v>
      </c>
      <c r="C1662" s="178" t="s">
        <v>3679</v>
      </c>
    </row>
    <row r="1663">
      <c r="B1663" s="178" t="s">
        <v>3680</v>
      </c>
      <c r="C1663" s="178" t="s">
        <v>3680</v>
      </c>
    </row>
    <row r="1664">
      <c r="B1664" s="178" t="s">
        <v>3681</v>
      </c>
      <c r="C1664" s="178" t="s">
        <v>3681</v>
      </c>
    </row>
    <row r="1665">
      <c r="B1665" s="178" t="s">
        <v>3682</v>
      </c>
      <c r="C1665" s="178" t="s">
        <v>3682</v>
      </c>
    </row>
    <row r="1666">
      <c r="B1666" s="178" t="s">
        <v>3683</v>
      </c>
      <c r="C1666" s="178" t="s">
        <v>3683</v>
      </c>
    </row>
    <row r="1667">
      <c r="B1667" s="178" t="s">
        <v>3684</v>
      </c>
      <c r="C1667" s="178" t="s">
        <v>3684</v>
      </c>
    </row>
    <row r="1668">
      <c r="B1668" s="178" t="s">
        <v>3685</v>
      </c>
      <c r="C1668" s="178" t="s">
        <v>3685</v>
      </c>
    </row>
    <row r="1669">
      <c r="B1669" s="178" t="s">
        <v>3686</v>
      </c>
      <c r="C1669" s="178" t="s">
        <v>3686</v>
      </c>
    </row>
    <row r="1670">
      <c r="B1670" s="178" t="s">
        <v>3687</v>
      </c>
      <c r="C1670" s="178" t="s">
        <v>3687</v>
      </c>
    </row>
    <row r="1671">
      <c r="B1671" s="178" t="s">
        <v>3688</v>
      </c>
      <c r="C1671" s="178" t="s">
        <v>3688</v>
      </c>
    </row>
    <row r="1672">
      <c r="B1672" s="178" t="s">
        <v>3689</v>
      </c>
      <c r="C1672" s="178" t="s">
        <v>3689</v>
      </c>
    </row>
    <row r="1673">
      <c r="B1673" s="178" t="s">
        <v>3690</v>
      </c>
      <c r="C1673" s="178" t="s">
        <v>3690</v>
      </c>
    </row>
    <row r="1674">
      <c r="B1674" s="178" t="s">
        <v>2966</v>
      </c>
      <c r="C1674" s="178" t="s">
        <v>2966</v>
      </c>
    </row>
    <row r="1675">
      <c r="B1675" s="178" t="s">
        <v>3691</v>
      </c>
      <c r="C1675" s="178" t="s">
        <v>3691</v>
      </c>
    </row>
    <row r="1676">
      <c r="B1676" s="178" t="s">
        <v>3692</v>
      </c>
      <c r="C1676" s="178" t="s">
        <v>3692</v>
      </c>
    </row>
    <row r="1677">
      <c r="B1677" s="178" t="s">
        <v>3693</v>
      </c>
      <c r="C1677" s="178" t="s">
        <v>3693</v>
      </c>
    </row>
    <row r="1678">
      <c r="B1678" s="178" t="s">
        <v>3694</v>
      </c>
      <c r="C1678" s="178" t="s">
        <v>3694</v>
      </c>
    </row>
    <row r="1679">
      <c r="B1679" s="178" t="s">
        <v>3695</v>
      </c>
      <c r="C1679" s="178" t="s">
        <v>3695</v>
      </c>
    </row>
    <row r="1680">
      <c r="B1680" s="178" t="s">
        <v>3696</v>
      </c>
      <c r="C1680" s="178" t="s">
        <v>3696</v>
      </c>
    </row>
    <row r="1681">
      <c r="B1681" s="178" t="s">
        <v>3697</v>
      </c>
      <c r="C1681" s="178" t="s">
        <v>3697</v>
      </c>
    </row>
    <row r="1682">
      <c r="B1682" s="178" t="s">
        <v>3698</v>
      </c>
      <c r="C1682" s="178" t="s">
        <v>3698</v>
      </c>
    </row>
    <row r="1683">
      <c r="B1683" s="178" t="s">
        <v>3699</v>
      </c>
      <c r="C1683" s="178" t="s">
        <v>3699</v>
      </c>
    </row>
    <row r="1684">
      <c r="B1684" s="178" t="s">
        <v>3700</v>
      </c>
      <c r="C1684" s="178" t="s">
        <v>3700</v>
      </c>
    </row>
    <row r="1685">
      <c r="B1685" s="178" t="s">
        <v>3701</v>
      </c>
      <c r="C1685" s="178" t="s">
        <v>3701</v>
      </c>
    </row>
    <row r="1686">
      <c r="B1686" s="178" t="s">
        <v>3702</v>
      </c>
      <c r="C1686" s="178" t="s">
        <v>3702</v>
      </c>
    </row>
    <row r="1687">
      <c r="B1687" s="178" t="s">
        <v>3703</v>
      </c>
      <c r="C1687" s="178" t="s">
        <v>3703</v>
      </c>
    </row>
    <row r="1688">
      <c r="B1688" s="178" t="s">
        <v>3704</v>
      </c>
      <c r="C1688" s="178" t="s">
        <v>3704</v>
      </c>
    </row>
    <row r="1689">
      <c r="B1689" s="178" t="s">
        <v>3705</v>
      </c>
      <c r="C1689" s="178" t="s">
        <v>3705</v>
      </c>
    </row>
    <row r="1690">
      <c r="B1690" s="178" t="s">
        <v>3706</v>
      </c>
      <c r="C1690" s="178" t="s">
        <v>3706</v>
      </c>
    </row>
    <row r="1691">
      <c r="B1691" s="178" t="s">
        <v>3707</v>
      </c>
      <c r="C1691" s="178" t="s">
        <v>3707</v>
      </c>
    </row>
    <row r="1692">
      <c r="B1692" s="178" t="s">
        <v>3708</v>
      </c>
      <c r="C1692" s="178" t="s">
        <v>3708</v>
      </c>
    </row>
    <row r="1693">
      <c r="B1693" s="178" t="s">
        <v>3709</v>
      </c>
      <c r="C1693" s="178" t="s">
        <v>3709</v>
      </c>
    </row>
    <row r="1694">
      <c r="B1694" s="178" t="s">
        <v>3710</v>
      </c>
      <c r="C1694" s="178" t="s">
        <v>3710</v>
      </c>
    </row>
    <row r="1695">
      <c r="B1695" s="178" t="s">
        <v>3711</v>
      </c>
      <c r="C1695" s="178" t="s">
        <v>3711</v>
      </c>
    </row>
    <row r="1696">
      <c r="B1696" s="178" t="s">
        <v>3712</v>
      </c>
      <c r="C1696" s="178" t="s">
        <v>3712</v>
      </c>
    </row>
    <row r="1697">
      <c r="B1697" s="178" t="s">
        <v>3713</v>
      </c>
      <c r="C1697" s="178" t="s">
        <v>3713</v>
      </c>
    </row>
    <row r="1698">
      <c r="B1698" s="178" t="s">
        <v>3714</v>
      </c>
      <c r="C1698" s="178" t="s">
        <v>3714</v>
      </c>
    </row>
    <row r="1699">
      <c r="B1699" s="178" t="s">
        <v>3715</v>
      </c>
      <c r="C1699" s="178" t="s">
        <v>3715</v>
      </c>
    </row>
    <row r="1700">
      <c r="B1700" s="178" t="s">
        <v>3716</v>
      </c>
      <c r="C1700" s="178" t="s">
        <v>3716</v>
      </c>
    </row>
    <row r="1701">
      <c r="B1701" s="178" t="s">
        <v>3717</v>
      </c>
      <c r="C1701" s="178" t="s">
        <v>3717</v>
      </c>
    </row>
    <row r="1702">
      <c r="B1702" s="178" t="s">
        <v>3718</v>
      </c>
      <c r="C1702" s="178" t="s">
        <v>3718</v>
      </c>
    </row>
    <row r="1703">
      <c r="B1703" s="178" t="s">
        <v>3719</v>
      </c>
      <c r="C1703" s="178" t="s">
        <v>3719</v>
      </c>
    </row>
    <row r="1704">
      <c r="B1704" s="178" t="s">
        <v>3720</v>
      </c>
      <c r="C1704" s="178" t="s">
        <v>3720</v>
      </c>
    </row>
    <row r="1705">
      <c r="B1705" s="178" t="s">
        <v>3721</v>
      </c>
      <c r="C1705" s="178" t="s">
        <v>3721</v>
      </c>
    </row>
    <row r="1706">
      <c r="B1706" s="178" t="s">
        <v>3722</v>
      </c>
      <c r="C1706" s="178" t="s">
        <v>3722</v>
      </c>
    </row>
    <row r="1707">
      <c r="B1707" s="178" t="s">
        <v>3723</v>
      </c>
      <c r="C1707" s="178" t="s">
        <v>3723</v>
      </c>
    </row>
    <row r="1708">
      <c r="B1708" s="178" t="s">
        <v>3724</v>
      </c>
      <c r="C1708" s="178" t="s">
        <v>3724</v>
      </c>
    </row>
    <row r="1709">
      <c r="B1709" s="178" t="s">
        <v>3725</v>
      </c>
      <c r="C1709" s="178" t="s">
        <v>3725</v>
      </c>
    </row>
    <row r="1710">
      <c r="B1710" s="178" t="s">
        <v>3726</v>
      </c>
      <c r="C1710" s="178" t="s">
        <v>3726</v>
      </c>
    </row>
    <row r="1711">
      <c r="B1711" s="178" t="s">
        <v>3727</v>
      </c>
      <c r="C1711" s="178" t="s">
        <v>3727</v>
      </c>
    </row>
    <row r="1712">
      <c r="B1712" s="178" t="s">
        <v>3728</v>
      </c>
      <c r="C1712" s="178" t="s">
        <v>3728</v>
      </c>
    </row>
    <row r="1713">
      <c r="B1713" s="178" t="s">
        <v>3729</v>
      </c>
      <c r="C1713" s="178" t="s">
        <v>3729</v>
      </c>
    </row>
    <row r="1714">
      <c r="B1714" s="178" t="s">
        <v>3730</v>
      </c>
      <c r="C1714" s="178" t="s">
        <v>3730</v>
      </c>
    </row>
    <row r="1715">
      <c r="B1715" s="178" t="s">
        <v>3731</v>
      </c>
      <c r="C1715" s="178" t="s">
        <v>3731</v>
      </c>
    </row>
    <row r="1716">
      <c r="B1716" s="178" t="s">
        <v>3732</v>
      </c>
      <c r="C1716" s="178" t="s">
        <v>3732</v>
      </c>
    </row>
    <row r="1717">
      <c r="B1717" s="178" t="s">
        <v>3733</v>
      </c>
      <c r="C1717" s="178" t="s">
        <v>3733</v>
      </c>
    </row>
    <row r="1718">
      <c r="B1718" s="178" t="s">
        <v>3734</v>
      </c>
      <c r="C1718" s="178" t="s">
        <v>3734</v>
      </c>
    </row>
    <row r="1719">
      <c r="B1719" s="178" t="s">
        <v>3735</v>
      </c>
      <c r="C1719" s="178" t="s">
        <v>3735</v>
      </c>
    </row>
    <row r="1720">
      <c r="B1720" s="178" t="s">
        <v>3736</v>
      </c>
      <c r="C1720" s="178" t="s">
        <v>3736</v>
      </c>
    </row>
    <row r="1721">
      <c r="B1721" s="178" t="s">
        <v>3737</v>
      </c>
      <c r="C1721" s="178" t="s">
        <v>3737</v>
      </c>
    </row>
    <row r="1722">
      <c r="B1722" s="178" t="s">
        <v>3738</v>
      </c>
      <c r="C1722" s="178" t="s">
        <v>3738</v>
      </c>
    </row>
    <row r="1723">
      <c r="B1723" s="178" t="s">
        <v>3739</v>
      </c>
      <c r="C1723" s="178" t="s">
        <v>3739</v>
      </c>
    </row>
    <row r="1724">
      <c r="B1724" s="178" t="s">
        <v>3740</v>
      </c>
      <c r="C1724" s="178" t="s">
        <v>3740</v>
      </c>
    </row>
    <row r="1725">
      <c r="B1725" s="178" t="s">
        <v>2966</v>
      </c>
      <c r="C1725" s="178" t="s">
        <v>2966</v>
      </c>
    </row>
    <row r="1726">
      <c r="B1726" s="178" t="s">
        <v>3741</v>
      </c>
      <c r="C1726" s="178" t="s">
        <v>3741</v>
      </c>
    </row>
    <row r="1727">
      <c r="B1727" s="178" t="s">
        <v>3744</v>
      </c>
      <c r="C1727" s="178" t="s">
        <v>3744</v>
      </c>
    </row>
    <row r="1728">
      <c r="B1728" s="178" t="s">
        <v>3745</v>
      </c>
      <c r="C1728" s="178" t="s">
        <v>3745</v>
      </c>
    </row>
    <row r="1729">
      <c r="B1729" s="178" t="s">
        <v>3746</v>
      </c>
      <c r="C1729" s="178" t="s">
        <v>3746</v>
      </c>
    </row>
    <row r="1730">
      <c r="B1730" s="178" t="s">
        <v>3747</v>
      </c>
      <c r="C1730" s="178" t="s">
        <v>3747</v>
      </c>
    </row>
    <row r="1731">
      <c r="B1731" s="178" t="s">
        <v>3748</v>
      </c>
      <c r="C1731" s="178" t="s">
        <v>3748</v>
      </c>
    </row>
    <row r="1732">
      <c r="B1732" s="178" t="s">
        <v>3749</v>
      </c>
      <c r="C1732" s="178" t="s">
        <v>3749</v>
      </c>
    </row>
    <row r="1733">
      <c r="B1733" s="178" t="s">
        <v>3750</v>
      </c>
      <c r="C1733" s="178" t="s">
        <v>3750</v>
      </c>
    </row>
    <row r="1734">
      <c r="B1734" s="178" t="s">
        <v>3751</v>
      </c>
      <c r="C1734" s="178" t="s">
        <v>3751</v>
      </c>
    </row>
    <row r="1735">
      <c r="B1735" s="178" t="s">
        <v>3752</v>
      </c>
      <c r="C1735" s="178" t="s">
        <v>3752</v>
      </c>
    </row>
    <row r="1736">
      <c r="B1736" s="178" t="s">
        <v>3753</v>
      </c>
      <c r="C1736" s="178" t="s">
        <v>3753</v>
      </c>
    </row>
    <row r="1737">
      <c r="B1737" s="178" t="s">
        <v>3754</v>
      </c>
      <c r="C1737" s="178" t="s">
        <v>3754</v>
      </c>
    </row>
    <row r="1738">
      <c r="B1738" s="178" t="s">
        <v>3755</v>
      </c>
      <c r="C1738" s="178" t="s">
        <v>3755</v>
      </c>
    </row>
    <row r="1739">
      <c r="B1739" s="178" t="s">
        <v>3756</v>
      </c>
      <c r="C1739" s="178" t="s">
        <v>3756</v>
      </c>
    </row>
    <row r="1740">
      <c r="B1740" s="178" t="s">
        <v>3757</v>
      </c>
      <c r="C1740" s="178" t="s">
        <v>3757</v>
      </c>
    </row>
    <row r="1741">
      <c r="B1741" s="178" t="s">
        <v>3758</v>
      </c>
      <c r="C1741" s="178" t="s">
        <v>3758</v>
      </c>
    </row>
    <row r="1742">
      <c r="B1742" s="178" t="s">
        <v>3759</v>
      </c>
      <c r="C1742" s="178" t="s">
        <v>3759</v>
      </c>
    </row>
    <row r="1743">
      <c r="B1743" s="178" t="s">
        <v>3760</v>
      </c>
      <c r="C1743" s="178" t="s">
        <v>3760</v>
      </c>
    </row>
    <row r="1744">
      <c r="B1744" s="178" t="s">
        <v>3761</v>
      </c>
      <c r="C1744" s="178" t="s">
        <v>3761</v>
      </c>
    </row>
    <row r="1745">
      <c r="B1745" s="178" t="s">
        <v>3762</v>
      </c>
      <c r="C1745" s="178" t="s">
        <v>3762</v>
      </c>
    </row>
    <row r="1746">
      <c r="B1746" s="178" t="s">
        <v>3763</v>
      </c>
      <c r="C1746" s="178" t="s">
        <v>3763</v>
      </c>
    </row>
    <row r="1747">
      <c r="B1747" s="178" t="s">
        <v>3764</v>
      </c>
      <c r="C1747" s="178" t="s">
        <v>3764</v>
      </c>
    </row>
    <row r="1748">
      <c r="B1748" s="178" t="s">
        <v>3765</v>
      </c>
      <c r="C1748" s="178" t="s">
        <v>3765</v>
      </c>
    </row>
    <row r="1749">
      <c r="B1749" s="178" t="s">
        <v>3766</v>
      </c>
      <c r="C1749" s="178" t="s">
        <v>3766</v>
      </c>
    </row>
    <row r="1750">
      <c r="B1750" s="178" t="s">
        <v>3767</v>
      </c>
      <c r="C1750" s="178" t="s">
        <v>3767</v>
      </c>
    </row>
    <row r="1751">
      <c r="B1751" s="178" t="s">
        <v>3768</v>
      </c>
      <c r="C1751" s="178" t="s">
        <v>3768</v>
      </c>
    </row>
    <row r="1752">
      <c r="B1752" s="178" t="s">
        <v>3769</v>
      </c>
      <c r="C1752" s="178" t="s">
        <v>3769</v>
      </c>
    </row>
    <row r="1753">
      <c r="B1753" s="178" t="s">
        <v>3770</v>
      </c>
      <c r="C1753" s="178" t="s">
        <v>3770</v>
      </c>
    </row>
    <row r="1754">
      <c r="B1754" s="178" t="s">
        <v>3771</v>
      </c>
      <c r="C1754" s="178" t="s">
        <v>3771</v>
      </c>
    </row>
    <row r="1755">
      <c r="B1755" s="178" t="s">
        <v>3772</v>
      </c>
      <c r="C1755" s="178" t="s">
        <v>3772</v>
      </c>
    </row>
    <row r="1756">
      <c r="B1756" s="178" t="s">
        <v>3773</v>
      </c>
      <c r="C1756" s="178" t="s">
        <v>3773</v>
      </c>
    </row>
    <row r="1757">
      <c r="B1757" s="178" t="s">
        <v>3774</v>
      </c>
      <c r="C1757" s="178" t="s">
        <v>3774</v>
      </c>
    </row>
    <row r="1758">
      <c r="B1758" s="178" t="s">
        <v>3775</v>
      </c>
      <c r="C1758" s="178" t="s">
        <v>3775</v>
      </c>
    </row>
    <row r="1759">
      <c r="B1759" s="178" t="s">
        <v>3776</v>
      </c>
      <c r="C1759" s="178" t="s">
        <v>3776</v>
      </c>
    </row>
    <row r="1760">
      <c r="B1760" s="178" t="s">
        <v>3777</v>
      </c>
      <c r="C1760" s="178" t="s">
        <v>3777</v>
      </c>
    </row>
    <row r="1761">
      <c r="B1761" s="178" t="s">
        <v>3778</v>
      </c>
      <c r="C1761" s="178" t="s">
        <v>3778</v>
      </c>
    </row>
    <row r="1762">
      <c r="B1762" s="178" t="s">
        <v>3779</v>
      </c>
      <c r="C1762" s="178" t="s">
        <v>3779</v>
      </c>
    </row>
    <row r="1763">
      <c r="B1763" s="178" t="s">
        <v>3780</v>
      </c>
      <c r="C1763" s="178" t="s">
        <v>3780</v>
      </c>
    </row>
    <row r="1764">
      <c r="B1764" s="178" t="s">
        <v>3781</v>
      </c>
      <c r="C1764" s="178" t="s">
        <v>3781</v>
      </c>
    </row>
    <row r="1765">
      <c r="B1765" s="178" t="s">
        <v>3782</v>
      </c>
      <c r="C1765" s="178" t="s">
        <v>3782</v>
      </c>
    </row>
    <row r="1766">
      <c r="B1766" s="178" t="s">
        <v>3783</v>
      </c>
      <c r="C1766" s="178" t="s">
        <v>3783</v>
      </c>
    </row>
    <row r="1767">
      <c r="B1767" s="178" t="s">
        <v>3784</v>
      </c>
      <c r="C1767" s="178" t="s">
        <v>3784</v>
      </c>
    </row>
    <row r="1768">
      <c r="B1768" s="178" t="s">
        <v>3785</v>
      </c>
      <c r="C1768" s="178" t="s">
        <v>3785</v>
      </c>
    </row>
    <row r="1769">
      <c r="B1769" s="178" t="s">
        <v>3786</v>
      </c>
      <c r="C1769" s="178" t="s">
        <v>3786</v>
      </c>
    </row>
    <row r="1770">
      <c r="B1770" s="178" t="s">
        <v>3787</v>
      </c>
      <c r="C1770" s="178" t="s">
        <v>3787</v>
      </c>
    </row>
    <row r="1771">
      <c r="B1771" s="178" t="s">
        <v>3788</v>
      </c>
      <c r="C1771" s="178" t="s">
        <v>3788</v>
      </c>
    </row>
    <row r="1772">
      <c r="B1772" s="178" t="s">
        <v>3789</v>
      </c>
      <c r="C1772" s="178" t="s">
        <v>3789</v>
      </c>
    </row>
    <row r="1773">
      <c r="B1773" s="178" t="s">
        <v>3790</v>
      </c>
      <c r="C1773" s="178" t="s">
        <v>3790</v>
      </c>
    </row>
    <row r="1774">
      <c r="B1774" s="178" t="s">
        <v>3791</v>
      </c>
      <c r="C1774" s="178" t="s">
        <v>3791</v>
      </c>
    </row>
    <row r="1775">
      <c r="B1775" s="178" t="s">
        <v>3792</v>
      </c>
      <c r="C1775" s="178" t="s">
        <v>3792</v>
      </c>
    </row>
    <row r="1776">
      <c r="B1776" s="178" t="s">
        <v>3793</v>
      </c>
      <c r="C1776" s="178" t="s">
        <v>3793</v>
      </c>
    </row>
    <row r="1777">
      <c r="B1777" s="178" t="s">
        <v>3794</v>
      </c>
      <c r="C1777" s="178" t="s">
        <v>3794</v>
      </c>
    </row>
    <row r="1778">
      <c r="B1778" s="178" t="s">
        <v>3795</v>
      </c>
      <c r="C1778" s="178" t="s">
        <v>3795</v>
      </c>
    </row>
    <row r="1779">
      <c r="B1779" s="178" t="s">
        <v>3796</v>
      </c>
      <c r="C1779" s="178" t="s">
        <v>3796</v>
      </c>
    </row>
    <row r="1780">
      <c r="B1780" s="178" t="s">
        <v>3797</v>
      </c>
      <c r="C1780" s="178" t="s">
        <v>3797</v>
      </c>
    </row>
    <row r="1781">
      <c r="B1781" s="178" t="s">
        <v>3798</v>
      </c>
      <c r="C1781" s="178" t="s">
        <v>3798</v>
      </c>
    </row>
    <row r="1782">
      <c r="B1782" s="178" t="s">
        <v>3799</v>
      </c>
      <c r="C1782" s="178" t="s">
        <v>3799</v>
      </c>
    </row>
    <row r="1783">
      <c r="B1783" s="178" t="s">
        <v>3800</v>
      </c>
      <c r="C1783" s="178" t="s">
        <v>3800</v>
      </c>
    </row>
    <row r="1784">
      <c r="B1784" s="178" t="s">
        <v>3801</v>
      </c>
      <c r="C1784" s="178" t="s">
        <v>3801</v>
      </c>
    </row>
    <row r="1785">
      <c r="B1785" s="178" t="s">
        <v>3802</v>
      </c>
      <c r="C1785" s="178" t="s">
        <v>3802</v>
      </c>
    </row>
    <row r="1786">
      <c r="B1786" s="178" t="s">
        <v>3803</v>
      </c>
      <c r="C1786" s="178" t="s">
        <v>3803</v>
      </c>
    </row>
    <row r="1787">
      <c r="B1787" s="178" t="s">
        <v>3804</v>
      </c>
      <c r="C1787" s="178" t="s">
        <v>3804</v>
      </c>
    </row>
    <row r="1788">
      <c r="B1788" s="178" t="s">
        <v>3805</v>
      </c>
      <c r="C1788" s="178" t="s">
        <v>3805</v>
      </c>
    </row>
    <row r="1789">
      <c r="B1789" s="178" t="s">
        <v>3806</v>
      </c>
      <c r="C1789" s="178" t="s">
        <v>3806</v>
      </c>
    </row>
    <row r="1790">
      <c r="B1790" s="178" t="s">
        <v>3807</v>
      </c>
      <c r="C1790" s="178" t="s">
        <v>3807</v>
      </c>
    </row>
    <row r="1791">
      <c r="B1791" s="178" t="s">
        <v>3808</v>
      </c>
      <c r="C1791" s="178" t="s">
        <v>3808</v>
      </c>
    </row>
    <row r="1792">
      <c r="B1792" s="178" t="s">
        <v>3809</v>
      </c>
      <c r="C1792" s="178" t="s">
        <v>3809</v>
      </c>
    </row>
    <row r="1793">
      <c r="B1793" s="178" t="s">
        <v>3810</v>
      </c>
      <c r="C1793" s="178" t="s">
        <v>3810</v>
      </c>
    </row>
    <row r="1794">
      <c r="B1794" s="178" t="s">
        <v>3811</v>
      </c>
      <c r="C1794" s="178" t="s">
        <v>3811</v>
      </c>
    </row>
    <row r="1795">
      <c r="B1795" s="178" t="s">
        <v>3812</v>
      </c>
      <c r="C1795" s="178" t="s">
        <v>3812</v>
      </c>
    </row>
    <row r="1796">
      <c r="B1796" s="178" t="s">
        <v>3813</v>
      </c>
      <c r="C1796" s="178" t="s">
        <v>3813</v>
      </c>
    </row>
    <row r="1797">
      <c r="B1797" s="178" t="s">
        <v>3814</v>
      </c>
      <c r="C1797" s="178" t="s">
        <v>3814</v>
      </c>
    </row>
    <row r="1798">
      <c r="B1798" s="178" t="s">
        <v>3815</v>
      </c>
      <c r="C1798" s="178" t="s">
        <v>3815</v>
      </c>
    </row>
    <row r="1799">
      <c r="B1799" s="178" t="s">
        <v>3816</v>
      </c>
      <c r="C1799" s="178" t="s">
        <v>3816</v>
      </c>
    </row>
    <row r="1800">
      <c r="B1800" s="178" t="s">
        <v>3817</v>
      </c>
      <c r="C1800" s="178" t="s">
        <v>3817</v>
      </c>
    </row>
    <row r="1801">
      <c r="B1801" s="178" t="s">
        <v>3818</v>
      </c>
      <c r="C1801" s="178" t="s">
        <v>3818</v>
      </c>
    </row>
    <row r="1802">
      <c r="B1802" s="178" t="s">
        <v>3819</v>
      </c>
      <c r="C1802" s="178" t="s">
        <v>3819</v>
      </c>
    </row>
    <row r="1803">
      <c r="B1803" s="178" t="s">
        <v>3820</v>
      </c>
      <c r="C1803" s="178" t="s">
        <v>3820</v>
      </c>
    </row>
    <row r="1804">
      <c r="B1804" s="178" t="s">
        <v>3821</v>
      </c>
      <c r="C1804" s="178" t="s">
        <v>3821</v>
      </c>
    </row>
    <row r="1805">
      <c r="B1805" s="178" t="s">
        <v>3822</v>
      </c>
      <c r="C1805" s="178" t="s">
        <v>3822</v>
      </c>
    </row>
    <row r="1806">
      <c r="B1806" s="178" t="s">
        <v>3823</v>
      </c>
      <c r="C1806" s="178" t="s">
        <v>3823</v>
      </c>
    </row>
    <row r="1807">
      <c r="B1807" s="178" t="s">
        <v>3824</v>
      </c>
      <c r="C1807" s="178" t="s">
        <v>3824</v>
      </c>
    </row>
    <row r="1808">
      <c r="B1808" s="178" t="s">
        <v>3825</v>
      </c>
      <c r="C1808" s="178" t="s">
        <v>3825</v>
      </c>
    </row>
    <row r="1809">
      <c r="B1809" s="178" t="s">
        <v>3826</v>
      </c>
      <c r="C1809" s="178" t="s">
        <v>3826</v>
      </c>
    </row>
    <row r="1810">
      <c r="B1810" s="178" t="s">
        <v>3827</v>
      </c>
      <c r="C1810" s="178" t="s">
        <v>3827</v>
      </c>
    </row>
    <row r="1811">
      <c r="B1811" s="178" t="s">
        <v>3828</v>
      </c>
      <c r="C1811" s="178" t="s">
        <v>3828</v>
      </c>
    </row>
    <row r="1812">
      <c r="B1812" s="178" t="s">
        <v>3829</v>
      </c>
      <c r="C1812" s="178" t="s">
        <v>3829</v>
      </c>
    </row>
    <row r="1813">
      <c r="B1813" s="178" t="s">
        <v>3830</v>
      </c>
      <c r="C1813" s="178" t="s">
        <v>3830</v>
      </c>
    </row>
    <row r="1814">
      <c r="B1814" s="178" t="s">
        <v>3831</v>
      </c>
      <c r="C1814" s="178" t="s">
        <v>3831</v>
      </c>
    </row>
    <row r="1815">
      <c r="B1815" s="178" t="s">
        <v>3832</v>
      </c>
      <c r="C1815" s="178" t="s">
        <v>3832</v>
      </c>
    </row>
    <row r="1816">
      <c r="B1816" s="178" t="s">
        <v>3833</v>
      </c>
      <c r="C1816" s="178" t="s">
        <v>3833</v>
      </c>
    </row>
    <row r="1817">
      <c r="B1817" s="178" t="s">
        <v>3834</v>
      </c>
      <c r="C1817" s="178" t="s">
        <v>3834</v>
      </c>
    </row>
    <row r="1818">
      <c r="B1818" s="178" t="s">
        <v>3835</v>
      </c>
      <c r="C1818" s="178" t="s">
        <v>3835</v>
      </c>
    </row>
    <row r="1819">
      <c r="B1819" s="178" t="s">
        <v>3836</v>
      </c>
      <c r="C1819" s="178" t="s">
        <v>3836</v>
      </c>
    </row>
    <row r="1820">
      <c r="B1820" s="178" t="s">
        <v>3837</v>
      </c>
      <c r="C1820" s="178" t="s">
        <v>3837</v>
      </c>
    </row>
    <row r="1821">
      <c r="B1821" s="178" t="s">
        <v>3838</v>
      </c>
      <c r="C1821" s="178" t="s">
        <v>3838</v>
      </c>
    </row>
    <row r="1822">
      <c r="B1822" s="178" t="s">
        <v>2966</v>
      </c>
      <c r="C1822" s="178" t="s">
        <v>2966</v>
      </c>
    </row>
    <row r="1823">
      <c r="B1823" s="178" t="s">
        <v>3839</v>
      </c>
      <c r="C1823" s="178" t="s">
        <v>3839</v>
      </c>
    </row>
    <row r="1824">
      <c r="B1824" s="178" t="s">
        <v>3840</v>
      </c>
      <c r="C1824" s="178" t="s">
        <v>3840</v>
      </c>
    </row>
    <row r="1825">
      <c r="B1825" s="178" t="s">
        <v>3841</v>
      </c>
      <c r="C1825" s="178" t="s">
        <v>3841</v>
      </c>
    </row>
    <row r="1826">
      <c r="B1826" s="178" t="s">
        <v>3842</v>
      </c>
      <c r="C1826" s="178" t="s">
        <v>3842</v>
      </c>
    </row>
    <row r="1827">
      <c r="B1827" s="178" t="s">
        <v>3843</v>
      </c>
      <c r="C1827" s="178" t="s">
        <v>3843</v>
      </c>
    </row>
    <row r="1828">
      <c r="B1828" s="178" t="s">
        <v>3844</v>
      </c>
      <c r="C1828" s="178" t="s">
        <v>3844</v>
      </c>
    </row>
    <row r="1829">
      <c r="B1829" s="178" t="s">
        <v>3845</v>
      </c>
      <c r="C1829" s="178" t="s">
        <v>3845</v>
      </c>
    </row>
    <row r="1830">
      <c r="B1830" s="178" t="s">
        <v>3846</v>
      </c>
      <c r="C1830" s="178" t="s">
        <v>3846</v>
      </c>
    </row>
    <row r="1831">
      <c r="B1831" s="178" t="s">
        <v>3847</v>
      </c>
      <c r="C1831" s="178" t="s">
        <v>3847</v>
      </c>
    </row>
    <row r="1832">
      <c r="B1832" s="178" t="s">
        <v>3848</v>
      </c>
      <c r="C1832" s="178" t="s">
        <v>3848</v>
      </c>
    </row>
    <row r="1833">
      <c r="B1833" s="178" t="s">
        <v>3849</v>
      </c>
      <c r="C1833" s="178" t="s">
        <v>3849</v>
      </c>
    </row>
    <row r="1834">
      <c r="B1834" s="178" t="s">
        <v>3850</v>
      </c>
      <c r="C1834" s="178" t="s">
        <v>3850</v>
      </c>
    </row>
    <row r="1835">
      <c r="B1835" s="178" t="s">
        <v>3851</v>
      </c>
      <c r="C1835" s="178" t="s">
        <v>3851</v>
      </c>
    </row>
    <row r="1836">
      <c r="B1836" s="178" t="s">
        <v>3852</v>
      </c>
      <c r="C1836" s="178" t="s">
        <v>3852</v>
      </c>
    </row>
    <row r="1837">
      <c r="B1837" s="178" t="s">
        <v>3853</v>
      </c>
      <c r="C1837" s="178" t="s">
        <v>3853</v>
      </c>
    </row>
    <row r="1838">
      <c r="B1838" s="178" t="s">
        <v>3854</v>
      </c>
      <c r="C1838" s="178" t="s">
        <v>3854</v>
      </c>
    </row>
    <row r="1839">
      <c r="B1839" s="178" t="s">
        <v>3855</v>
      </c>
      <c r="C1839" s="178" t="s">
        <v>3855</v>
      </c>
    </row>
    <row r="1840">
      <c r="B1840" s="178" t="s">
        <v>3856</v>
      </c>
      <c r="C1840" s="178" t="s">
        <v>3856</v>
      </c>
    </row>
    <row r="1841">
      <c r="B1841" s="178" t="s">
        <v>3857</v>
      </c>
      <c r="C1841" s="178" t="s">
        <v>3857</v>
      </c>
    </row>
    <row r="1842">
      <c r="B1842" s="178" t="s">
        <v>3858</v>
      </c>
      <c r="C1842" s="178" t="s">
        <v>3858</v>
      </c>
    </row>
    <row r="1843">
      <c r="B1843" s="178" t="s">
        <v>3859</v>
      </c>
      <c r="C1843" s="178" t="s">
        <v>3859</v>
      </c>
    </row>
    <row r="1844">
      <c r="B1844" s="178" t="s">
        <v>3860</v>
      </c>
      <c r="C1844" s="178" t="s">
        <v>3860</v>
      </c>
    </row>
    <row r="1845">
      <c r="B1845" s="178" t="s">
        <v>3861</v>
      </c>
      <c r="C1845" s="178" t="s">
        <v>3861</v>
      </c>
    </row>
    <row r="1846">
      <c r="B1846" s="178" t="s">
        <v>3862</v>
      </c>
      <c r="C1846" s="178" t="s">
        <v>3862</v>
      </c>
    </row>
    <row r="1847">
      <c r="B1847" s="178" t="s">
        <v>3863</v>
      </c>
      <c r="C1847" s="178" t="s">
        <v>3863</v>
      </c>
    </row>
    <row r="1848">
      <c r="B1848" s="178" t="s">
        <v>3864</v>
      </c>
      <c r="C1848" s="178" t="s">
        <v>3864</v>
      </c>
    </row>
    <row r="1849">
      <c r="B1849" s="178" t="s">
        <v>3865</v>
      </c>
      <c r="C1849" s="178" t="s">
        <v>3865</v>
      </c>
    </row>
    <row r="1850">
      <c r="B1850" s="178" t="s">
        <v>3866</v>
      </c>
      <c r="C1850" s="178" t="s">
        <v>3866</v>
      </c>
    </row>
    <row r="1851">
      <c r="B1851" s="178" t="s">
        <v>3867</v>
      </c>
      <c r="C1851" s="178" t="s">
        <v>3867</v>
      </c>
    </row>
    <row r="1852">
      <c r="B1852" s="178" t="s">
        <v>3868</v>
      </c>
      <c r="C1852" s="178" t="s">
        <v>3868</v>
      </c>
    </row>
    <row r="1853">
      <c r="B1853" s="178" t="s">
        <v>3869</v>
      </c>
      <c r="C1853" s="178" t="s">
        <v>3869</v>
      </c>
    </row>
    <row r="1854">
      <c r="B1854" s="178" t="s">
        <v>3870</v>
      </c>
      <c r="C1854" s="178" t="s">
        <v>3870</v>
      </c>
    </row>
    <row r="1855">
      <c r="B1855" s="178" t="s">
        <v>3871</v>
      </c>
      <c r="C1855" s="178" t="s">
        <v>3871</v>
      </c>
    </row>
    <row r="1856">
      <c r="B1856" s="178" t="s">
        <v>3872</v>
      </c>
      <c r="C1856" s="178" t="s">
        <v>3872</v>
      </c>
    </row>
    <row r="1857">
      <c r="B1857" s="178" t="s">
        <v>3873</v>
      </c>
      <c r="C1857" s="178" t="s">
        <v>3873</v>
      </c>
    </row>
    <row r="1858">
      <c r="B1858" s="178" t="s">
        <v>3874</v>
      </c>
      <c r="C1858" s="178" t="s">
        <v>3874</v>
      </c>
    </row>
    <row r="1859">
      <c r="B1859" s="178" t="s">
        <v>3875</v>
      </c>
      <c r="C1859" s="178" t="s">
        <v>3875</v>
      </c>
    </row>
    <row r="1860">
      <c r="B1860" s="178" t="s">
        <v>3876</v>
      </c>
      <c r="C1860" s="178" t="s">
        <v>3876</v>
      </c>
    </row>
    <row r="1861">
      <c r="B1861" s="178" t="s">
        <v>3877</v>
      </c>
      <c r="C1861" s="178" t="s">
        <v>3877</v>
      </c>
    </row>
    <row r="1862">
      <c r="B1862" s="178" t="s">
        <v>3878</v>
      </c>
      <c r="C1862" s="178" t="s">
        <v>3878</v>
      </c>
    </row>
    <row r="1863">
      <c r="B1863" s="178" t="s">
        <v>3879</v>
      </c>
      <c r="C1863" s="178" t="s">
        <v>3879</v>
      </c>
    </row>
    <row r="1864">
      <c r="B1864" s="178" t="s">
        <v>3880</v>
      </c>
      <c r="C1864" s="178" t="s">
        <v>3880</v>
      </c>
    </row>
    <row r="1865">
      <c r="B1865" s="178" t="s">
        <v>3881</v>
      </c>
      <c r="C1865" s="178" t="s">
        <v>3881</v>
      </c>
    </row>
    <row r="1866">
      <c r="B1866" s="178" t="s">
        <v>3882</v>
      </c>
      <c r="C1866" s="178" t="s">
        <v>3882</v>
      </c>
    </row>
    <row r="1867">
      <c r="B1867" s="178" t="s">
        <v>3883</v>
      </c>
      <c r="C1867" s="178" t="s">
        <v>3883</v>
      </c>
    </row>
    <row r="1868">
      <c r="B1868" s="178" t="s">
        <v>3884</v>
      </c>
      <c r="C1868" s="178" t="s">
        <v>3884</v>
      </c>
    </row>
    <row r="1869">
      <c r="B1869" s="178" t="s">
        <v>3885</v>
      </c>
      <c r="C1869" s="178" t="s">
        <v>3885</v>
      </c>
    </row>
    <row r="1870">
      <c r="B1870" s="178" t="s">
        <v>3886</v>
      </c>
      <c r="C1870" s="178" t="s">
        <v>3886</v>
      </c>
    </row>
    <row r="1871">
      <c r="B1871" s="178" t="s">
        <v>3887</v>
      </c>
      <c r="C1871" s="178" t="s">
        <v>3887</v>
      </c>
    </row>
    <row r="1872">
      <c r="B1872" s="178" t="s">
        <v>3888</v>
      </c>
      <c r="C1872" s="178" t="s">
        <v>3888</v>
      </c>
    </row>
    <row r="1873">
      <c r="B1873" s="178" t="s">
        <v>3889</v>
      </c>
      <c r="C1873" s="178" t="s">
        <v>3889</v>
      </c>
    </row>
    <row r="1874">
      <c r="B1874" s="178" t="s">
        <v>3890</v>
      </c>
      <c r="C1874" s="178" t="s">
        <v>3890</v>
      </c>
    </row>
    <row r="1875">
      <c r="B1875" s="178" t="s">
        <v>3891</v>
      </c>
      <c r="C1875" s="178" t="s">
        <v>3891</v>
      </c>
    </row>
    <row r="1876">
      <c r="B1876" s="178" t="s">
        <v>3892</v>
      </c>
      <c r="C1876" s="178" t="s">
        <v>3892</v>
      </c>
    </row>
    <row r="1877">
      <c r="B1877" s="178" t="s">
        <v>2966</v>
      </c>
      <c r="C1877" s="178" t="s">
        <v>2966</v>
      </c>
    </row>
    <row r="1878">
      <c r="B1878" s="178" t="s">
        <v>3893</v>
      </c>
      <c r="C1878" s="178" t="s">
        <v>3893</v>
      </c>
    </row>
    <row r="1879">
      <c r="B1879" s="178" t="s">
        <v>3894</v>
      </c>
      <c r="C1879" s="178" t="s">
        <v>3894</v>
      </c>
    </row>
    <row r="1880">
      <c r="B1880" s="178" t="s">
        <v>3895</v>
      </c>
      <c r="C1880" s="178" t="s">
        <v>3895</v>
      </c>
    </row>
    <row r="1881">
      <c r="B1881" s="178" t="s">
        <v>3896</v>
      </c>
      <c r="C1881" s="178" t="s">
        <v>3896</v>
      </c>
    </row>
    <row r="1882">
      <c r="B1882" s="178" t="s">
        <v>3897</v>
      </c>
      <c r="C1882" s="178" t="s">
        <v>3897</v>
      </c>
    </row>
    <row r="1883">
      <c r="B1883" s="178" t="s">
        <v>3898</v>
      </c>
      <c r="C1883" s="178" t="s">
        <v>3898</v>
      </c>
    </row>
    <row r="1884">
      <c r="B1884" s="178" t="s">
        <v>3899</v>
      </c>
      <c r="C1884" s="178" t="s">
        <v>3899</v>
      </c>
    </row>
    <row r="1885">
      <c r="B1885" s="178" t="s">
        <v>3900</v>
      </c>
      <c r="C1885" s="178" t="s">
        <v>3900</v>
      </c>
    </row>
    <row r="1886">
      <c r="B1886" s="178" t="s">
        <v>3901</v>
      </c>
      <c r="C1886" s="178" t="s">
        <v>3901</v>
      </c>
    </row>
    <row r="1887">
      <c r="B1887" s="178" t="s">
        <v>3902</v>
      </c>
      <c r="C1887" s="178" t="s">
        <v>3902</v>
      </c>
    </row>
    <row r="1888">
      <c r="B1888" s="178" t="s">
        <v>3903</v>
      </c>
      <c r="C1888" s="178" t="s">
        <v>3903</v>
      </c>
    </row>
    <row r="1889">
      <c r="B1889" s="178" t="s">
        <v>3904</v>
      </c>
      <c r="C1889" s="178" t="s">
        <v>3904</v>
      </c>
    </row>
    <row r="1890">
      <c r="B1890" s="178" t="s">
        <v>3905</v>
      </c>
      <c r="C1890" s="178" t="s">
        <v>3905</v>
      </c>
    </row>
    <row r="1891">
      <c r="B1891" s="178" t="s">
        <v>3906</v>
      </c>
      <c r="C1891" s="178" t="s">
        <v>3906</v>
      </c>
    </row>
    <row r="1892">
      <c r="B1892" s="178" t="s">
        <v>3907</v>
      </c>
      <c r="C1892" s="178" t="s">
        <v>3907</v>
      </c>
    </row>
    <row r="1893">
      <c r="B1893" s="178" t="s">
        <v>3908</v>
      </c>
      <c r="C1893" s="178" t="s">
        <v>3908</v>
      </c>
    </row>
    <row r="1894">
      <c r="B1894" s="178" t="s">
        <v>3909</v>
      </c>
      <c r="C1894" s="178" t="s">
        <v>3909</v>
      </c>
    </row>
    <row r="1895">
      <c r="B1895" s="178" t="s">
        <v>3910</v>
      </c>
      <c r="C1895" s="178" t="s">
        <v>3910</v>
      </c>
    </row>
    <row r="1896">
      <c r="B1896" s="178" t="s">
        <v>3911</v>
      </c>
      <c r="C1896" s="178" t="s">
        <v>3911</v>
      </c>
    </row>
    <row r="1897">
      <c r="B1897" s="178" t="s">
        <v>3912</v>
      </c>
      <c r="C1897" s="178" t="s">
        <v>3912</v>
      </c>
    </row>
    <row r="1898">
      <c r="B1898" s="178" t="s">
        <v>3913</v>
      </c>
      <c r="C1898" s="178" t="s">
        <v>3913</v>
      </c>
    </row>
    <row r="1899">
      <c r="B1899" s="178" t="s">
        <v>3914</v>
      </c>
      <c r="C1899" s="178" t="s">
        <v>3914</v>
      </c>
    </row>
    <row r="1900">
      <c r="B1900" s="178" t="s">
        <v>3915</v>
      </c>
      <c r="C1900" s="178" t="s">
        <v>3915</v>
      </c>
    </row>
    <row r="1901">
      <c r="B1901" s="178" t="s">
        <v>3916</v>
      </c>
      <c r="C1901" s="178" t="s">
        <v>3916</v>
      </c>
    </row>
    <row r="1902">
      <c r="B1902" s="178" t="s">
        <v>3917</v>
      </c>
      <c r="C1902" s="178" t="s">
        <v>3917</v>
      </c>
    </row>
    <row r="1903">
      <c r="B1903" s="178" t="s">
        <v>3918</v>
      </c>
      <c r="C1903" s="178" t="s">
        <v>3918</v>
      </c>
    </row>
    <row r="1904">
      <c r="B1904" s="178" t="s">
        <v>3919</v>
      </c>
      <c r="C1904" s="178" t="s">
        <v>3919</v>
      </c>
    </row>
    <row r="1905">
      <c r="B1905" s="178" t="s">
        <v>3920</v>
      </c>
      <c r="C1905" s="178" t="s">
        <v>3920</v>
      </c>
    </row>
    <row r="1906">
      <c r="B1906" s="178" t="s">
        <v>3921</v>
      </c>
      <c r="C1906" s="178" t="s">
        <v>3921</v>
      </c>
    </row>
    <row r="1907">
      <c r="B1907" s="178" t="s">
        <v>3922</v>
      </c>
      <c r="C1907" s="178" t="s">
        <v>3922</v>
      </c>
    </row>
    <row r="1908">
      <c r="B1908" s="178" t="s">
        <v>3923</v>
      </c>
      <c r="C1908" s="178" t="s">
        <v>3923</v>
      </c>
    </row>
    <row r="1909">
      <c r="B1909" s="178" t="s">
        <v>3924</v>
      </c>
      <c r="C1909" s="178" t="s">
        <v>3924</v>
      </c>
    </row>
    <row r="1910">
      <c r="B1910" s="178" t="s">
        <v>3925</v>
      </c>
      <c r="C1910" s="178" t="s">
        <v>3925</v>
      </c>
    </row>
    <row r="1911">
      <c r="B1911" s="178" t="s">
        <v>3926</v>
      </c>
      <c r="C1911" s="178" t="s">
        <v>3926</v>
      </c>
    </row>
    <row r="1912">
      <c r="B1912" s="178" t="s">
        <v>3927</v>
      </c>
      <c r="C1912" s="178" t="s">
        <v>3927</v>
      </c>
    </row>
    <row r="1913">
      <c r="B1913" s="178" t="s">
        <v>3928</v>
      </c>
      <c r="C1913" s="178" t="s">
        <v>3928</v>
      </c>
    </row>
    <row r="1914">
      <c r="B1914" s="178" t="s">
        <v>3929</v>
      </c>
      <c r="C1914" s="178" t="s">
        <v>3929</v>
      </c>
    </row>
    <row r="1915">
      <c r="B1915" s="178" t="s">
        <v>3930</v>
      </c>
      <c r="C1915" s="178" t="s">
        <v>3930</v>
      </c>
    </row>
    <row r="1916">
      <c r="B1916" s="178" t="s">
        <v>3931</v>
      </c>
      <c r="C1916" s="178" t="s">
        <v>3931</v>
      </c>
    </row>
    <row r="1917">
      <c r="B1917" s="178" t="s">
        <v>3932</v>
      </c>
      <c r="C1917" s="178" t="s">
        <v>3932</v>
      </c>
    </row>
    <row r="1918">
      <c r="B1918" s="178" t="s">
        <v>3933</v>
      </c>
      <c r="C1918" s="178" t="s">
        <v>3933</v>
      </c>
    </row>
    <row r="1919">
      <c r="B1919" s="178" t="s">
        <v>3934</v>
      </c>
      <c r="C1919" s="178" t="s">
        <v>3934</v>
      </c>
    </row>
    <row r="1920">
      <c r="B1920" s="178" t="s">
        <v>3935</v>
      </c>
      <c r="C1920" s="178" t="s">
        <v>3935</v>
      </c>
    </row>
    <row r="1921">
      <c r="B1921" s="178" t="s">
        <v>3936</v>
      </c>
      <c r="C1921" s="178" t="s">
        <v>3936</v>
      </c>
    </row>
    <row r="1922">
      <c r="B1922" s="178" t="s">
        <v>3937</v>
      </c>
      <c r="C1922" s="178" t="s">
        <v>3937</v>
      </c>
    </row>
    <row r="1923">
      <c r="B1923" s="178" t="s">
        <v>3938</v>
      </c>
      <c r="C1923" s="178" t="s">
        <v>3938</v>
      </c>
    </row>
    <row r="1924">
      <c r="B1924" s="178" t="s">
        <v>3939</v>
      </c>
      <c r="C1924" s="178" t="s">
        <v>3939</v>
      </c>
    </row>
    <row r="1925">
      <c r="B1925" s="178" t="s">
        <v>3940</v>
      </c>
      <c r="C1925" s="178" t="s">
        <v>3940</v>
      </c>
    </row>
    <row r="1926">
      <c r="B1926" s="178" t="s">
        <v>3941</v>
      </c>
      <c r="C1926" s="178" t="s">
        <v>3941</v>
      </c>
    </row>
    <row r="1927">
      <c r="B1927" s="178" t="s">
        <v>3942</v>
      </c>
      <c r="C1927" s="178" t="s">
        <v>3942</v>
      </c>
    </row>
    <row r="1928">
      <c r="B1928" s="178" t="s">
        <v>3943</v>
      </c>
      <c r="C1928" s="178" t="s">
        <v>3943</v>
      </c>
    </row>
    <row r="1929">
      <c r="B1929" s="178" t="s">
        <v>3944</v>
      </c>
      <c r="C1929" s="178" t="s">
        <v>3944</v>
      </c>
    </row>
    <row r="1930">
      <c r="B1930" s="178" t="s">
        <v>3945</v>
      </c>
      <c r="C1930" s="178" t="s">
        <v>3945</v>
      </c>
    </row>
    <row r="1931">
      <c r="B1931" s="178" t="s">
        <v>3946</v>
      </c>
      <c r="C1931" s="178" t="s">
        <v>3946</v>
      </c>
    </row>
    <row r="1932">
      <c r="B1932" s="178" t="s">
        <v>3947</v>
      </c>
      <c r="C1932" s="178" t="s">
        <v>3947</v>
      </c>
    </row>
    <row r="1933">
      <c r="B1933" s="178" t="s">
        <v>3948</v>
      </c>
      <c r="C1933" s="178" t="s">
        <v>3948</v>
      </c>
    </row>
    <row r="1934">
      <c r="B1934" s="178" t="s">
        <v>3949</v>
      </c>
      <c r="C1934" s="178" t="s">
        <v>3949</v>
      </c>
    </row>
    <row r="1935">
      <c r="B1935" s="178" t="s">
        <v>3950</v>
      </c>
      <c r="C1935" s="178" t="s">
        <v>3950</v>
      </c>
    </row>
    <row r="1936">
      <c r="B1936" s="178" t="s">
        <v>3951</v>
      </c>
      <c r="C1936" s="178" t="s">
        <v>3951</v>
      </c>
    </row>
    <row r="1937">
      <c r="B1937" s="178" t="s">
        <v>3952</v>
      </c>
      <c r="C1937" s="178" t="s">
        <v>3952</v>
      </c>
    </row>
    <row r="1938">
      <c r="B1938" s="178" t="s">
        <v>3953</v>
      </c>
      <c r="C1938" s="178" t="s">
        <v>3953</v>
      </c>
    </row>
    <row r="1939">
      <c r="B1939" s="178" t="s">
        <v>3954</v>
      </c>
      <c r="C1939" s="178" t="s">
        <v>3954</v>
      </c>
    </row>
    <row r="1940">
      <c r="B1940" s="178" t="s">
        <v>3955</v>
      </c>
      <c r="C1940" s="178" t="s">
        <v>3955</v>
      </c>
    </row>
    <row r="1941">
      <c r="B1941" s="178" t="s">
        <v>2966</v>
      </c>
      <c r="C1941" s="178" t="s">
        <v>2966</v>
      </c>
    </row>
    <row r="1942">
      <c r="B1942" s="178" t="s">
        <v>3956</v>
      </c>
      <c r="C1942" s="178" t="s">
        <v>3956</v>
      </c>
    </row>
    <row r="1943">
      <c r="B1943" s="178" t="s">
        <v>3957</v>
      </c>
      <c r="C1943" s="178" t="s">
        <v>3957</v>
      </c>
    </row>
    <row r="1944">
      <c r="B1944" s="178" t="s">
        <v>3958</v>
      </c>
      <c r="C1944" s="178" t="s">
        <v>3958</v>
      </c>
    </row>
    <row r="1945">
      <c r="B1945" s="178" t="s">
        <v>3959</v>
      </c>
      <c r="C1945" s="178" t="s">
        <v>3959</v>
      </c>
    </row>
    <row r="1946">
      <c r="B1946" s="178" t="s">
        <v>3960</v>
      </c>
      <c r="C1946" s="178" t="s">
        <v>3960</v>
      </c>
    </row>
    <row r="1947">
      <c r="B1947" s="178" t="s">
        <v>3961</v>
      </c>
      <c r="C1947" s="178" t="s">
        <v>3961</v>
      </c>
    </row>
    <row r="1948">
      <c r="B1948" s="178" t="s">
        <v>3962</v>
      </c>
      <c r="C1948" s="178" t="s">
        <v>3962</v>
      </c>
    </row>
    <row r="1949">
      <c r="B1949" s="178" t="s">
        <v>3963</v>
      </c>
      <c r="C1949" s="178" t="s">
        <v>3963</v>
      </c>
    </row>
    <row r="1950">
      <c r="B1950" s="178" t="s">
        <v>3964</v>
      </c>
      <c r="C1950" s="178" t="s">
        <v>3964</v>
      </c>
    </row>
    <row r="1951">
      <c r="B1951" s="178" t="s">
        <v>3965</v>
      </c>
      <c r="C1951" s="178" t="s">
        <v>3965</v>
      </c>
    </row>
    <row r="1952">
      <c r="B1952" s="178" t="s">
        <v>3966</v>
      </c>
      <c r="C1952" s="178" t="s">
        <v>3966</v>
      </c>
    </row>
    <row r="1953">
      <c r="B1953" s="178" t="s">
        <v>3967</v>
      </c>
      <c r="C1953" s="178" t="s">
        <v>3967</v>
      </c>
    </row>
    <row r="1954">
      <c r="B1954" s="178" t="s">
        <v>3968</v>
      </c>
      <c r="C1954" s="178" t="s">
        <v>3968</v>
      </c>
    </row>
    <row r="1955">
      <c r="B1955" s="178" t="s">
        <v>3969</v>
      </c>
      <c r="C1955" s="178" t="s">
        <v>3969</v>
      </c>
    </row>
    <row r="1956">
      <c r="B1956" s="178" t="s">
        <v>3970</v>
      </c>
      <c r="C1956" s="178" t="s">
        <v>3970</v>
      </c>
    </row>
    <row r="1957">
      <c r="B1957" s="178" t="s">
        <v>3971</v>
      </c>
      <c r="C1957" s="178" t="s">
        <v>3971</v>
      </c>
    </row>
    <row r="1958">
      <c r="B1958" s="178" t="s">
        <v>3972</v>
      </c>
      <c r="C1958" s="178" t="s">
        <v>3972</v>
      </c>
    </row>
    <row r="1959">
      <c r="B1959" s="178" t="s">
        <v>3973</v>
      </c>
      <c r="C1959" s="178" t="s">
        <v>3973</v>
      </c>
    </row>
    <row r="1960">
      <c r="B1960" s="178" t="s">
        <v>3974</v>
      </c>
      <c r="C1960" s="178" t="s">
        <v>3974</v>
      </c>
    </row>
    <row r="1961">
      <c r="B1961" s="178" t="s">
        <v>2966</v>
      </c>
      <c r="C1961" s="178" t="s">
        <v>2966</v>
      </c>
    </row>
    <row r="1962">
      <c r="B1962" s="178" t="s">
        <v>3975</v>
      </c>
      <c r="C1962" s="178" t="s">
        <v>3975</v>
      </c>
    </row>
    <row r="1963">
      <c r="B1963" s="178" t="s">
        <v>3976</v>
      </c>
      <c r="C1963" s="178" t="s">
        <v>3976</v>
      </c>
    </row>
    <row r="1964">
      <c r="B1964" s="178" t="s">
        <v>3977</v>
      </c>
      <c r="C1964" s="178" t="s">
        <v>3977</v>
      </c>
    </row>
    <row r="1965">
      <c r="B1965" s="178" t="s">
        <v>3978</v>
      </c>
      <c r="C1965" s="178" t="s">
        <v>3978</v>
      </c>
    </row>
    <row r="1966">
      <c r="B1966" s="178" t="s">
        <v>3979</v>
      </c>
      <c r="C1966" s="178" t="s">
        <v>3979</v>
      </c>
    </row>
    <row r="1967">
      <c r="B1967" s="178" t="s">
        <v>3980</v>
      </c>
      <c r="C1967" s="178" t="s">
        <v>3980</v>
      </c>
    </row>
    <row r="1968">
      <c r="B1968" s="178" t="s">
        <v>3981</v>
      </c>
      <c r="C1968" s="178" t="s">
        <v>3981</v>
      </c>
    </row>
    <row r="1969">
      <c r="B1969" s="178" t="s">
        <v>3982</v>
      </c>
      <c r="C1969" s="178" t="s">
        <v>3982</v>
      </c>
    </row>
    <row r="1970">
      <c r="B1970" s="178" t="s">
        <v>3983</v>
      </c>
      <c r="C1970" s="178" t="s">
        <v>3983</v>
      </c>
    </row>
    <row r="1971">
      <c r="B1971" s="178" t="s">
        <v>3984</v>
      </c>
      <c r="C1971" s="178" t="s">
        <v>3984</v>
      </c>
    </row>
    <row r="1972">
      <c r="B1972" s="178" t="s">
        <v>3985</v>
      </c>
      <c r="C1972" s="178" t="s">
        <v>3985</v>
      </c>
    </row>
    <row r="1973">
      <c r="B1973" s="178" t="s">
        <v>3986</v>
      </c>
      <c r="C1973" s="178" t="s">
        <v>3986</v>
      </c>
    </row>
    <row r="1974">
      <c r="B1974" s="178" t="s">
        <v>3987</v>
      </c>
      <c r="C1974" s="178" t="s">
        <v>3987</v>
      </c>
    </row>
    <row r="1975">
      <c r="B1975" s="178" t="s">
        <v>3988</v>
      </c>
      <c r="C1975" s="178" t="s">
        <v>3988</v>
      </c>
    </row>
    <row r="1976">
      <c r="B1976" s="178" t="s">
        <v>3989</v>
      </c>
      <c r="C1976" s="178" t="s">
        <v>3989</v>
      </c>
    </row>
    <row r="1977">
      <c r="B1977" s="178" t="s">
        <v>3990</v>
      </c>
      <c r="C1977" s="178" t="s">
        <v>3990</v>
      </c>
    </row>
    <row r="1978">
      <c r="B1978" s="178" t="s">
        <v>3991</v>
      </c>
      <c r="C1978" s="178" t="s">
        <v>3991</v>
      </c>
    </row>
    <row r="1979">
      <c r="B1979" s="178" t="s">
        <v>3992</v>
      </c>
      <c r="C1979" s="178" t="s">
        <v>3992</v>
      </c>
    </row>
    <row r="1980">
      <c r="B1980" s="178" t="s">
        <v>3993</v>
      </c>
      <c r="C1980" s="178" t="s">
        <v>3993</v>
      </c>
    </row>
    <row r="1981">
      <c r="B1981" s="178" t="s">
        <v>3994</v>
      </c>
      <c r="C1981" s="178" t="s">
        <v>3994</v>
      </c>
    </row>
    <row r="1982">
      <c r="B1982" s="178" t="s">
        <v>3995</v>
      </c>
      <c r="C1982" s="178" t="s">
        <v>3995</v>
      </c>
    </row>
    <row r="1983">
      <c r="B1983" s="178" t="s">
        <v>3996</v>
      </c>
      <c r="C1983" s="178" t="s">
        <v>3996</v>
      </c>
    </row>
    <row r="1984">
      <c r="B1984" s="178" t="s">
        <v>3997</v>
      </c>
      <c r="C1984" s="178" t="s">
        <v>3997</v>
      </c>
    </row>
    <row r="1985">
      <c r="B1985" s="178" t="s">
        <v>3998</v>
      </c>
      <c r="C1985" s="178" t="s">
        <v>3998</v>
      </c>
    </row>
    <row r="1986">
      <c r="B1986" s="178" t="s">
        <v>3999</v>
      </c>
      <c r="C1986" s="178" t="s">
        <v>3999</v>
      </c>
    </row>
    <row r="1987">
      <c r="B1987" s="178" t="s">
        <v>4000</v>
      </c>
      <c r="C1987" s="178" t="s">
        <v>4000</v>
      </c>
    </row>
    <row r="1988">
      <c r="B1988" s="178" t="s">
        <v>4001</v>
      </c>
      <c r="C1988" s="178" t="s">
        <v>4001</v>
      </c>
    </row>
    <row r="1989">
      <c r="B1989" s="178" t="s">
        <v>4002</v>
      </c>
      <c r="C1989" s="178" t="s">
        <v>4002</v>
      </c>
    </row>
    <row r="1990">
      <c r="B1990" s="178" t="s">
        <v>4003</v>
      </c>
      <c r="C1990" s="178" t="s">
        <v>4003</v>
      </c>
    </row>
    <row r="1991">
      <c r="B1991" s="178" t="s">
        <v>4004</v>
      </c>
      <c r="C1991" s="178" t="s">
        <v>4004</v>
      </c>
    </row>
    <row r="1992">
      <c r="B1992" s="178" t="s">
        <v>4005</v>
      </c>
      <c r="C1992" s="178" t="s">
        <v>4005</v>
      </c>
    </row>
    <row r="1993">
      <c r="B1993" s="178" t="s">
        <v>4006</v>
      </c>
      <c r="C1993" s="178" t="s">
        <v>4006</v>
      </c>
    </row>
    <row r="1994">
      <c r="B1994" s="178" t="s">
        <v>4007</v>
      </c>
      <c r="C1994" s="178" t="s">
        <v>4007</v>
      </c>
    </row>
    <row r="1995">
      <c r="B1995" s="178" t="s">
        <v>4008</v>
      </c>
      <c r="C1995" s="178" t="s">
        <v>4008</v>
      </c>
    </row>
    <row r="1996">
      <c r="B1996" s="178" t="s">
        <v>4009</v>
      </c>
      <c r="C1996" s="178" t="s">
        <v>4009</v>
      </c>
    </row>
    <row r="1997">
      <c r="B1997" s="178" t="s">
        <v>4010</v>
      </c>
      <c r="C1997" s="178" t="s">
        <v>4010</v>
      </c>
    </row>
    <row r="1998">
      <c r="B1998" s="178" t="s">
        <v>4011</v>
      </c>
      <c r="C1998" s="178" t="s">
        <v>4011</v>
      </c>
    </row>
    <row r="1999">
      <c r="B1999" s="178" t="s">
        <v>4012</v>
      </c>
      <c r="C1999" s="178" t="s">
        <v>4012</v>
      </c>
    </row>
    <row r="2000">
      <c r="B2000" s="178" t="s">
        <v>4013</v>
      </c>
      <c r="C2000" s="178" t="s">
        <v>4013</v>
      </c>
    </row>
    <row r="2001">
      <c r="B2001" s="178" t="s">
        <v>4014</v>
      </c>
      <c r="C2001" s="178" t="s">
        <v>4014</v>
      </c>
    </row>
    <row r="2002">
      <c r="B2002" s="178" t="s">
        <v>4015</v>
      </c>
      <c r="C2002" s="178" t="s">
        <v>4015</v>
      </c>
    </row>
    <row r="2003">
      <c r="B2003" s="178" t="s">
        <v>4016</v>
      </c>
      <c r="C2003" s="178" t="s">
        <v>4016</v>
      </c>
    </row>
    <row r="2004">
      <c r="B2004" s="178" t="s">
        <v>4017</v>
      </c>
      <c r="C2004" s="178" t="s">
        <v>4017</v>
      </c>
    </row>
    <row r="2005">
      <c r="B2005" s="178" t="s">
        <v>4018</v>
      </c>
      <c r="C2005" s="178" t="s">
        <v>4018</v>
      </c>
    </row>
    <row r="2006">
      <c r="B2006" s="178" t="s">
        <v>4019</v>
      </c>
      <c r="C2006" s="178" t="s">
        <v>4019</v>
      </c>
    </row>
    <row r="2007">
      <c r="B2007" s="178" t="s">
        <v>4020</v>
      </c>
      <c r="C2007" s="178" t="s">
        <v>4020</v>
      </c>
    </row>
    <row r="2008">
      <c r="B2008" s="178" t="s">
        <v>4021</v>
      </c>
      <c r="C2008" s="178" t="s">
        <v>4021</v>
      </c>
    </row>
    <row r="2009">
      <c r="B2009" s="178" t="s">
        <v>4022</v>
      </c>
      <c r="C2009" s="178" t="s">
        <v>4022</v>
      </c>
    </row>
    <row r="2010">
      <c r="B2010" s="178" t="s">
        <v>4023</v>
      </c>
      <c r="C2010" s="178" t="s">
        <v>4023</v>
      </c>
    </row>
    <row r="2011">
      <c r="B2011" s="178" t="s">
        <v>4024</v>
      </c>
      <c r="C2011" s="178" t="s">
        <v>4024</v>
      </c>
    </row>
    <row r="2012">
      <c r="B2012" s="178" t="s">
        <v>4025</v>
      </c>
      <c r="C2012" s="178" t="s">
        <v>4025</v>
      </c>
    </row>
    <row r="2013">
      <c r="B2013" s="178" t="s">
        <v>4026</v>
      </c>
      <c r="C2013" s="178" t="s">
        <v>4026</v>
      </c>
    </row>
    <row r="2014">
      <c r="B2014" s="178" t="s">
        <v>4027</v>
      </c>
      <c r="C2014" s="178" t="s">
        <v>4027</v>
      </c>
    </row>
    <row r="2015">
      <c r="B2015" s="178" t="s">
        <v>4028</v>
      </c>
      <c r="C2015" s="178" t="s">
        <v>4028</v>
      </c>
    </row>
    <row r="2016">
      <c r="B2016" s="178" t="s">
        <v>4029</v>
      </c>
      <c r="C2016" s="178" t="s">
        <v>4029</v>
      </c>
    </row>
    <row r="2017">
      <c r="B2017" s="178" t="s">
        <v>4030</v>
      </c>
      <c r="C2017" s="178" t="s">
        <v>4030</v>
      </c>
    </row>
    <row r="2018">
      <c r="B2018" s="178" t="s">
        <v>4031</v>
      </c>
      <c r="C2018" s="178" t="s">
        <v>4031</v>
      </c>
    </row>
    <row r="2019">
      <c r="B2019" s="178" t="s">
        <v>4032</v>
      </c>
      <c r="C2019" s="178" t="s">
        <v>4032</v>
      </c>
    </row>
    <row r="2020">
      <c r="B2020" s="178" t="s">
        <v>4033</v>
      </c>
      <c r="C2020" s="178" t="s">
        <v>4033</v>
      </c>
    </row>
    <row r="2021">
      <c r="B2021" s="178" t="s">
        <v>4034</v>
      </c>
      <c r="C2021" s="178" t="s">
        <v>4034</v>
      </c>
    </row>
    <row r="2022">
      <c r="B2022" s="178" t="s">
        <v>4035</v>
      </c>
      <c r="C2022" s="178" t="s">
        <v>4035</v>
      </c>
    </row>
    <row r="2023">
      <c r="B2023" s="178" t="s">
        <v>4036</v>
      </c>
      <c r="C2023" s="178" t="s">
        <v>4036</v>
      </c>
    </row>
    <row r="2024">
      <c r="B2024" s="178" t="s">
        <v>4037</v>
      </c>
      <c r="C2024" s="178" t="s">
        <v>4037</v>
      </c>
    </row>
    <row r="2025">
      <c r="B2025" s="178" t="s">
        <v>4038</v>
      </c>
      <c r="C2025" s="178" t="s">
        <v>4038</v>
      </c>
    </row>
    <row r="2026">
      <c r="B2026" s="178" t="s">
        <v>4039</v>
      </c>
      <c r="C2026" s="178" t="s">
        <v>4039</v>
      </c>
    </row>
    <row r="2027">
      <c r="B2027" s="178" t="s">
        <v>4040</v>
      </c>
      <c r="C2027" s="178" t="s">
        <v>4040</v>
      </c>
    </row>
    <row r="2028">
      <c r="B2028" s="178" t="s">
        <v>4041</v>
      </c>
      <c r="C2028" s="178" t="s">
        <v>4041</v>
      </c>
    </row>
    <row r="2029">
      <c r="B2029" s="178" t="s">
        <v>4042</v>
      </c>
      <c r="C2029" s="178" t="s">
        <v>4042</v>
      </c>
    </row>
    <row r="2030">
      <c r="B2030" s="178" t="s">
        <v>4043</v>
      </c>
      <c r="C2030" s="178" t="s">
        <v>4043</v>
      </c>
    </row>
    <row r="2031">
      <c r="B2031" s="178" t="s">
        <v>4044</v>
      </c>
      <c r="C2031" s="178" t="s">
        <v>4044</v>
      </c>
    </row>
    <row r="2032">
      <c r="B2032" s="178" t="s">
        <v>4045</v>
      </c>
      <c r="C2032" s="178" t="s">
        <v>4045</v>
      </c>
    </row>
    <row r="2033">
      <c r="B2033" s="178" t="s">
        <v>4046</v>
      </c>
      <c r="C2033" s="178" t="s">
        <v>4046</v>
      </c>
    </row>
    <row r="2034">
      <c r="B2034" s="178" t="s">
        <v>4047</v>
      </c>
      <c r="C2034" s="178" t="s">
        <v>4047</v>
      </c>
    </row>
    <row r="2035">
      <c r="B2035" s="178" t="s">
        <v>4048</v>
      </c>
      <c r="C2035" s="178" t="s">
        <v>4048</v>
      </c>
    </row>
    <row r="2036">
      <c r="B2036" s="178" t="s">
        <v>4049</v>
      </c>
      <c r="C2036" s="178" t="s">
        <v>4049</v>
      </c>
    </row>
    <row r="2037">
      <c r="B2037" s="178" t="s">
        <v>4050</v>
      </c>
      <c r="C2037" s="178" t="s">
        <v>4050</v>
      </c>
    </row>
    <row r="2038">
      <c r="B2038" s="178" t="s">
        <v>4051</v>
      </c>
      <c r="C2038" s="178" t="s">
        <v>4051</v>
      </c>
    </row>
    <row r="2039">
      <c r="B2039" s="178" t="s">
        <v>4052</v>
      </c>
      <c r="C2039" s="178" t="s">
        <v>4052</v>
      </c>
    </row>
    <row r="2040">
      <c r="B2040" s="178" t="s">
        <v>4053</v>
      </c>
      <c r="C2040" s="178" t="s">
        <v>4053</v>
      </c>
    </row>
    <row r="2041">
      <c r="B2041" s="178" t="s">
        <v>4054</v>
      </c>
      <c r="C2041" s="178" t="s">
        <v>4054</v>
      </c>
    </row>
    <row r="2042">
      <c r="B2042" s="178" t="s">
        <v>4055</v>
      </c>
      <c r="C2042" s="178" t="s">
        <v>4055</v>
      </c>
    </row>
    <row r="2043">
      <c r="B2043" s="178" t="s">
        <v>4056</v>
      </c>
      <c r="C2043" s="178" t="s">
        <v>4056</v>
      </c>
    </row>
    <row r="2044">
      <c r="B2044" s="178" t="s">
        <v>4057</v>
      </c>
      <c r="C2044" s="178" t="s">
        <v>4057</v>
      </c>
    </row>
    <row r="2045">
      <c r="B2045" s="178" t="s">
        <v>4058</v>
      </c>
      <c r="C2045" s="178" t="s">
        <v>4058</v>
      </c>
    </row>
    <row r="2046">
      <c r="B2046" s="178" t="s">
        <v>4059</v>
      </c>
      <c r="C2046" s="178" t="s">
        <v>4059</v>
      </c>
    </row>
    <row r="2047">
      <c r="B2047" s="178" t="s">
        <v>4060</v>
      </c>
      <c r="C2047" s="178" t="s">
        <v>4060</v>
      </c>
    </row>
    <row r="2048">
      <c r="B2048" s="178" t="s">
        <v>4061</v>
      </c>
      <c r="C2048" s="178" t="s">
        <v>4061</v>
      </c>
    </row>
    <row r="2049">
      <c r="B2049" s="178" t="s">
        <v>4062</v>
      </c>
      <c r="C2049" s="178" t="s">
        <v>4062</v>
      </c>
    </row>
    <row r="2050">
      <c r="B2050" s="178" t="s">
        <v>4063</v>
      </c>
      <c r="C2050" s="178" t="s">
        <v>4063</v>
      </c>
    </row>
    <row r="2051">
      <c r="B2051" s="178" t="s">
        <v>4064</v>
      </c>
      <c r="C2051" s="178" t="s">
        <v>4064</v>
      </c>
    </row>
    <row r="2052">
      <c r="B2052" s="178" t="s">
        <v>4065</v>
      </c>
      <c r="C2052" s="178" t="s">
        <v>4065</v>
      </c>
    </row>
    <row r="2053">
      <c r="B2053" s="178" t="s">
        <v>4066</v>
      </c>
      <c r="C2053" s="178" t="s">
        <v>4066</v>
      </c>
    </row>
    <row r="2054">
      <c r="B2054" s="178" t="s">
        <v>4067</v>
      </c>
      <c r="C2054" s="178" t="s">
        <v>4067</v>
      </c>
    </row>
    <row r="2055">
      <c r="B2055" s="178" t="s">
        <v>4068</v>
      </c>
      <c r="C2055" s="178" t="s">
        <v>4068</v>
      </c>
    </row>
    <row r="2056">
      <c r="B2056" s="178" t="s">
        <v>4069</v>
      </c>
      <c r="C2056" s="178" t="s">
        <v>4069</v>
      </c>
    </row>
    <row r="2057">
      <c r="B2057" s="178" t="s">
        <v>4070</v>
      </c>
      <c r="C2057" s="178" t="s">
        <v>4070</v>
      </c>
    </row>
    <row r="2058">
      <c r="B2058" s="178" t="s">
        <v>4071</v>
      </c>
      <c r="C2058" s="178" t="s">
        <v>4071</v>
      </c>
    </row>
    <row r="2059">
      <c r="B2059" s="178" t="s">
        <v>4072</v>
      </c>
      <c r="C2059" s="178" t="s">
        <v>4072</v>
      </c>
    </row>
    <row r="2060">
      <c r="B2060" s="178" t="s">
        <v>4073</v>
      </c>
      <c r="C2060" s="178" t="s">
        <v>4073</v>
      </c>
    </row>
    <row r="2061">
      <c r="B2061" s="178" t="s">
        <v>4074</v>
      </c>
      <c r="C2061" s="178" t="s">
        <v>4074</v>
      </c>
    </row>
    <row r="2062">
      <c r="B2062" s="178" t="s">
        <v>4075</v>
      </c>
      <c r="C2062" s="178" t="s">
        <v>4075</v>
      </c>
    </row>
    <row r="2063">
      <c r="B2063" s="178" t="s">
        <v>4076</v>
      </c>
      <c r="C2063" s="178" t="s">
        <v>4076</v>
      </c>
    </row>
    <row r="2064">
      <c r="B2064" s="178" t="s">
        <v>4077</v>
      </c>
      <c r="C2064" s="178" t="s">
        <v>4077</v>
      </c>
    </row>
    <row r="2065">
      <c r="B2065" s="178" t="s">
        <v>4078</v>
      </c>
      <c r="C2065" s="178" t="s">
        <v>4078</v>
      </c>
    </row>
    <row r="2066">
      <c r="B2066" s="178" t="s">
        <v>4079</v>
      </c>
      <c r="C2066" s="178" t="s">
        <v>4079</v>
      </c>
    </row>
    <row r="2067">
      <c r="B2067" s="178" t="s">
        <v>4080</v>
      </c>
      <c r="C2067" s="178" t="s">
        <v>4080</v>
      </c>
    </row>
    <row r="2068">
      <c r="B2068" s="178" t="s">
        <v>4081</v>
      </c>
      <c r="C2068" s="178" t="s">
        <v>4081</v>
      </c>
    </row>
    <row r="2069">
      <c r="B2069" s="178" t="s">
        <v>4082</v>
      </c>
      <c r="C2069" s="178" t="s">
        <v>4082</v>
      </c>
    </row>
    <row r="2070">
      <c r="B2070" s="178" t="s">
        <v>4083</v>
      </c>
      <c r="C2070" s="178" t="s">
        <v>4083</v>
      </c>
    </row>
    <row r="2071">
      <c r="B2071" s="178" t="s">
        <v>4084</v>
      </c>
      <c r="C2071" s="178" t="s">
        <v>4084</v>
      </c>
    </row>
    <row r="2072">
      <c r="B2072" s="178" t="s">
        <v>4085</v>
      </c>
      <c r="C2072" s="178" t="s">
        <v>4085</v>
      </c>
    </row>
    <row r="2073">
      <c r="B2073" s="178" t="s">
        <v>4086</v>
      </c>
      <c r="C2073" s="178" t="s">
        <v>4086</v>
      </c>
    </row>
    <row r="2074">
      <c r="B2074" s="178" t="s">
        <v>4087</v>
      </c>
      <c r="C2074" s="178" t="s">
        <v>4087</v>
      </c>
    </row>
    <row r="2075">
      <c r="B2075" s="178" t="s">
        <v>4088</v>
      </c>
      <c r="C2075" s="178" t="s">
        <v>4088</v>
      </c>
    </row>
    <row r="2076">
      <c r="B2076" s="178" t="s">
        <v>4089</v>
      </c>
      <c r="C2076" s="178" t="s">
        <v>4089</v>
      </c>
    </row>
    <row r="2077">
      <c r="B2077" s="178" t="s">
        <v>4090</v>
      </c>
      <c r="C2077" s="178" t="s">
        <v>4090</v>
      </c>
    </row>
    <row r="2078">
      <c r="B2078" s="178" t="s">
        <v>4091</v>
      </c>
      <c r="C2078" s="178" t="s">
        <v>4091</v>
      </c>
    </row>
    <row r="2079">
      <c r="B2079" s="178" t="s">
        <v>4092</v>
      </c>
      <c r="C2079" s="178" t="s">
        <v>4092</v>
      </c>
    </row>
    <row r="2080">
      <c r="B2080" s="178" t="s">
        <v>4093</v>
      </c>
      <c r="C2080" s="178" t="s">
        <v>4093</v>
      </c>
    </row>
    <row r="2081">
      <c r="B2081" s="178" t="s">
        <v>4094</v>
      </c>
      <c r="C2081" s="178" t="s">
        <v>4094</v>
      </c>
    </row>
    <row r="2082">
      <c r="B2082" s="178" t="s">
        <v>4095</v>
      </c>
      <c r="C2082" s="178" t="s">
        <v>4095</v>
      </c>
    </row>
    <row r="2083">
      <c r="B2083" s="178" t="s">
        <v>4096</v>
      </c>
      <c r="C2083" s="178" t="s">
        <v>4096</v>
      </c>
    </row>
    <row r="2084">
      <c r="B2084" s="178" t="s">
        <v>4097</v>
      </c>
      <c r="C2084" s="178" t="s">
        <v>4097</v>
      </c>
    </row>
    <row r="2085">
      <c r="A2085" s="29" t="s">
        <v>1890</v>
      </c>
      <c r="B2085" s="178" t="s">
        <v>4098</v>
      </c>
      <c r="C2085" s="178" t="s">
        <v>4098</v>
      </c>
    </row>
    <row r="2086">
      <c r="B2086" s="178" t="s">
        <v>4099</v>
      </c>
      <c r="C2086" s="178" t="s">
        <v>4099</v>
      </c>
    </row>
    <row r="2087">
      <c r="B2087" s="178" t="s">
        <v>4100</v>
      </c>
      <c r="C2087" s="178" t="s">
        <v>4100</v>
      </c>
    </row>
    <row r="2088">
      <c r="B2088" s="179"/>
      <c r="C2088" s="179"/>
    </row>
    <row r="2089">
      <c r="B2089" s="180"/>
      <c r="C2089" s="180"/>
    </row>
    <row r="2090">
      <c r="B2090" s="180"/>
      <c r="C2090" s="180"/>
    </row>
    <row r="2091">
      <c r="B2091" s="181"/>
      <c r="C2091" s="181"/>
    </row>
    <row r="2092">
      <c r="B2092" s="181"/>
      <c r="C2092" s="181"/>
    </row>
    <row r="2093">
      <c r="B2093" s="181"/>
      <c r="C2093" s="181"/>
    </row>
    <row r="2094">
      <c r="B2094" s="181"/>
      <c r="C2094" s="181"/>
    </row>
    <row r="2095">
      <c r="B2095" s="181"/>
      <c r="C2095" s="181"/>
    </row>
    <row r="2096">
      <c r="B2096" s="181"/>
      <c r="C2096" s="181"/>
    </row>
    <row r="2097">
      <c r="B2097" s="181"/>
      <c r="C2097" s="181"/>
    </row>
    <row r="2098">
      <c r="B2098" s="181"/>
      <c r="C2098" s="181"/>
    </row>
    <row r="2099">
      <c r="B2099" s="181"/>
      <c r="C2099" s="181"/>
    </row>
    <row r="2100">
      <c r="B2100" s="181"/>
      <c r="C2100" s="181"/>
    </row>
    <row r="2101">
      <c r="B2101" s="181"/>
      <c r="C2101" s="181"/>
    </row>
    <row r="2102">
      <c r="B2102" s="182"/>
      <c r="C2102" s="182"/>
    </row>
    <row r="2103">
      <c r="B2103" s="183" t="s">
        <v>4101</v>
      </c>
      <c r="C2103" s="183" t="s">
        <v>4101</v>
      </c>
    </row>
    <row r="2104">
      <c r="B2104" s="183" t="s">
        <v>4102</v>
      </c>
      <c r="C2104" s="183" t="s">
        <v>4102</v>
      </c>
    </row>
    <row r="2105">
      <c r="B2105" s="184" t="s">
        <v>4103</v>
      </c>
      <c r="C2105" s="184" t="s">
        <v>4103</v>
      </c>
    </row>
    <row r="2106">
      <c r="B2106" s="184" t="s">
        <v>4104</v>
      </c>
      <c r="C2106" s="184" t="s">
        <v>4104</v>
      </c>
    </row>
  </sheetData>
  <hyperlinks>
    <hyperlink r:id="rId1" location="a" ref="A2"/>
    <hyperlink r:id="rId2" location="b" ref="A36"/>
    <hyperlink r:id="rId3" location="c" ref="A57"/>
    <hyperlink r:id="rId4" location="e" ref="A174"/>
    <hyperlink r:id="rId5" location="f" ref="A175"/>
    <hyperlink r:id="rId6" location="g" ref="A176"/>
    <hyperlink r:id="rId7" location="h" ref="A177"/>
    <hyperlink r:id="rId8" location="i" ref="A178"/>
    <hyperlink r:id="rId9" location="j" ref="A179"/>
    <hyperlink r:id="rId10" location="k" ref="A180"/>
    <hyperlink r:id="rId11" location="l" ref="A181"/>
    <hyperlink r:id="rId12" location="m" ref="A182"/>
    <hyperlink r:id="rId13" location="n" ref="A183"/>
    <hyperlink r:id="rId14" location="o" ref="A184"/>
    <hyperlink r:id="rId15" location="p" ref="A185"/>
    <hyperlink r:id="rId16" location="q25" ref="A186"/>
    <hyperlink r:id="rId17" location="r" ref="A187"/>
    <hyperlink r:id="rId18" location="s" ref="A188"/>
    <hyperlink r:id="rId19" location="t" ref="A189"/>
    <hyperlink r:id="rId20" ref="B964"/>
    <hyperlink r:id="rId21" ref="C964"/>
    <hyperlink r:id="rId22" ref="B965"/>
    <hyperlink r:id="rId23" ref="C965"/>
    <hyperlink r:id="rId24" ref="B997"/>
    <hyperlink r:id="rId25" ref="C997"/>
    <hyperlink r:id="rId26" ref="B998"/>
    <hyperlink r:id="rId27" ref="C998"/>
    <hyperlink r:id="rId28" ref="B1069"/>
    <hyperlink r:id="rId29" ref="C1069"/>
    <hyperlink r:id="rId30" ref="B1070"/>
    <hyperlink r:id="rId31" ref="C1070"/>
    <hyperlink r:id="rId32" ref="B1174"/>
    <hyperlink r:id="rId33" ref="C1174"/>
    <hyperlink r:id="rId34" ref="B1175"/>
    <hyperlink r:id="rId35" ref="C1175"/>
    <hyperlink r:id="rId36" ref="B1451"/>
    <hyperlink r:id="rId37" ref="C1451"/>
    <hyperlink r:id="rId38" ref="B1452"/>
    <hyperlink r:id="rId39" ref="C1452"/>
    <hyperlink r:id="rId40" ref="B1555"/>
    <hyperlink r:id="rId41" ref="C1555"/>
    <hyperlink r:id="rId42" ref="B1556"/>
    <hyperlink r:id="rId43" ref="C1556"/>
    <hyperlink r:id="rId44" ref="B1603"/>
    <hyperlink r:id="rId45" ref="C1603"/>
    <hyperlink r:id="rId46" ref="B1604"/>
    <hyperlink r:id="rId47" ref="C1604"/>
    <hyperlink r:id="rId48" ref="B1674"/>
    <hyperlink r:id="rId49" ref="C1674"/>
    <hyperlink r:id="rId50" ref="B1675"/>
    <hyperlink r:id="rId51" ref="C1675"/>
    <hyperlink r:id="rId52" ref="B1725"/>
    <hyperlink r:id="rId53" ref="C1725"/>
    <hyperlink r:id="rId54" ref="B1726"/>
    <hyperlink r:id="rId55" ref="C1726"/>
    <hyperlink r:id="rId56" ref="B1822"/>
    <hyperlink r:id="rId57" ref="C1822"/>
    <hyperlink r:id="rId58" ref="B1823"/>
    <hyperlink r:id="rId59" ref="C1823"/>
    <hyperlink r:id="rId60" ref="B1877"/>
    <hyperlink r:id="rId61" ref="C1877"/>
    <hyperlink r:id="rId62" ref="B1878"/>
    <hyperlink r:id="rId63" ref="C1878"/>
    <hyperlink r:id="rId64" ref="B1941"/>
    <hyperlink r:id="rId65" ref="C1941"/>
    <hyperlink r:id="rId66" ref="B1942"/>
    <hyperlink r:id="rId67" ref="C1942"/>
    <hyperlink r:id="rId68" ref="B1961"/>
    <hyperlink r:id="rId69" ref="C1961"/>
    <hyperlink r:id="rId70" ref="B1962"/>
    <hyperlink r:id="rId71" ref="C1962"/>
    <hyperlink r:id="rId72" ref="B2072"/>
    <hyperlink r:id="rId73" ref="C2072"/>
    <hyperlink r:id="rId74" ref="B2103"/>
    <hyperlink r:id="rId75" ref="C2103"/>
    <hyperlink r:id="rId76" ref="B2104"/>
    <hyperlink r:id="rId77" ref="C2104"/>
    <hyperlink r:id="rId78" ref="B2105"/>
    <hyperlink r:id="rId79" ref="C2105"/>
  </hyperlinks>
  <drawing r:id="rId80"/>
</worksheet>
</file>