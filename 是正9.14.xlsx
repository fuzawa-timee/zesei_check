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zawanaoto/Downloads/"/>
    </mc:Choice>
  </mc:AlternateContent>
  <xr:revisionPtr revIDLastSave="0" documentId="8_{A1DA2CB7-E370-4045-9733-9BE22E82F51A}" xr6:coauthVersionLast="47" xr6:coauthVersionMax="47" xr10:uidLastSave="{00000000-0000-0000-0000-000000000000}"/>
  <bookViews>
    <workbookView xWindow="35100" yWindow="1260" windowWidth="28300" windowHeight="17360" activeTab="2" xr2:uid="{3EE1D5AB-BA9E-8A44-9FA5-3BBEFABFE7B5}"/>
  </bookViews>
  <sheets>
    <sheet name="データ" sheetId="2" r:id="rId1"/>
    <sheet name="サマリ" sheetId="3" r:id="rId2"/>
    <sheet name="総評" sheetId="4" r:id="rId3"/>
    <sheet name="Data Source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6" i="3" l="1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E25" i="3"/>
  <c r="D25" i="3"/>
  <c r="C25" i="3"/>
  <c r="B25" i="3"/>
  <c r="A25" i="3"/>
  <c r="A34" i="4"/>
  <c r="A33" i="4"/>
  <c r="A30" i="4"/>
  <c r="A29" i="4"/>
  <c r="A26" i="4"/>
  <c r="A25" i="4"/>
  <c r="A22" i="4"/>
  <c r="A21" i="4"/>
  <c r="A18" i="4"/>
  <c r="A17" i="4"/>
  <c r="A14" i="4"/>
  <c r="A13" i="4"/>
  <c r="B15" i="3"/>
  <c r="P15" i="3" s="1"/>
  <c r="C15" i="3"/>
  <c r="D15" i="3"/>
  <c r="E15" i="3" s="1"/>
  <c r="G15" i="3"/>
  <c r="H15" i="3" s="1"/>
  <c r="M15" i="3"/>
  <c r="N15" i="3" s="1"/>
  <c r="O15" i="3"/>
  <c r="Q15" i="3"/>
  <c r="S15" i="3"/>
  <c r="T15" i="3" s="1"/>
  <c r="U15" i="3"/>
  <c r="B16" i="3"/>
  <c r="P16" i="3" s="1"/>
  <c r="C16" i="3"/>
  <c r="E16" i="3" s="1"/>
  <c r="D16" i="3"/>
  <c r="F16" i="3" s="1"/>
  <c r="G16" i="3"/>
  <c r="H16" i="3" s="1"/>
  <c r="M16" i="3"/>
  <c r="N16" i="3" s="1"/>
  <c r="O16" i="3"/>
  <c r="Q16" i="3"/>
  <c r="S16" i="3"/>
  <c r="T16" i="3"/>
  <c r="U16" i="3"/>
  <c r="V16" i="3"/>
  <c r="B17" i="3"/>
  <c r="P17" i="3" s="1"/>
  <c r="C17" i="3"/>
  <c r="H17" i="3" s="1"/>
  <c r="D17" i="3"/>
  <c r="E17" i="3" s="1"/>
  <c r="G17" i="3"/>
  <c r="I17" i="3" s="1"/>
  <c r="L17" i="3"/>
  <c r="M17" i="3"/>
  <c r="N17" i="3" s="1"/>
  <c r="O17" i="3"/>
  <c r="Q17" i="3"/>
  <c r="S17" i="3"/>
  <c r="T17" i="3" s="1"/>
  <c r="U17" i="3"/>
  <c r="B18" i="3"/>
  <c r="R18" i="3" s="1"/>
  <c r="C18" i="3"/>
  <c r="D18" i="3"/>
  <c r="F18" i="3" s="1"/>
  <c r="G18" i="3"/>
  <c r="H18" i="3" s="1"/>
  <c r="M18" i="3"/>
  <c r="N18" i="3" s="1"/>
  <c r="O18" i="3"/>
  <c r="Q18" i="3"/>
  <c r="S18" i="3"/>
  <c r="T18" i="3"/>
  <c r="U18" i="3"/>
  <c r="B19" i="3"/>
  <c r="C19" i="3"/>
  <c r="D19" i="3"/>
  <c r="V19" i="3" s="1"/>
  <c r="E19" i="3"/>
  <c r="F19" i="3"/>
  <c r="G19" i="3"/>
  <c r="I19" i="3" s="1"/>
  <c r="H19" i="3"/>
  <c r="M19" i="3"/>
  <c r="N19" i="3"/>
  <c r="O19" i="3"/>
  <c r="P19" i="3"/>
  <c r="Q19" i="3"/>
  <c r="R19" i="3" s="1"/>
  <c r="S19" i="3"/>
  <c r="T19" i="3" s="1"/>
  <c r="U19" i="3"/>
  <c r="B20" i="3"/>
  <c r="F20" i="3" s="1"/>
  <c r="C20" i="3"/>
  <c r="D20" i="3"/>
  <c r="V20" i="3" s="1"/>
  <c r="E20" i="3"/>
  <c r="G20" i="3"/>
  <c r="H20" i="3" s="1"/>
  <c r="M20" i="3"/>
  <c r="N20" i="3" s="1"/>
  <c r="O20" i="3"/>
  <c r="Q20" i="3"/>
  <c r="S20" i="3"/>
  <c r="T20" i="3" s="1"/>
  <c r="U20" i="3"/>
  <c r="U11" i="3"/>
  <c r="S11" i="3"/>
  <c r="T11" i="3" s="1"/>
  <c r="Q11" i="3"/>
  <c r="O11" i="3"/>
  <c r="M11" i="3"/>
  <c r="G11" i="3"/>
  <c r="K11" i="3" s="1"/>
  <c r="D11" i="3"/>
  <c r="V11" i="3" s="1"/>
  <c r="C11" i="3"/>
  <c r="B11" i="3"/>
  <c r="R11" i="3" s="1"/>
  <c r="U10" i="3"/>
  <c r="S10" i="3"/>
  <c r="T10" i="3" s="1"/>
  <c r="Q10" i="3"/>
  <c r="O10" i="3"/>
  <c r="M10" i="3"/>
  <c r="G10" i="3"/>
  <c r="D10" i="3"/>
  <c r="C10" i="3"/>
  <c r="B10" i="3"/>
  <c r="R10" i="3" s="1"/>
  <c r="V9" i="3"/>
  <c r="U9" i="3"/>
  <c r="S9" i="3"/>
  <c r="T9" i="3" s="1"/>
  <c r="Q9" i="3"/>
  <c r="O9" i="3"/>
  <c r="M9" i="3"/>
  <c r="G9" i="3"/>
  <c r="D9" i="3"/>
  <c r="C9" i="3"/>
  <c r="H9" i="3" s="1"/>
  <c r="B9" i="3"/>
  <c r="R9" i="3" s="1"/>
  <c r="U8" i="3"/>
  <c r="S8" i="3"/>
  <c r="T8" i="3" s="1"/>
  <c r="Q8" i="3"/>
  <c r="O8" i="3"/>
  <c r="M8" i="3"/>
  <c r="G8" i="3"/>
  <c r="H8" i="3" s="1"/>
  <c r="D8" i="3"/>
  <c r="F8" i="3" s="1"/>
  <c r="C8" i="3"/>
  <c r="B8" i="3"/>
  <c r="R8" i="3" s="1"/>
  <c r="U7" i="3"/>
  <c r="S7" i="3"/>
  <c r="T7" i="3" s="1"/>
  <c r="Q7" i="3"/>
  <c r="O7" i="3"/>
  <c r="M7" i="3"/>
  <c r="L7" i="3"/>
  <c r="K7" i="3"/>
  <c r="G7" i="3"/>
  <c r="J7" i="3" s="1"/>
  <c r="D7" i="3"/>
  <c r="C7" i="3"/>
  <c r="H7" i="3" s="1"/>
  <c r="B7" i="3"/>
  <c r="R7" i="3" s="1"/>
  <c r="U6" i="3"/>
  <c r="S6" i="3"/>
  <c r="T6" i="3" s="1"/>
  <c r="Q6" i="3"/>
  <c r="O6" i="3"/>
  <c r="M6" i="3"/>
  <c r="G6" i="3"/>
  <c r="K6" i="3" s="1"/>
  <c r="D6" i="3"/>
  <c r="V6" i="3" s="1"/>
  <c r="C6" i="3"/>
  <c r="B6" i="3"/>
  <c r="P6" i="3" s="1"/>
  <c r="R3" i="2"/>
  <c r="S3" i="2"/>
  <c r="T3" i="2"/>
  <c r="U3" i="2"/>
  <c r="V3" i="2"/>
  <c r="R4" i="2"/>
  <c r="S4" i="2"/>
  <c r="T4" i="2"/>
  <c r="U4" i="2"/>
  <c r="V4" i="2"/>
  <c r="R5" i="2"/>
  <c r="S5" i="2"/>
  <c r="T5" i="2"/>
  <c r="U5" i="2"/>
  <c r="V5" i="2"/>
  <c r="R6" i="2"/>
  <c r="S6" i="2"/>
  <c r="T6" i="2"/>
  <c r="U6" i="2"/>
  <c r="V6" i="2"/>
  <c r="R7" i="2"/>
  <c r="S7" i="2"/>
  <c r="T7" i="2"/>
  <c r="U7" i="2"/>
  <c r="V7" i="2"/>
  <c r="R8" i="2"/>
  <c r="S8" i="2"/>
  <c r="T8" i="2"/>
  <c r="U8" i="2"/>
  <c r="V8" i="2"/>
  <c r="R9" i="2"/>
  <c r="S9" i="2"/>
  <c r="T9" i="2"/>
  <c r="U9" i="2"/>
  <c r="V9" i="2"/>
  <c r="R10" i="2"/>
  <c r="S10" i="2"/>
  <c r="T10" i="2"/>
  <c r="U10" i="2"/>
  <c r="V10" i="2"/>
  <c r="R11" i="2"/>
  <c r="S11" i="2"/>
  <c r="T11" i="2"/>
  <c r="U11" i="2"/>
  <c r="V11" i="2"/>
  <c r="R12" i="2"/>
  <c r="S12" i="2"/>
  <c r="T12" i="2"/>
  <c r="U12" i="2"/>
  <c r="V12" i="2"/>
  <c r="R13" i="2"/>
  <c r="S13" i="2"/>
  <c r="T13" i="2"/>
  <c r="U13" i="2"/>
  <c r="V13" i="2"/>
  <c r="R14" i="2"/>
  <c r="S14" i="2"/>
  <c r="T14" i="2"/>
  <c r="U14" i="2"/>
  <c r="V14" i="2"/>
  <c r="R15" i="2"/>
  <c r="S15" i="2"/>
  <c r="T15" i="2"/>
  <c r="U15" i="2"/>
  <c r="V15" i="2"/>
  <c r="R16" i="2"/>
  <c r="S16" i="2"/>
  <c r="T16" i="2"/>
  <c r="U16" i="2"/>
  <c r="V16" i="2"/>
  <c r="R17" i="2"/>
  <c r="S17" i="2"/>
  <c r="T17" i="2"/>
  <c r="U17" i="2"/>
  <c r="V17" i="2"/>
  <c r="R18" i="2"/>
  <c r="S18" i="2"/>
  <c r="T18" i="2"/>
  <c r="U18" i="2"/>
  <c r="V18" i="2"/>
  <c r="R19" i="2"/>
  <c r="S19" i="2"/>
  <c r="T19" i="2"/>
  <c r="U19" i="2"/>
  <c r="V19" i="2"/>
  <c r="R20" i="2"/>
  <c r="S20" i="2"/>
  <c r="T20" i="2"/>
  <c r="U20" i="2"/>
  <c r="V20" i="2"/>
  <c r="R21" i="2"/>
  <c r="S21" i="2"/>
  <c r="T21" i="2"/>
  <c r="U21" i="2"/>
  <c r="V21" i="2"/>
  <c r="R22" i="2"/>
  <c r="S22" i="2"/>
  <c r="T22" i="2"/>
  <c r="U22" i="2"/>
  <c r="V22" i="2"/>
  <c r="R23" i="2"/>
  <c r="S23" i="2"/>
  <c r="T23" i="2"/>
  <c r="U23" i="2"/>
  <c r="V23" i="2"/>
  <c r="R24" i="2"/>
  <c r="S24" i="2"/>
  <c r="T24" i="2"/>
  <c r="U24" i="2"/>
  <c r="V24" i="2"/>
  <c r="R25" i="2"/>
  <c r="S25" i="2"/>
  <c r="T25" i="2"/>
  <c r="U25" i="2"/>
  <c r="V25" i="2"/>
  <c r="R26" i="2"/>
  <c r="S26" i="2"/>
  <c r="T26" i="2"/>
  <c r="U26" i="2"/>
  <c r="V26" i="2"/>
  <c r="R27" i="2"/>
  <c r="S27" i="2"/>
  <c r="T27" i="2"/>
  <c r="U27" i="2"/>
  <c r="V27" i="2"/>
  <c r="R28" i="2"/>
  <c r="S28" i="2"/>
  <c r="T28" i="2"/>
  <c r="U28" i="2"/>
  <c r="V28" i="2"/>
  <c r="R29" i="2"/>
  <c r="S29" i="2"/>
  <c r="T29" i="2"/>
  <c r="U29" i="2"/>
  <c r="V29" i="2"/>
  <c r="R30" i="2"/>
  <c r="S30" i="2"/>
  <c r="T30" i="2"/>
  <c r="U30" i="2"/>
  <c r="V30" i="2"/>
  <c r="R31" i="2"/>
  <c r="S31" i="2"/>
  <c r="T31" i="2"/>
  <c r="U31" i="2"/>
  <c r="V31" i="2"/>
  <c r="R32" i="2"/>
  <c r="S32" i="2"/>
  <c r="T32" i="2"/>
  <c r="U32" i="2"/>
  <c r="V32" i="2"/>
  <c r="R33" i="2"/>
  <c r="S33" i="2"/>
  <c r="T33" i="2"/>
  <c r="U33" i="2"/>
  <c r="V33" i="2"/>
  <c r="R34" i="2"/>
  <c r="S34" i="2"/>
  <c r="T34" i="2"/>
  <c r="U34" i="2"/>
  <c r="V34" i="2"/>
  <c r="R35" i="2"/>
  <c r="S35" i="2"/>
  <c r="T35" i="2"/>
  <c r="U35" i="2"/>
  <c r="V35" i="2"/>
  <c r="R36" i="2"/>
  <c r="S36" i="2"/>
  <c r="T36" i="2"/>
  <c r="U36" i="2"/>
  <c r="V36" i="2"/>
  <c r="R37" i="2"/>
  <c r="S37" i="2"/>
  <c r="T37" i="2"/>
  <c r="U37" i="2"/>
  <c r="V37" i="2"/>
  <c r="R38" i="2"/>
  <c r="S38" i="2"/>
  <c r="T38" i="2"/>
  <c r="U38" i="2"/>
  <c r="V38" i="2"/>
  <c r="R39" i="2"/>
  <c r="S39" i="2"/>
  <c r="T39" i="2"/>
  <c r="U39" i="2"/>
  <c r="V39" i="2"/>
  <c r="R40" i="2"/>
  <c r="S40" i="2"/>
  <c r="T40" i="2"/>
  <c r="U40" i="2"/>
  <c r="V40" i="2"/>
  <c r="R41" i="2"/>
  <c r="S41" i="2"/>
  <c r="T41" i="2"/>
  <c r="U41" i="2"/>
  <c r="V41" i="2"/>
  <c r="R42" i="2"/>
  <c r="S42" i="2"/>
  <c r="T42" i="2"/>
  <c r="U42" i="2"/>
  <c r="V42" i="2"/>
  <c r="R43" i="2"/>
  <c r="S43" i="2"/>
  <c r="T43" i="2"/>
  <c r="U43" i="2"/>
  <c r="V43" i="2"/>
  <c r="R44" i="2"/>
  <c r="S44" i="2"/>
  <c r="T44" i="2"/>
  <c r="U44" i="2"/>
  <c r="V44" i="2"/>
  <c r="R45" i="2"/>
  <c r="S45" i="2"/>
  <c r="T45" i="2"/>
  <c r="U45" i="2"/>
  <c r="V45" i="2"/>
  <c r="R46" i="2"/>
  <c r="S46" i="2"/>
  <c r="T46" i="2"/>
  <c r="U46" i="2"/>
  <c r="V46" i="2"/>
  <c r="R47" i="2"/>
  <c r="S47" i="2"/>
  <c r="T47" i="2"/>
  <c r="U47" i="2"/>
  <c r="V47" i="2"/>
  <c r="R48" i="2"/>
  <c r="S48" i="2"/>
  <c r="T48" i="2"/>
  <c r="U48" i="2"/>
  <c r="V48" i="2"/>
  <c r="R49" i="2"/>
  <c r="S49" i="2"/>
  <c r="T49" i="2"/>
  <c r="U49" i="2"/>
  <c r="V49" i="2"/>
  <c r="R50" i="2"/>
  <c r="S50" i="2"/>
  <c r="T50" i="2"/>
  <c r="U50" i="2"/>
  <c r="V50" i="2"/>
  <c r="R51" i="2"/>
  <c r="S51" i="2"/>
  <c r="T51" i="2"/>
  <c r="U51" i="2"/>
  <c r="V51" i="2"/>
  <c r="R52" i="2"/>
  <c r="S52" i="2"/>
  <c r="T52" i="2"/>
  <c r="U52" i="2"/>
  <c r="V52" i="2"/>
  <c r="R53" i="2"/>
  <c r="S53" i="2"/>
  <c r="T53" i="2"/>
  <c r="U53" i="2"/>
  <c r="V53" i="2"/>
  <c r="R54" i="2"/>
  <c r="S54" i="2"/>
  <c r="T54" i="2"/>
  <c r="U54" i="2"/>
  <c r="V54" i="2"/>
  <c r="R55" i="2"/>
  <c r="S55" i="2"/>
  <c r="T55" i="2"/>
  <c r="U55" i="2"/>
  <c r="V55" i="2"/>
  <c r="R56" i="2"/>
  <c r="S56" i="2"/>
  <c r="T56" i="2"/>
  <c r="U56" i="2"/>
  <c r="V56" i="2"/>
  <c r="R57" i="2"/>
  <c r="S57" i="2"/>
  <c r="T57" i="2"/>
  <c r="U57" i="2"/>
  <c r="V57" i="2"/>
  <c r="R58" i="2"/>
  <c r="S58" i="2"/>
  <c r="T58" i="2"/>
  <c r="U58" i="2"/>
  <c r="V58" i="2"/>
  <c r="R59" i="2"/>
  <c r="S59" i="2"/>
  <c r="T59" i="2"/>
  <c r="U59" i="2"/>
  <c r="V59" i="2"/>
  <c r="R60" i="2"/>
  <c r="S60" i="2"/>
  <c r="T60" i="2"/>
  <c r="U60" i="2"/>
  <c r="V60" i="2"/>
  <c r="R61" i="2"/>
  <c r="S61" i="2"/>
  <c r="T61" i="2"/>
  <c r="U61" i="2"/>
  <c r="V61" i="2"/>
  <c r="R62" i="2"/>
  <c r="S62" i="2"/>
  <c r="T62" i="2"/>
  <c r="U62" i="2"/>
  <c r="V62" i="2"/>
  <c r="R63" i="2"/>
  <c r="S63" i="2"/>
  <c r="T63" i="2"/>
  <c r="U63" i="2"/>
  <c r="V63" i="2"/>
  <c r="R64" i="2"/>
  <c r="S64" i="2"/>
  <c r="T64" i="2"/>
  <c r="U64" i="2"/>
  <c r="V64" i="2"/>
  <c r="R65" i="2"/>
  <c r="S65" i="2"/>
  <c r="T65" i="2"/>
  <c r="U65" i="2"/>
  <c r="V65" i="2"/>
  <c r="R66" i="2"/>
  <c r="S66" i="2"/>
  <c r="T66" i="2"/>
  <c r="U66" i="2"/>
  <c r="V66" i="2"/>
  <c r="R67" i="2"/>
  <c r="S67" i="2"/>
  <c r="T67" i="2"/>
  <c r="U67" i="2"/>
  <c r="V67" i="2"/>
  <c r="R68" i="2"/>
  <c r="S68" i="2"/>
  <c r="T68" i="2"/>
  <c r="U68" i="2"/>
  <c r="V68" i="2"/>
  <c r="R69" i="2"/>
  <c r="S69" i="2"/>
  <c r="T69" i="2"/>
  <c r="U69" i="2"/>
  <c r="V69" i="2"/>
  <c r="R70" i="2"/>
  <c r="S70" i="2"/>
  <c r="T70" i="2"/>
  <c r="U70" i="2"/>
  <c r="V70" i="2"/>
  <c r="R71" i="2"/>
  <c r="S71" i="2"/>
  <c r="T71" i="2"/>
  <c r="U71" i="2"/>
  <c r="V71" i="2"/>
  <c r="R72" i="2"/>
  <c r="S72" i="2"/>
  <c r="T72" i="2"/>
  <c r="U72" i="2"/>
  <c r="V72" i="2"/>
  <c r="R73" i="2"/>
  <c r="S73" i="2"/>
  <c r="T73" i="2"/>
  <c r="U73" i="2"/>
  <c r="V73" i="2"/>
  <c r="R74" i="2"/>
  <c r="S74" i="2"/>
  <c r="T74" i="2"/>
  <c r="U74" i="2"/>
  <c r="V74" i="2"/>
  <c r="R75" i="2"/>
  <c r="S75" i="2"/>
  <c r="T75" i="2"/>
  <c r="U75" i="2"/>
  <c r="V75" i="2"/>
  <c r="R76" i="2"/>
  <c r="S76" i="2"/>
  <c r="T76" i="2"/>
  <c r="U76" i="2"/>
  <c r="V76" i="2"/>
  <c r="R77" i="2"/>
  <c r="S77" i="2"/>
  <c r="T77" i="2"/>
  <c r="U77" i="2"/>
  <c r="V77" i="2"/>
  <c r="R78" i="2"/>
  <c r="S78" i="2"/>
  <c r="T78" i="2"/>
  <c r="U78" i="2"/>
  <c r="V78" i="2"/>
  <c r="R79" i="2"/>
  <c r="S79" i="2"/>
  <c r="T79" i="2"/>
  <c r="U79" i="2"/>
  <c r="V79" i="2"/>
  <c r="R80" i="2"/>
  <c r="S80" i="2"/>
  <c r="T80" i="2"/>
  <c r="U80" i="2"/>
  <c r="V80" i="2"/>
  <c r="R81" i="2"/>
  <c r="S81" i="2"/>
  <c r="T81" i="2"/>
  <c r="U81" i="2"/>
  <c r="V81" i="2"/>
  <c r="R82" i="2"/>
  <c r="S82" i="2"/>
  <c r="T82" i="2"/>
  <c r="U82" i="2"/>
  <c r="V82" i="2"/>
  <c r="R83" i="2"/>
  <c r="S83" i="2"/>
  <c r="T83" i="2"/>
  <c r="U83" i="2"/>
  <c r="V83" i="2"/>
  <c r="R84" i="2"/>
  <c r="S84" i="2"/>
  <c r="T84" i="2"/>
  <c r="U84" i="2"/>
  <c r="V84" i="2"/>
  <c r="R85" i="2"/>
  <c r="S85" i="2"/>
  <c r="T85" i="2"/>
  <c r="U85" i="2"/>
  <c r="V85" i="2"/>
  <c r="R86" i="2"/>
  <c r="S86" i="2"/>
  <c r="T86" i="2"/>
  <c r="U86" i="2"/>
  <c r="V86" i="2"/>
  <c r="R87" i="2"/>
  <c r="S87" i="2"/>
  <c r="T87" i="2"/>
  <c r="U87" i="2"/>
  <c r="V87" i="2"/>
  <c r="R88" i="2"/>
  <c r="S88" i="2"/>
  <c r="T88" i="2"/>
  <c r="U88" i="2"/>
  <c r="V88" i="2"/>
  <c r="R89" i="2"/>
  <c r="S89" i="2"/>
  <c r="T89" i="2"/>
  <c r="U89" i="2"/>
  <c r="V89" i="2"/>
  <c r="R90" i="2"/>
  <c r="S90" i="2"/>
  <c r="T90" i="2"/>
  <c r="U90" i="2"/>
  <c r="V90" i="2"/>
  <c r="R91" i="2"/>
  <c r="S91" i="2"/>
  <c r="T91" i="2"/>
  <c r="U91" i="2"/>
  <c r="V91" i="2"/>
  <c r="R92" i="2"/>
  <c r="S92" i="2"/>
  <c r="T92" i="2"/>
  <c r="U92" i="2"/>
  <c r="V92" i="2"/>
  <c r="R93" i="2"/>
  <c r="S93" i="2"/>
  <c r="T93" i="2"/>
  <c r="U93" i="2"/>
  <c r="V93" i="2"/>
  <c r="R94" i="2"/>
  <c r="S94" i="2"/>
  <c r="T94" i="2"/>
  <c r="U94" i="2"/>
  <c r="V94" i="2"/>
  <c r="R95" i="2"/>
  <c r="S95" i="2"/>
  <c r="T95" i="2"/>
  <c r="U95" i="2"/>
  <c r="V95" i="2"/>
  <c r="R96" i="2"/>
  <c r="S96" i="2"/>
  <c r="T96" i="2"/>
  <c r="U96" i="2"/>
  <c r="V96" i="2"/>
  <c r="R97" i="2"/>
  <c r="S97" i="2"/>
  <c r="T97" i="2"/>
  <c r="U97" i="2"/>
  <c r="V97" i="2"/>
  <c r="R98" i="2"/>
  <c r="S98" i="2"/>
  <c r="T98" i="2"/>
  <c r="U98" i="2"/>
  <c r="V98" i="2"/>
  <c r="R99" i="2"/>
  <c r="S99" i="2"/>
  <c r="T99" i="2"/>
  <c r="U99" i="2"/>
  <c r="V99" i="2"/>
  <c r="R100" i="2"/>
  <c r="S100" i="2"/>
  <c r="T100" i="2"/>
  <c r="U100" i="2"/>
  <c r="V100" i="2"/>
  <c r="R101" i="2"/>
  <c r="S101" i="2"/>
  <c r="T101" i="2"/>
  <c r="U101" i="2"/>
  <c r="V101" i="2"/>
  <c r="R102" i="2"/>
  <c r="S102" i="2"/>
  <c r="T102" i="2"/>
  <c r="U102" i="2"/>
  <c r="V102" i="2"/>
  <c r="R103" i="2"/>
  <c r="S103" i="2"/>
  <c r="T103" i="2"/>
  <c r="U103" i="2"/>
  <c r="V103" i="2"/>
  <c r="R104" i="2"/>
  <c r="S104" i="2"/>
  <c r="T104" i="2"/>
  <c r="U104" i="2"/>
  <c r="V104" i="2"/>
  <c r="R105" i="2"/>
  <c r="S105" i="2"/>
  <c r="T105" i="2"/>
  <c r="U105" i="2"/>
  <c r="V105" i="2"/>
  <c r="R106" i="2"/>
  <c r="S106" i="2"/>
  <c r="T106" i="2"/>
  <c r="U106" i="2"/>
  <c r="V106" i="2"/>
  <c r="R107" i="2"/>
  <c r="S107" i="2"/>
  <c r="T107" i="2"/>
  <c r="U107" i="2"/>
  <c r="V107" i="2"/>
  <c r="R108" i="2"/>
  <c r="S108" i="2"/>
  <c r="T108" i="2"/>
  <c r="U108" i="2"/>
  <c r="V108" i="2"/>
  <c r="R109" i="2"/>
  <c r="S109" i="2"/>
  <c r="T109" i="2"/>
  <c r="U109" i="2"/>
  <c r="V109" i="2"/>
  <c r="R110" i="2"/>
  <c r="S110" i="2"/>
  <c r="T110" i="2"/>
  <c r="U110" i="2"/>
  <c r="V110" i="2"/>
  <c r="R111" i="2"/>
  <c r="S111" i="2"/>
  <c r="T111" i="2"/>
  <c r="U111" i="2"/>
  <c r="V111" i="2"/>
  <c r="R112" i="2"/>
  <c r="S112" i="2"/>
  <c r="T112" i="2"/>
  <c r="U112" i="2"/>
  <c r="V112" i="2"/>
  <c r="R113" i="2"/>
  <c r="S113" i="2"/>
  <c r="T113" i="2"/>
  <c r="U113" i="2"/>
  <c r="V113" i="2"/>
  <c r="R114" i="2"/>
  <c r="S114" i="2"/>
  <c r="T114" i="2"/>
  <c r="U114" i="2"/>
  <c r="V114" i="2"/>
  <c r="R115" i="2"/>
  <c r="S115" i="2"/>
  <c r="T115" i="2"/>
  <c r="U115" i="2"/>
  <c r="V115" i="2"/>
  <c r="R116" i="2"/>
  <c r="S116" i="2"/>
  <c r="T116" i="2"/>
  <c r="U116" i="2"/>
  <c r="V116" i="2"/>
  <c r="R117" i="2"/>
  <c r="S117" i="2"/>
  <c r="T117" i="2"/>
  <c r="U117" i="2"/>
  <c r="V117" i="2"/>
  <c r="R118" i="2"/>
  <c r="S118" i="2"/>
  <c r="T118" i="2"/>
  <c r="U118" i="2"/>
  <c r="V118" i="2"/>
  <c r="R119" i="2"/>
  <c r="S119" i="2"/>
  <c r="T119" i="2"/>
  <c r="U119" i="2"/>
  <c r="V119" i="2"/>
  <c r="R120" i="2"/>
  <c r="S120" i="2"/>
  <c r="T120" i="2"/>
  <c r="U120" i="2"/>
  <c r="V120" i="2"/>
  <c r="R121" i="2"/>
  <c r="S121" i="2"/>
  <c r="T121" i="2"/>
  <c r="U121" i="2"/>
  <c r="V121" i="2"/>
  <c r="R122" i="2"/>
  <c r="S122" i="2"/>
  <c r="T122" i="2"/>
  <c r="U122" i="2"/>
  <c r="V122" i="2"/>
  <c r="R123" i="2"/>
  <c r="S123" i="2"/>
  <c r="T123" i="2"/>
  <c r="U123" i="2"/>
  <c r="V123" i="2"/>
  <c r="R124" i="2"/>
  <c r="S124" i="2"/>
  <c r="T124" i="2"/>
  <c r="U124" i="2"/>
  <c r="V124" i="2"/>
  <c r="R125" i="2"/>
  <c r="S125" i="2"/>
  <c r="T125" i="2"/>
  <c r="U125" i="2"/>
  <c r="V125" i="2"/>
  <c r="R126" i="2"/>
  <c r="S126" i="2"/>
  <c r="T126" i="2"/>
  <c r="U126" i="2"/>
  <c r="V126" i="2"/>
  <c r="R127" i="2"/>
  <c r="S127" i="2"/>
  <c r="T127" i="2"/>
  <c r="U127" i="2"/>
  <c r="V127" i="2"/>
  <c r="R128" i="2"/>
  <c r="S128" i="2"/>
  <c r="T128" i="2"/>
  <c r="U128" i="2"/>
  <c r="V128" i="2"/>
  <c r="R129" i="2"/>
  <c r="S129" i="2"/>
  <c r="T129" i="2"/>
  <c r="U129" i="2"/>
  <c r="V129" i="2"/>
  <c r="R130" i="2"/>
  <c r="S130" i="2"/>
  <c r="T130" i="2"/>
  <c r="U130" i="2"/>
  <c r="V130" i="2"/>
  <c r="R131" i="2"/>
  <c r="S131" i="2"/>
  <c r="T131" i="2"/>
  <c r="U131" i="2"/>
  <c r="V131" i="2"/>
  <c r="R132" i="2"/>
  <c r="S132" i="2"/>
  <c r="T132" i="2"/>
  <c r="U132" i="2"/>
  <c r="V132" i="2"/>
  <c r="R133" i="2"/>
  <c r="S133" i="2"/>
  <c r="T133" i="2"/>
  <c r="U133" i="2"/>
  <c r="V133" i="2"/>
  <c r="R134" i="2"/>
  <c r="S134" i="2"/>
  <c r="T134" i="2"/>
  <c r="U134" i="2"/>
  <c r="V134" i="2"/>
  <c r="R135" i="2"/>
  <c r="S135" i="2"/>
  <c r="T135" i="2"/>
  <c r="U135" i="2"/>
  <c r="V135" i="2"/>
  <c r="R136" i="2"/>
  <c r="S136" i="2"/>
  <c r="T136" i="2"/>
  <c r="U136" i="2"/>
  <c r="V136" i="2"/>
  <c r="R137" i="2"/>
  <c r="S137" i="2"/>
  <c r="T137" i="2"/>
  <c r="U137" i="2"/>
  <c r="V137" i="2"/>
  <c r="R138" i="2"/>
  <c r="S138" i="2"/>
  <c r="T138" i="2"/>
  <c r="U138" i="2"/>
  <c r="V138" i="2"/>
  <c r="R139" i="2"/>
  <c r="S139" i="2"/>
  <c r="T139" i="2"/>
  <c r="U139" i="2"/>
  <c r="V139" i="2"/>
  <c r="R140" i="2"/>
  <c r="S140" i="2"/>
  <c r="T140" i="2"/>
  <c r="U140" i="2"/>
  <c r="V140" i="2"/>
  <c r="R141" i="2"/>
  <c r="S141" i="2"/>
  <c r="T141" i="2"/>
  <c r="U141" i="2"/>
  <c r="V141" i="2"/>
  <c r="R142" i="2"/>
  <c r="S142" i="2"/>
  <c r="T142" i="2"/>
  <c r="U142" i="2"/>
  <c r="V142" i="2"/>
  <c r="R143" i="2"/>
  <c r="S143" i="2"/>
  <c r="T143" i="2"/>
  <c r="U143" i="2"/>
  <c r="V143" i="2"/>
  <c r="R144" i="2"/>
  <c r="S144" i="2"/>
  <c r="T144" i="2"/>
  <c r="U144" i="2"/>
  <c r="V144" i="2"/>
  <c r="R145" i="2"/>
  <c r="S145" i="2"/>
  <c r="T145" i="2"/>
  <c r="U145" i="2"/>
  <c r="V145" i="2"/>
  <c r="R146" i="2"/>
  <c r="S146" i="2"/>
  <c r="T146" i="2"/>
  <c r="U146" i="2"/>
  <c r="V146" i="2"/>
  <c r="R147" i="2"/>
  <c r="S147" i="2"/>
  <c r="T147" i="2"/>
  <c r="U147" i="2"/>
  <c r="V147" i="2"/>
  <c r="R148" i="2"/>
  <c r="S148" i="2"/>
  <c r="T148" i="2"/>
  <c r="U148" i="2"/>
  <c r="V148" i="2"/>
  <c r="R149" i="2"/>
  <c r="S149" i="2"/>
  <c r="T149" i="2"/>
  <c r="U149" i="2"/>
  <c r="V149" i="2"/>
  <c r="R150" i="2"/>
  <c r="S150" i="2"/>
  <c r="T150" i="2"/>
  <c r="U150" i="2"/>
  <c r="V150" i="2"/>
  <c r="R151" i="2"/>
  <c r="S151" i="2"/>
  <c r="T151" i="2"/>
  <c r="U151" i="2"/>
  <c r="V151" i="2"/>
  <c r="R152" i="2"/>
  <c r="S152" i="2"/>
  <c r="T152" i="2"/>
  <c r="U152" i="2"/>
  <c r="V152" i="2"/>
  <c r="R153" i="2"/>
  <c r="S153" i="2"/>
  <c r="T153" i="2"/>
  <c r="U153" i="2"/>
  <c r="V153" i="2"/>
  <c r="R154" i="2"/>
  <c r="S154" i="2"/>
  <c r="T154" i="2"/>
  <c r="U154" i="2"/>
  <c r="V154" i="2"/>
  <c r="R155" i="2"/>
  <c r="S155" i="2"/>
  <c r="T155" i="2"/>
  <c r="U155" i="2"/>
  <c r="V155" i="2"/>
  <c r="R156" i="2"/>
  <c r="S156" i="2"/>
  <c r="T156" i="2"/>
  <c r="U156" i="2"/>
  <c r="V156" i="2"/>
  <c r="R157" i="2"/>
  <c r="S157" i="2"/>
  <c r="T157" i="2"/>
  <c r="U157" i="2"/>
  <c r="V157" i="2"/>
  <c r="R158" i="2"/>
  <c r="S158" i="2"/>
  <c r="T158" i="2"/>
  <c r="U158" i="2"/>
  <c r="V158" i="2"/>
  <c r="R159" i="2"/>
  <c r="S159" i="2"/>
  <c r="T159" i="2"/>
  <c r="U159" i="2"/>
  <c r="V159" i="2"/>
  <c r="R160" i="2"/>
  <c r="S160" i="2"/>
  <c r="T160" i="2"/>
  <c r="U160" i="2"/>
  <c r="V160" i="2"/>
  <c r="R161" i="2"/>
  <c r="S161" i="2"/>
  <c r="T161" i="2"/>
  <c r="U161" i="2"/>
  <c r="V161" i="2"/>
  <c r="R162" i="2"/>
  <c r="S162" i="2"/>
  <c r="T162" i="2"/>
  <c r="U162" i="2"/>
  <c r="V162" i="2"/>
  <c r="R163" i="2"/>
  <c r="S163" i="2"/>
  <c r="T163" i="2"/>
  <c r="U163" i="2"/>
  <c r="V163" i="2"/>
  <c r="R164" i="2"/>
  <c r="S164" i="2"/>
  <c r="T164" i="2"/>
  <c r="U164" i="2"/>
  <c r="V164" i="2"/>
  <c r="R165" i="2"/>
  <c r="S165" i="2"/>
  <c r="T165" i="2"/>
  <c r="U165" i="2"/>
  <c r="V165" i="2"/>
  <c r="R166" i="2"/>
  <c r="S166" i="2"/>
  <c r="T166" i="2"/>
  <c r="U166" i="2"/>
  <c r="V166" i="2"/>
  <c r="R167" i="2"/>
  <c r="S167" i="2"/>
  <c r="T167" i="2"/>
  <c r="U167" i="2"/>
  <c r="V167" i="2"/>
  <c r="R168" i="2"/>
  <c r="S168" i="2"/>
  <c r="T168" i="2"/>
  <c r="U168" i="2"/>
  <c r="V168" i="2"/>
  <c r="R169" i="2"/>
  <c r="S169" i="2"/>
  <c r="T169" i="2"/>
  <c r="U169" i="2"/>
  <c r="V169" i="2"/>
  <c r="R170" i="2"/>
  <c r="S170" i="2"/>
  <c r="T170" i="2"/>
  <c r="U170" i="2"/>
  <c r="V170" i="2"/>
  <c r="R171" i="2"/>
  <c r="S171" i="2"/>
  <c r="T171" i="2"/>
  <c r="U171" i="2"/>
  <c r="V171" i="2"/>
  <c r="R172" i="2"/>
  <c r="S172" i="2"/>
  <c r="T172" i="2"/>
  <c r="U172" i="2"/>
  <c r="V172" i="2"/>
  <c r="R173" i="2"/>
  <c r="S173" i="2"/>
  <c r="T173" i="2"/>
  <c r="U173" i="2"/>
  <c r="V173" i="2"/>
  <c r="R174" i="2"/>
  <c r="S174" i="2"/>
  <c r="T174" i="2"/>
  <c r="U174" i="2"/>
  <c r="V174" i="2"/>
  <c r="R175" i="2"/>
  <c r="S175" i="2"/>
  <c r="T175" i="2"/>
  <c r="U175" i="2"/>
  <c r="V175" i="2"/>
  <c r="R176" i="2"/>
  <c r="S176" i="2"/>
  <c r="T176" i="2"/>
  <c r="U176" i="2"/>
  <c r="V176" i="2"/>
  <c r="R177" i="2"/>
  <c r="S177" i="2"/>
  <c r="T177" i="2"/>
  <c r="U177" i="2"/>
  <c r="V177" i="2"/>
  <c r="R178" i="2"/>
  <c r="S178" i="2"/>
  <c r="T178" i="2"/>
  <c r="U178" i="2"/>
  <c r="V178" i="2"/>
  <c r="R179" i="2"/>
  <c r="S179" i="2"/>
  <c r="T179" i="2"/>
  <c r="U179" i="2"/>
  <c r="V179" i="2"/>
  <c r="R180" i="2"/>
  <c r="S180" i="2"/>
  <c r="T180" i="2"/>
  <c r="U180" i="2"/>
  <c r="V180" i="2"/>
  <c r="R181" i="2"/>
  <c r="S181" i="2"/>
  <c r="T181" i="2"/>
  <c r="U181" i="2"/>
  <c r="V181" i="2"/>
  <c r="R182" i="2"/>
  <c r="S182" i="2"/>
  <c r="T182" i="2"/>
  <c r="U182" i="2"/>
  <c r="V182" i="2"/>
  <c r="R183" i="2"/>
  <c r="S183" i="2"/>
  <c r="T183" i="2"/>
  <c r="U183" i="2"/>
  <c r="V183" i="2"/>
  <c r="R184" i="2"/>
  <c r="S184" i="2"/>
  <c r="T184" i="2"/>
  <c r="U184" i="2"/>
  <c r="V184" i="2"/>
  <c r="R185" i="2"/>
  <c r="S185" i="2"/>
  <c r="T185" i="2"/>
  <c r="U185" i="2"/>
  <c r="V185" i="2"/>
  <c r="R186" i="2"/>
  <c r="S186" i="2"/>
  <c r="T186" i="2"/>
  <c r="U186" i="2"/>
  <c r="V186" i="2"/>
  <c r="R187" i="2"/>
  <c r="S187" i="2"/>
  <c r="T187" i="2"/>
  <c r="U187" i="2"/>
  <c r="V187" i="2"/>
  <c r="R188" i="2"/>
  <c r="S188" i="2"/>
  <c r="T188" i="2"/>
  <c r="U188" i="2"/>
  <c r="V188" i="2"/>
  <c r="R189" i="2"/>
  <c r="S189" i="2"/>
  <c r="T189" i="2"/>
  <c r="U189" i="2"/>
  <c r="V189" i="2"/>
  <c r="R190" i="2"/>
  <c r="S190" i="2"/>
  <c r="T190" i="2"/>
  <c r="U190" i="2"/>
  <c r="V190" i="2"/>
  <c r="R191" i="2"/>
  <c r="S191" i="2"/>
  <c r="T191" i="2"/>
  <c r="U191" i="2"/>
  <c r="V191" i="2"/>
  <c r="R192" i="2"/>
  <c r="S192" i="2"/>
  <c r="T192" i="2"/>
  <c r="U192" i="2"/>
  <c r="V192" i="2"/>
  <c r="R193" i="2"/>
  <c r="S193" i="2"/>
  <c r="T193" i="2"/>
  <c r="U193" i="2"/>
  <c r="V193" i="2"/>
  <c r="R194" i="2"/>
  <c r="S194" i="2"/>
  <c r="T194" i="2"/>
  <c r="U194" i="2"/>
  <c r="V194" i="2"/>
  <c r="R195" i="2"/>
  <c r="S195" i="2"/>
  <c r="T195" i="2"/>
  <c r="U195" i="2"/>
  <c r="V195" i="2"/>
  <c r="R196" i="2"/>
  <c r="S196" i="2"/>
  <c r="T196" i="2"/>
  <c r="U196" i="2"/>
  <c r="V196" i="2"/>
  <c r="R197" i="2"/>
  <c r="S197" i="2"/>
  <c r="T197" i="2"/>
  <c r="U197" i="2"/>
  <c r="V197" i="2"/>
  <c r="R198" i="2"/>
  <c r="S198" i="2"/>
  <c r="T198" i="2"/>
  <c r="U198" i="2"/>
  <c r="V198" i="2"/>
  <c r="R199" i="2"/>
  <c r="S199" i="2"/>
  <c r="T199" i="2"/>
  <c r="U199" i="2"/>
  <c r="V199" i="2"/>
  <c r="R200" i="2"/>
  <c r="S200" i="2"/>
  <c r="T200" i="2"/>
  <c r="U200" i="2"/>
  <c r="V200" i="2"/>
  <c r="R201" i="2"/>
  <c r="S201" i="2"/>
  <c r="T201" i="2"/>
  <c r="U201" i="2"/>
  <c r="V201" i="2"/>
  <c r="R202" i="2"/>
  <c r="S202" i="2"/>
  <c r="T202" i="2"/>
  <c r="U202" i="2"/>
  <c r="V202" i="2"/>
  <c r="R203" i="2"/>
  <c r="S203" i="2"/>
  <c r="T203" i="2"/>
  <c r="U203" i="2"/>
  <c r="V203" i="2"/>
  <c r="R204" i="2"/>
  <c r="S204" i="2"/>
  <c r="T204" i="2"/>
  <c r="U204" i="2"/>
  <c r="V204" i="2"/>
  <c r="R205" i="2"/>
  <c r="S205" i="2"/>
  <c r="T205" i="2"/>
  <c r="U205" i="2"/>
  <c r="V205" i="2"/>
  <c r="R206" i="2"/>
  <c r="S206" i="2"/>
  <c r="T206" i="2"/>
  <c r="U206" i="2"/>
  <c r="V206" i="2"/>
  <c r="R207" i="2"/>
  <c r="S207" i="2"/>
  <c r="T207" i="2"/>
  <c r="U207" i="2"/>
  <c r="V207" i="2"/>
  <c r="R208" i="2"/>
  <c r="S208" i="2"/>
  <c r="T208" i="2"/>
  <c r="U208" i="2"/>
  <c r="V208" i="2"/>
  <c r="R209" i="2"/>
  <c r="S209" i="2"/>
  <c r="T209" i="2"/>
  <c r="U209" i="2"/>
  <c r="V209" i="2"/>
  <c r="R2" i="2"/>
  <c r="S2" i="2"/>
  <c r="T2" i="2"/>
  <c r="U2" i="2"/>
  <c r="V2" i="2"/>
  <c r="P18" i="3" l="1"/>
  <c r="E18" i="3"/>
  <c r="L15" i="3"/>
  <c r="L16" i="3"/>
  <c r="V15" i="3"/>
  <c r="K15" i="3"/>
  <c r="K16" i="3"/>
  <c r="J15" i="3"/>
  <c r="R20" i="3"/>
  <c r="P20" i="3"/>
  <c r="L18" i="3"/>
  <c r="V17" i="3"/>
  <c r="K17" i="3"/>
  <c r="J16" i="3"/>
  <c r="I15" i="3"/>
  <c r="L19" i="3"/>
  <c r="V18" i="3"/>
  <c r="K18" i="3"/>
  <c r="I16" i="3"/>
  <c r="J17" i="3"/>
  <c r="L20" i="3"/>
  <c r="K19" i="3"/>
  <c r="J18" i="3"/>
  <c r="R15" i="3"/>
  <c r="K20" i="3"/>
  <c r="I18" i="3"/>
  <c r="F15" i="3"/>
  <c r="J19" i="3"/>
  <c r="R16" i="3"/>
  <c r="J20" i="3"/>
  <c r="R17" i="3"/>
  <c r="I20" i="3"/>
  <c r="F17" i="3"/>
  <c r="N7" i="3"/>
  <c r="J8" i="3"/>
  <c r="F9" i="3"/>
  <c r="K8" i="3"/>
  <c r="I9" i="3"/>
  <c r="F10" i="3"/>
  <c r="N6" i="3"/>
  <c r="L8" i="3"/>
  <c r="K9" i="3"/>
  <c r="J10" i="3"/>
  <c r="N8" i="3"/>
  <c r="L9" i="3"/>
  <c r="L10" i="3"/>
  <c r="H11" i="3"/>
  <c r="N11" i="3"/>
  <c r="F7" i="3"/>
  <c r="V7" i="3"/>
  <c r="V8" i="3"/>
  <c r="I8" i="3"/>
  <c r="J9" i="3"/>
  <c r="K10" i="3"/>
  <c r="V10" i="3"/>
  <c r="L11" i="3"/>
  <c r="N10" i="3"/>
  <c r="E11" i="3"/>
  <c r="P11" i="3"/>
  <c r="E10" i="3"/>
  <c r="P10" i="3"/>
  <c r="F11" i="3"/>
  <c r="E9" i="3"/>
  <c r="P9" i="3"/>
  <c r="I7" i="3"/>
  <c r="N9" i="3"/>
  <c r="E8" i="3"/>
  <c r="P8" i="3"/>
  <c r="E7" i="3"/>
  <c r="P7" i="3"/>
  <c r="H10" i="3"/>
  <c r="I11" i="3"/>
  <c r="J11" i="3"/>
  <c r="I10" i="3"/>
  <c r="R6" i="3"/>
  <c r="E6" i="3"/>
  <c r="F6" i="3"/>
  <c r="H6" i="3"/>
  <c r="I6" i="3"/>
  <c r="J6" i="3"/>
  <c r="L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布澤直人</author>
  </authors>
  <commentList>
    <comment ref="A1" authorId="0" shapeId="0" xr:uid="{D4D2C253-EA29-4B49-AC75-66AB0746FE02}">
      <text>
        <r>
          <rPr>
            <b/>
            <sz val="10"/>
            <color rgb="FF000000"/>
            <rFont val="Yu Gothic UI"/>
          </rPr>
          <t>布澤直人:</t>
        </r>
        <r>
          <rPr>
            <sz val="10"/>
            <color rgb="FF000000"/>
            <rFont val="Yu Gothic UI"/>
          </rPr>
          <t xml:space="preserve">
Source: zoomus_call_log_2026-09-14.csv, uploaded 2026-09-14（1コール2行の重複行を除外し、メンバー×日で集計）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布澤直人</author>
  </authors>
  <commentList>
    <comment ref="A2" authorId="0" shapeId="0" xr:uid="{F4529FED-8FE2-5D45-9844-13C41CA9FA85}">
      <text>
        <r>
          <rPr>
            <b/>
            <sz val="10"/>
            <color rgb="FF000000"/>
            <rFont val="Yu Gothic UI"/>
          </rPr>
          <t>布澤直人:</t>
        </r>
        <r>
          <rPr>
            <sz val="10"/>
            <color rgb="FF000000"/>
            <rFont val="Yu Gothic UI"/>
          </rPr>
          <t xml:space="preserve">
Source: zoomus_call_log_2026-09-14.csv, uploaded 2026-09-14</t>
        </r>
      </text>
    </comment>
    <comment ref="E3" authorId="0" shapeId="0" xr:uid="{CA0779DF-7673-5543-B8F8-ECF68CE1CDD9}">
      <text>
        <r>
          <rPr>
            <b/>
            <sz val="10"/>
            <color rgb="FF000000"/>
            <rFont val="Yu Gothic UI"/>
          </rPr>
          <t>布澤直人:</t>
        </r>
        <r>
          <rPr>
            <sz val="10"/>
            <color rgb="FF000000"/>
            <rFont val="Yu Gothic UI"/>
          </rPr>
          <t xml:space="preserve">
8月の平日21日から山の日(8/11)を除いた20日</t>
        </r>
      </text>
    </comment>
    <comment ref="G3" authorId="0" shapeId="0" xr:uid="{3FB2DDDB-33D7-034C-9EA9-46C5D4BFCD95}">
      <text>
        <r>
          <rPr>
            <b/>
            <sz val="10"/>
            <color rgb="FF000000"/>
            <rFont val="Yu Gothic UI"/>
          </rPr>
          <t>布澤直人:</t>
        </r>
        <r>
          <rPr>
            <sz val="10"/>
            <color rgb="FF000000"/>
            <rFont val="Yu Gothic UI"/>
          </rPr>
          <t xml:space="preserve">
9/1〜9/13の平日9日</t>
        </r>
      </text>
    </comment>
  </commentList>
</comments>
</file>

<file path=xl/sharedStrings.xml><?xml version="1.0" encoding="utf-8"?>
<sst xmlns="http://schemas.openxmlformats.org/spreadsheetml/2006/main" count="353" uniqueCount="114">
  <si>
    <t>日付</t>
  </si>
  <si>
    <t>メンバー</t>
  </si>
  <si>
    <t>平日フラグ</t>
  </si>
  <si>
    <t>架電数</t>
  </si>
  <si>
    <t>接触数(接続)</t>
  </si>
  <si>
    <t>60秒以上通話数</t>
  </si>
  <si>
    <t>接続通話秒計</t>
  </si>
  <si>
    <t>総通話秒計(発着信)</t>
  </si>
  <si>
    <t>着信数</t>
  </si>
  <si>
    <t>着信不在数</t>
  </si>
  <si>
    <t>初回架電時刻</t>
  </si>
  <si>
    <t>最終終話時刻</t>
  </si>
  <si>
    <t>架電間隔計(秒)</t>
  </si>
  <si>
    <t>架電間隔件数</t>
  </si>
  <si>
    <t>30分超アイドル回数</t>
  </si>
  <si>
    <t>ユニーク相手番号数</t>
  </si>
  <si>
    <t>再架電件数(2回目以降)</t>
  </si>
  <si>
    <t>篠﨑 悠</t>
  </si>
  <si>
    <t>森 沙里菜</t>
  </si>
  <si>
    <t>小泉 政貴</t>
  </si>
  <si>
    <t>霜田 孝太郎</t>
  </si>
  <si>
    <t>高橋 采伽</t>
  </si>
  <si>
    <t>和田 宗大</t>
  </si>
  <si>
    <t>月</t>
  </si>
  <si>
    <t>稼働時間(h)</t>
  </si>
  <si>
    <t>平均架電間隔(分)</t>
  </si>
  <si>
    <t>平均通話時間(秒)</t>
  </si>
  <si>
    <t>接続率</t>
  </si>
  <si>
    <t>架電活動サマリ（メンバー別・月別）</t>
  </si>
  <si>
    <t>出所：zoomus_call_log_2026-09-14.csv（2026-08-01〜2026-09-13）／日次集計は「データ」シート</t>
  </si>
  <si>
    <t>営業日数（土日祝除く）</t>
  </si>
  <si>
    <t>2026-08</t>
  </si>
  <si>
    <t>2026-09(1-13)</t>
  </si>
  <si>
    <t>■ 2026年8月</t>
  </si>
  <si>
    <t>実稼働日数</t>
  </si>
  <si>
    <t>営業日数</t>
  </si>
  <si>
    <t>架電数/営業日</t>
  </si>
  <si>
    <t>架電数/稼働日</t>
  </si>
  <si>
    <t>接触数/営業日</t>
  </si>
  <si>
    <t>接触数/稼働日</t>
  </si>
  <si>
    <t>60秒以上率</t>
  </si>
  <si>
    <t>通話時間計(h)</t>
  </si>
  <si>
    <t>通話時間/稼働日(h)</t>
  </si>
  <si>
    <t>30分超アイドル/日</t>
  </si>
  <si>
    <t>稼働時間/日(h)</t>
  </si>
  <si>
    <t>通話占有率</t>
  </si>
  <si>
    <t>着信不在率</t>
  </si>
  <si>
    <t>再架電率</t>
  </si>
  <si>
    <t>篠﨑 悠</t>
    <phoneticPr fontId="2"/>
  </si>
  <si>
    <t>森 沙里菜</t>
    <phoneticPr fontId="2"/>
  </si>
  <si>
    <t>小泉 政貴</t>
    <phoneticPr fontId="2"/>
  </si>
  <si>
    <t>霜田 孝太郎</t>
    <phoneticPr fontId="2"/>
  </si>
  <si>
    <t>高橋 采伽</t>
    <phoneticPr fontId="2"/>
  </si>
  <si>
    <t>和田 宗大</t>
    <phoneticPr fontId="2"/>
  </si>
  <si>
    <t>■ 2026年9月（1〜13日）</t>
  </si>
  <si>
    <t>2026-09</t>
  </si>
  <si>
    <t>ユニーク架電先数(日次計)</t>
  </si>
  <si>
    <t>総評：メンバーの行動量と効率の評価</t>
  </si>
  <si>
    <t>対象：2026-08-01〜2026-09-13（Zoom Phone 発着信ログ）。数値は「サマリ」シートを参照。</t>
  </si>
  <si>
    <t>Ⅰ. チーム全体の結論</t>
  </si>
  <si>
    <t>① 「行動しているか」→ 量は出ている。稼働日あたり33〜52件の架電、接続率75〜85%と高水準。ただし9月は全员2026年8月比で1日あたり架電数が減少（△7〜19%）。</t>
  </si>
  <si>
    <t>③ 平均架電間隔は3.6〜6.1分（9月）。和田さんの3.6分がチーム最短、小泉・篠屎さんは6分超。差の2〜2.5分×40件＝1日約1.5〜1.7時間の差になる。後処理（記録・次リスト探し）の標準化が最優先の改善テーマ。</t>
  </si>
  <si>
    <t>④ 30分超の空白（アイドル）が1日平均2〜3回。休憩・会議で説明できる範囲か、手が止まっているかを本人に確認する価値あり。</t>
  </si>
  <si>
    <t>⑤ 着信（折返し含む）の不在率が67〜88%。こちらからの架電は頃合いにやっている一方で、相手からの着信を取り切れていない。最も欲しいリードを取りこぼしている可能性が高い。</t>
  </si>
  <si>
    <t>⑥ 月内の同一番号への再架電率は17〜51%とバラツキが大きい。計画的な追客なのか、同じ先を無計画に掛け直しているのか、リスト供給量と照らして見る必要がある。</t>
  </si>
  <si>
    <t>Ⅱ. メンバー別評価（数値行は「サマリ」シートと連動）</t>
  </si>
  <si>
    <t>○ 良い点：接続率84%・60秒以上通話51%と、架電の質はチーム上位。会話に持ち込めている。稼働時間（8時間/日）も長い。</t>
  </si>
  <si>
    <t>△ 課題：（1）9月に1日あたりの量が約19%落ちている（42.4→34.4件）。（2）架電間隔6.0分はチーム最長クラス。後処理を通話中に終わらせる運用に変えれば、1日+5〜8件は稼げる。（3）着信不在率69%。</t>
  </si>
  <si>
    <t>○ 良い点：行動量・会話量ともにチーム最高。稼働日は20/20日と欠けがなく、1日の通話時間も2.3〜2.9時間（占有率29%）で最大。チームの基準値にしてよい水準。</t>
  </si>
  <si>
    <t>△ 課題：再架電率51%（チーム最高）。同一番号への掛け直しが半分を占めるため、新規先のカバレッジが伸びないリスク。リスト供給が足りているか確認。着信不在率79%も高い。</t>
  </si>
  <si>
    <t>○ 良い点：1件あたりの平均通話が205秒でチーム最長。接続後にきちんと会話を作れている。稼働日は欠けなし（20/20日）。</t>
  </si>
  <si>
    <t>△ 課題：（1）架電間隔6.1分でチーム最長、架電数は32.8件/日で下位。「丁寧だがテンポが遅い」典型。長電話後のリカバリー時間を計る価値あり。（2）着信不在率84%（183件中146件不在/8月）で折返しを取れていない。</t>
  </si>
  <si>
    <t>○ 良い点：架電間隔5.1分・平均通話184秒でバランス良好。土日（8/8、8/22、8/29、9/5、9/13）も架電しており稼働日数が最多（営業日20日に対し発信日24日）。</t>
  </si>
  <si>
    <t>△ 課題：（1）稼働時間（初回〜最終）6.3時間で最短、初回架電が平均11:45と遅い。午前の稼働が薄い。（2）通話失敗が8月71件と他メンバーの2〜4倍。番号リストの品質か発信環境を確認。（3）着信不在率88%でチーム最悪。（4）土日稼働は成果が伴っているか検証必要（土日の架電は1日1〜30件と少ない）。</t>
  </si>
  <si>
    <t>○ 良い点：8/18からの稼働開始ですぐに42〜50件/日に到達。量をこなす姿勢は十分。接続率を78%まで上げている。</t>
  </si>
  <si>
    <t>△ 課題：平均通話108秒、通話占有率17%ともにチーム最低。「掛けているが話せていない」状態で、量を減らしてもトーク（受付突破・ヒアリング）のロールプレイに時間を割く方がリターンが大きい。伸びしろは最大。</t>
  </si>
  <si>
    <t>○ 良い点：架電間隔3.6分でチーム最短。次の電話への切り替えが最も速く、行動テンポのお手本。架電数を45〜63件/日と上位。</t>
  </si>
  <si>
    <t>△ 課題：（1）平均通話117秒、8月は接続済み632件のうち179件（28%）が10秒未満。形式上の「接触」にカウントされているだけで、実質の会話になっていない可能性が高い（名乗り直後の切られ・自動応答など）。（2）稼働日が8月13日/20営業日（発信開始は8/7）。不在日の理由を確認。</t>
  </si>
  <si>
    <t>Ⅲ. 提言（優先順）</t>
  </si>
  <si>
    <t>1）架電間隔をKPIに追加する。4分以内を目標にすると、小泉・篠屎・森で日あたり+5〜10件の余地がある（間隔2分短紩×40件＝約1.3時間/日）。</t>
  </si>
  <si>
    <t>2）接触の定義を「接続済み」から「接続済みかつ30秒以上」に変える。現在の接続済みには10秒未満の瞬間切れが全体て13%、和田さんで28%含まれる。</t>
  </si>
  <si>
    <t>3）着信の取得率を上げる。不在率67〜88%は明らかな機会損失。ハントグループでの相互カバー、または折返し時間帯（多くは架電直後）の席外しを禁止。</t>
  </si>
  <si>
    <t>4）午前の稼働を揃える。初回架電の平均は10:05〜11:45と最大1時間半の差。朝一の架電開始時刻をチームで統一するだけで日数分の差が埋まる。</t>
  </si>
  <si>
    <t>5）再架電ルールを明文化する（例：不在は時間帯を変えて最大3回/月まで）。再架電率17〜51%のバラツキは、ルール不在のサイン。</t>
  </si>
  <si>
    <t>Ⅳ. 指標の定義（すべて添付CSVの項目のみで算出）</t>
  </si>
  <si>
    <t>・架電数：通話方向が「発信」の件数（キャンセル・通話失敗も含む）。CSVは1コールが2行で出力されるため、番号列が空の重複行を除外して集計（18,816行→9,408コール）。</t>
  </si>
  <si>
    <t>・接触数：発信かつ通話結果が「接続済み」の件数。通話秒数の短さは問わないため、実質の会話とは一致しない場合がある（※提言2参照）。</t>
  </si>
  <si>
    <t>・営業日数：土日祝を除いた日数（8月20日【山の日8/11除く】、9/1〜9/13は9日）。【稼働日数】は実際に1件以上発信した日数。高橋さんは8/18から、和田さんは8/7からログが存在。</t>
  </si>
  <si>
    <t>・平均通話時間：接続済み発信の通話時間合計÷接触数（呼出中の待機時間は除く）。</t>
  </si>
  <si>
    <t>・平均架電間隔：前の通話の終了時刻（開始時間＋待機時間＋通話時間）から次の発信開始までの経過時間。同一日・同一人内で計測し、60分超（休憩・会議相当）は除外。掘り下げ用に30分超の回数を別掲。</t>
  </si>
  <si>
    <t>・稼働時間/日：その日の初回発信から最終終話までのスパン。通話占有率＝総通話時間（発着信）÷稼働時間。</t>
  </si>
  <si>
    <t>・再架電率：同一月内に同じ相手番号へ掛けた2回目以降の件数÷架電数。</t>
  </si>
  <si>
    <t>・着信不在率：着信のうち「応答なし・放棄済み・リングタイムアウト・却下済み」の割合。</t>
  </si>
  <si>
    <t>※ 対象期間に8月は丸々、9月は13日までしか含まれないため、9月の月計値でなく「1日あたり」で比較している。</t>
  </si>
  <si>
    <t>Written to</t>
  </si>
  <si>
    <t>Source</t>
  </si>
  <si>
    <t>Object</t>
  </si>
  <si>
    <t>Obtained via</t>
  </si>
  <si>
    <t>Query or request</t>
  </si>
  <si>
    <t>Run at</t>
  </si>
  <si>
    <t>Row count</t>
  </si>
  <si>
    <t>Notes</t>
  </si>
  <si>
    <t>データ!A1:Q209</t>
  </si>
  <si>
    <t>アップロードファイル</t>
  </si>
  <si>
    <t>zoomus_call_log_2026-09-14.csv</t>
  </si>
  <si>
    <t>Uploaded file</t>
  </si>
  <si>
    <t>添付CSVからメンバー別の月別架電数・接触数（営業日ベース／1日あたり）、平均通話時間、架電間隔、総評を出力</t>
  </si>
  <si>
    <t>1コール2行の重複行（番号列が空）を除外し9,408コールへ整理。うち対象6名分8,425コールをメンバー×日で集計。</t>
  </si>
  <si>
    <t>■ 比較：1稼働日あたりの架電数・接触数</t>
  </si>
  <si>
    <t>8月 架電/日</t>
  </si>
  <si>
    <t>9月 架電/日</t>
  </si>
  <si>
    <t>8月 接触/日</t>
  </si>
  <si>
    <t>9月 接触/日</t>
  </si>
  <si>
    <t>② 「無駄がないか」→ 最大のロスは「通話と通話の間」。稼働時間（その日の初回架電〜最終終話）に対する通話占有率は8月16〜39%、9月17〜29%。つまり1日約6〜9時間のうち、実際に話しているのは1.0〜2.9時間。残りは架電間隔と後処理に消えてい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</si>
</sst>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/mm/dd"/>
    <numFmt numFmtId="180" formatCode="0.0"/>
    <numFmt numFmtId="181" formatCode="0.0%"/>
  </numFmts>
  <fonts count="10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FFFF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  <font>
      <i/>
      <sz val="12"/>
      <color rgb="FF808080"/>
      <name val="游ゴシック"/>
      <family val="2"/>
      <charset val="128"/>
      <scheme val="minor"/>
    </font>
    <font>
      <sz val="12"/>
      <color rgb="FF0000FF"/>
      <name val="游ゴシック"/>
      <family val="2"/>
      <charset val="128"/>
      <scheme val="minor"/>
    </font>
    <font>
      <sz val="10"/>
      <color rgb="FF000000"/>
      <name val="Yu Gothic UI"/>
    </font>
    <font>
      <b/>
      <sz val="10"/>
      <color rgb="FF000000"/>
      <name val="Yu Gothic UI"/>
    </font>
    <font>
      <sz val="12"/>
      <color rgb="FFC0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9" fontId="0" fillId="0" borderId="0" xfId="0" applyNumberFormat="1">
      <alignment vertical="center"/>
    </xf>
    <xf numFmtId="20" fontId="0" fillId="0" borderId="0" xfId="0" applyNumberFormat="1">
      <alignment vertic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>
      <alignment vertical="center"/>
    </xf>
    <xf numFmtId="1" fontId="0" fillId="0" borderId="2" xfId="0" applyNumberFormat="1" applyBorder="1">
      <alignment vertical="center"/>
    </xf>
    <xf numFmtId="3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181" fontId="0" fillId="0" borderId="2" xfId="0" applyNumberFormat="1" applyBorder="1">
      <alignment vertical="center"/>
    </xf>
    <xf numFmtId="2" fontId="0" fillId="0" borderId="2" xfId="0" applyNumberFormat="1" applyBorder="1">
      <alignment vertical="center"/>
    </xf>
    <xf numFmtId="181" fontId="0" fillId="0" borderId="3" xfId="0" applyNumberFormat="1" applyBorder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1</a:t>
            </a:r>
            <a:r>
              <a:rPr lang="ja-JP" altLang="en-US"/>
              <a:t>稼働日あたりの架電数・接触数（</a:t>
            </a:r>
            <a:r>
              <a:rPr lang="en-US" altLang="ja-JP"/>
              <a:t>8</a:t>
            </a:r>
            <a:r>
              <a:rPr lang="ja-JP" altLang="en-US"/>
              <a:t>月 </a:t>
            </a:r>
            <a:r>
              <a:rPr lang="en-US" altLang="ja-JP"/>
              <a:t>vs 9</a:t>
            </a:r>
            <a:r>
              <a:rPr lang="ja-JP" altLang="en-US"/>
              <a:t>月</a:t>
            </a:r>
            <a:r>
              <a:rPr lang="en-US" altLang="ja-JP"/>
              <a:t>1-13</a:t>
            </a:r>
            <a:r>
              <a:rPr lang="ja-JP" altLang="en-US"/>
              <a:t>日）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サマリ!$B$24</c:f>
              <c:strCache>
                <c:ptCount val="1"/>
                <c:pt idx="0">
                  <c:v>8月 架電/日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サマリ!$A$25:$A$30</c:f>
              <c:strCache>
                <c:ptCount val="6"/>
                <c:pt idx="0">
                  <c:v>篠﨑 悠</c:v>
                </c:pt>
                <c:pt idx="1">
                  <c:v>森 沙里菜</c:v>
                </c:pt>
                <c:pt idx="2">
                  <c:v>小泉 政貴</c:v>
                </c:pt>
                <c:pt idx="3">
                  <c:v>霜田 孝太郎</c:v>
                </c:pt>
                <c:pt idx="4">
                  <c:v>高橋 采伽</c:v>
                </c:pt>
                <c:pt idx="5">
                  <c:v>和田 宗大</c:v>
                </c:pt>
              </c:strCache>
            </c:strRef>
          </c:cat>
          <c:val>
            <c:numRef>
              <c:f>サマリ!$B$25:$B$30</c:f>
              <c:numCache>
                <c:formatCode>0.0</c:formatCode>
                <c:ptCount val="6"/>
                <c:pt idx="0">
                  <c:v>42.411764705882355</c:v>
                </c:pt>
                <c:pt idx="1">
                  <c:v>56.5</c:v>
                </c:pt>
                <c:pt idx="2">
                  <c:v>38</c:v>
                </c:pt>
                <c:pt idx="3">
                  <c:v>37.041666666666664</c:v>
                </c:pt>
                <c:pt idx="4">
                  <c:v>50.2</c:v>
                </c:pt>
                <c:pt idx="5">
                  <c:v>63.46153846153846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F-7F44-9B40-FA62A3B3C65E}"/>
            </c:ext>
          </c:extLst>
        </c:ser>
        <c:ser>
          <c:idx val="1"/>
          <c:order val="1"/>
          <c:tx>
            <c:strRef>
              <c:f>サマリ!$C$24</c:f>
              <c:strCache>
                <c:ptCount val="1"/>
                <c:pt idx="0">
                  <c:v>9月 架電/日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サマリ!$A$25:$A$30</c:f>
              <c:strCache>
                <c:ptCount val="6"/>
                <c:pt idx="0">
                  <c:v>篠﨑 悠</c:v>
                </c:pt>
                <c:pt idx="1">
                  <c:v>森 沙里菜</c:v>
                </c:pt>
                <c:pt idx="2">
                  <c:v>小泉 政貴</c:v>
                </c:pt>
                <c:pt idx="3">
                  <c:v>霜田 孝太郎</c:v>
                </c:pt>
                <c:pt idx="4">
                  <c:v>高橋 采伽</c:v>
                </c:pt>
                <c:pt idx="5">
                  <c:v>和田 宗大</c:v>
                </c:pt>
              </c:strCache>
            </c:strRef>
          </c:cat>
          <c:val>
            <c:numRef>
              <c:f>サマリ!$C$25:$C$30</c:f>
              <c:numCache>
                <c:formatCode>0.0</c:formatCode>
                <c:ptCount val="6"/>
                <c:pt idx="0">
                  <c:v>34.375</c:v>
                </c:pt>
                <c:pt idx="1">
                  <c:v>51.666666666666664</c:v>
                </c:pt>
                <c:pt idx="2">
                  <c:v>32.777777777777779</c:v>
                </c:pt>
                <c:pt idx="3">
                  <c:v>34.18181818181818</c:v>
                </c:pt>
                <c:pt idx="4">
                  <c:v>42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F-7F44-9B40-FA62A3B3C65E}"/>
            </c:ext>
          </c:extLst>
        </c:ser>
        <c:ser>
          <c:idx val="2"/>
          <c:order val="2"/>
          <c:tx>
            <c:strRef>
              <c:f>サマリ!$D$24</c:f>
              <c:strCache>
                <c:ptCount val="1"/>
                <c:pt idx="0">
                  <c:v>8月 接触/日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サマリ!$A$25:$A$30</c:f>
              <c:strCache>
                <c:ptCount val="6"/>
                <c:pt idx="0">
                  <c:v>篠﨑 悠</c:v>
                </c:pt>
                <c:pt idx="1">
                  <c:v>森 沙里菜</c:v>
                </c:pt>
                <c:pt idx="2">
                  <c:v>小泉 政貴</c:v>
                </c:pt>
                <c:pt idx="3">
                  <c:v>霜田 孝太郎</c:v>
                </c:pt>
                <c:pt idx="4">
                  <c:v>高橋 采伽</c:v>
                </c:pt>
                <c:pt idx="5">
                  <c:v>和田 宗大</c:v>
                </c:pt>
              </c:strCache>
            </c:strRef>
          </c:cat>
          <c:val>
            <c:numRef>
              <c:f>サマリ!$D$25:$D$30</c:f>
              <c:numCache>
                <c:formatCode>0.0</c:formatCode>
                <c:ptCount val="6"/>
                <c:pt idx="0">
                  <c:v>35.411764705882355</c:v>
                </c:pt>
                <c:pt idx="1">
                  <c:v>47.95</c:v>
                </c:pt>
                <c:pt idx="2">
                  <c:v>29.75</c:v>
                </c:pt>
                <c:pt idx="3">
                  <c:v>29.708333333333332</c:v>
                </c:pt>
                <c:pt idx="4">
                  <c:v>37.9</c:v>
                </c:pt>
                <c:pt idx="5">
                  <c:v>48.615384615384613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F-7F44-9B40-FA62A3B3C65E}"/>
            </c:ext>
          </c:extLst>
        </c:ser>
        <c:ser>
          <c:idx val="3"/>
          <c:order val="3"/>
          <c:tx>
            <c:strRef>
              <c:f>サマリ!$E$24</c:f>
              <c:strCache>
                <c:ptCount val="1"/>
                <c:pt idx="0">
                  <c:v>9月 接触/日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サマリ!$A$25:$A$30</c:f>
              <c:strCache>
                <c:ptCount val="6"/>
                <c:pt idx="0">
                  <c:v>篠﨑 悠</c:v>
                </c:pt>
                <c:pt idx="1">
                  <c:v>森 沙里菜</c:v>
                </c:pt>
                <c:pt idx="2">
                  <c:v>小泉 政貴</c:v>
                </c:pt>
                <c:pt idx="3">
                  <c:v>霜田 孝太郎</c:v>
                </c:pt>
                <c:pt idx="4">
                  <c:v>高橋 采伽</c:v>
                </c:pt>
                <c:pt idx="5">
                  <c:v>和田 宗大</c:v>
                </c:pt>
              </c:strCache>
            </c:strRef>
          </c:cat>
          <c:val>
            <c:numRef>
              <c:f>サマリ!$E$25:$E$30</c:f>
              <c:numCache>
                <c:formatCode>0.0</c:formatCode>
                <c:ptCount val="6"/>
                <c:pt idx="0">
                  <c:v>28.875</c:v>
                </c:pt>
                <c:pt idx="1">
                  <c:v>41.111111111111114</c:v>
                </c:pt>
                <c:pt idx="2">
                  <c:v>27.555555555555557</c:v>
                </c:pt>
                <c:pt idx="3">
                  <c:v>27.636363636363637</c:v>
                </c:pt>
                <c:pt idx="4">
                  <c:v>32.666666666666664</c:v>
                </c:pt>
                <c:pt idx="5">
                  <c:v>35.555555555555557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3F-7F44-9B40-FA62A3B3C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728255"/>
        <c:axId val="2065836543"/>
      </c:barChart>
      <c:catAx>
        <c:axId val="207372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5836543"/>
        <c:crosses val="autoZero"/>
        <c:auto val="1"/>
        <c:lblAlgn val="ctr"/>
        <c:lblOffset val="100"/>
        <c:noMultiLvlLbl val="0"/>
      </c:catAx>
      <c:valAx>
        <c:axId val="20658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72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03E9CD-4D82-F610-8099-E08D12A23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56AB7F-1E94-AE43-87B5-31224775C47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a07851d-e2fe-4a88-838b-4350f918bcf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D06C-3D96-2144-BBCD-72D876135B20}">
  <dimension ref="A1:V209"/>
  <sheetViews>
    <sheetView workbookViewId="0">
      <pane ySplit="1" topLeftCell="A2" activePane="bottomLeft" state="frozen"/>
      <selection pane="bottomLeft"/>
    </sheetView>
  </sheetViews>
  <sheetFormatPr baseColWidth="10" defaultRowHeight="20"/>
  <cols>
    <col min="1" max="1" width="11.42578125" bestFit="1" customWidth="1"/>
    <col min="3" max="3" width="10.28515625" bestFit="1" customWidth="1"/>
    <col min="4" max="4" width="6.85546875" bestFit="1" customWidth="1"/>
    <col min="5" max="5" width="11.7109375" bestFit="1" customWidth="1"/>
    <col min="6" max="6" width="14" bestFit="1" customWidth="1"/>
    <col min="7" max="7" width="12" bestFit="1" customWidth="1"/>
    <col min="8" max="8" width="17.28515625" bestFit="1" customWidth="1"/>
    <col min="9" max="9" width="6.85546875" bestFit="1" customWidth="1"/>
    <col min="10" max="10" width="10.28515625" bestFit="1" customWidth="1"/>
    <col min="11" max="12" width="12" bestFit="1" customWidth="1"/>
    <col min="13" max="13" width="13.5703125" bestFit="1" customWidth="1"/>
    <col min="14" max="14" width="12" bestFit="1" customWidth="1"/>
    <col min="15" max="15" width="17.7109375" bestFit="1" customWidth="1"/>
    <col min="16" max="16" width="17.5703125" bestFit="1" customWidth="1"/>
    <col min="17" max="17" width="20.140625" bestFit="1" customWidth="1"/>
    <col min="18" max="18" width="8.42578125" bestFit="1" customWidth="1"/>
    <col min="19" max="19" width="10.85546875" bestFit="1" customWidth="1"/>
    <col min="20" max="21" width="15.42578125" bestFit="1" customWidth="1"/>
    <col min="22" max="22" width="7.5703125" bestFit="1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23</v>
      </c>
      <c r="S1" s="8" t="s">
        <v>24</v>
      </c>
      <c r="T1" s="8" t="s">
        <v>25</v>
      </c>
      <c r="U1" s="8" t="s">
        <v>26</v>
      </c>
      <c r="V1" s="8" t="s">
        <v>27</v>
      </c>
    </row>
    <row r="2" spans="1:22">
      <c r="A2" s="1">
        <v>46237</v>
      </c>
      <c r="B2" t="s">
        <v>17</v>
      </c>
      <c r="C2">
        <v>1</v>
      </c>
      <c r="D2">
        <v>33</v>
      </c>
      <c r="E2">
        <v>28</v>
      </c>
      <c r="F2">
        <v>22</v>
      </c>
      <c r="G2">
        <v>7937</v>
      </c>
      <c r="H2">
        <v>7937</v>
      </c>
      <c r="I2">
        <v>6</v>
      </c>
      <c r="J2">
        <v>6</v>
      </c>
      <c r="K2" s="2">
        <v>0.48784699999999998</v>
      </c>
      <c r="L2" s="2">
        <v>0.78203699999999998</v>
      </c>
      <c r="M2">
        <v>17183</v>
      </c>
      <c r="N2">
        <v>33</v>
      </c>
      <c r="O2">
        <v>3</v>
      </c>
      <c r="P2">
        <v>29</v>
      </c>
      <c r="Q2">
        <v>4</v>
      </c>
      <c r="R2" t="str">
        <f>TEXT(A2,"yyyy-mm")</f>
        <v>2026-08</v>
      </c>
      <c r="S2" s="3">
        <f>IF(K2="","",(L2-K2)*24)</f>
        <v>7.0605600000000006</v>
      </c>
      <c r="T2" s="3">
        <f>IF(N2=0,"",M2/N2/60)</f>
        <v>8.6782828282828284</v>
      </c>
      <c r="U2" s="4">
        <f>IF(E2=0,"",G2/E2)</f>
        <v>283.46428571428572</v>
      </c>
      <c r="V2" s="5">
        <f>IF(D2=0,"",E2/D2)</f>
        <v>0.84848484848484851</v>
      </c>
    </row>
    <row r="3" spans="1:22">
      <c r="A3" s="1">
        <v>46238</v>
      </c>
      <c r="B3" t="s">
        <v>17</v>
      </c>
      <c r="C3">
        <v>1</v>
      </c>
      <c r="D3">
        <v>32</v>
      </c>
      <c r="E3">
        <v>28</v>
      </c>
      <c r="F3">
        <v>15</v>
      </c>
      <c r="G3">
        <v>5284</v>
      </c>
      <c r="H3">
        <v>7046</v>
      </c>
      <c r="I3">
        <v>8</v>
      </c>
      <c r="J3">
        <v>3</v>
      </c>
      <c r="K3" s="2">
        <v>0.43028899999999998</v>
      </c>
      <c r="L3" s="2">
        <v>0.82692100000000002</v>
      </c>
      <c r="M3">
        <v>10329</v>
      </c>
      <c r="N3">
        <v>30</v>
      </c>
      <c r="O3">
        <v>3</v>
      </c>
      <c r="P3">
        <v>26</v>
      </c>
      <c r="Q3">
        <v>9</v>
      </c>
      <c r="R3" t="str">
        <f t="shared" ref="R3:R66" si="0">TEXT(A3,"yyyy-mm")</f>
        <v>2026-08</v>
      </c>
      <c r="S3" s="3">
        <f t="shared" ref="S3:S66" si="1">IF(K3="","",(L3-K3)*24)</f>
        <v>9.5191680000000005</v>
      </c>
      <c r="T3" s="3">
        <f t="shared" ref="T3:T66" si="2">IF(N3=0,"",M3/N3/60)</f>
        <v>5.7383333333333333</v>
      </c>
      <c r="U3" s="4">
        <f t="shared" ref="U3:U66" si="3">IF(E3=0,"",G3/E3)</f>
        <v>188.71428571428572</v>
      </c>
      <c r="V3" s="5">
        <f t="shared" ref="V3:V66" si="4">IF(D3=0,"",E3/D3)</f>
        <v>0.875</v>
      </c>
    </row>
    <row r="4" spans="1:22">
      <c r="A4" s="1">
        <v>46239</v>
      </c>
      <c r="B4" t="s">
        <v>17</v>
      </c>
      <c r="C4">
        <v>1</v>
      </c>
      <c r="D4">
        <v>47</v>
      </c>
      <c r="E4">
        <v>42</v>
      </c>
      <c r="F4">
        <v>19</v>
      </c>
      <c r="G4">
        <v>8021</v>
      </c>
      <c r="H4">
        <v>8841</v>
      </c>
      <c r="I4">
        <v>8</v>
      </c>
      <c r="J4">
        <v>5</v>
      </c>
      <c r="K4" s="2">
        <v>0.427199</v>
      </c>
      <c r="L4" s="2">
        <v>0.76210599999999995</v>
      </c>
      <c r="M4">
        <v>13793</v>
      </c>
      <c r="N4">
        <v>46</v>
      </c>
      <c r="O4">
        <v>2</v>
      </c>
      <c r="P4">
        <v>45</v>
      </c>
      <c r="Q4">
        <v>10</v>
      </c>
      <c r="R4" t="str">
        <f t="shared" si="0"/>
        <v>2026-08</v>
      </c>
      <c r="S4" s="3">
        <f t="shared" si="1"/>
        <v>8.0377679999999998</v>
      </c>
      <c r="T4" s="3">
        <f t="shared" si="2"/>
        <v>4.9974637681159413</v>
      </c>
      <c r="U4" s="4">
        <f t="shared" si="3"/>
        <v>190.97619047619048</v>
      </c>
      <c r="V4" s="5">
        <f t="shared" si="4"/>
        <v>0.8936170212765957</v>
      </c>
    </row>
    <row r="5" spans="1:22">
      <c r="A5" s="1">
        <v>46240</v>
      </c>
      <c r="B5" t="s">
        <v>17</v>
      </c>
      <c r="C5">
        <v>1</v>
      </c>
      <c r="D5">
        <v>42</v>
      </c>
      <c r="E5">
        <v>35</v>
      </c>
      <c r="F5">
        <v>23</v>
      </c>
      <c r="G5">
        <v>6838</v>
      </c>
      <c r="H5">
        <v>7897</v>
      </c>
      <c r="I5">
        <v>14</v>
      </c>
      <c r="J5">
        <v>11</v>
      </c>
      <c r="K5" s="2">
        <v>0.45891199999999999</v>
      </c>
      <c r="L5" s="2">
        <v>0.77865700000000004</v>
      </c>
      <c r="M5">
        <v>15084</v>
      </c>
      <c r="N5">
        <v>41</v>
      </c>
      <c r="O5">
        <v>3</v>
      </c>
      <c r="P5">
        <v>36</v>
      </c>
      <c r="Q5">
        <v>13</v>
      </c>
      <c r="R5" t="str">
        <f t="shared" si="0"/>
        <v>2026-08</v>
      </c>
      <c r="S5" s="3">
        <f t="shared" si="1"/>
        <v>7.6738800000000014</v>
      </c>
      <c r="T5" s="3">
        <f t="shared" si="2"/>
        <v>6.13170731707317</v>
      </c>
      <c r="U5" s="4">
        <f t="shared" si="3"/>
        <v>195.37142857142857</v>
      </c>
      <c r="V5" s="5">
        <f t="shared" si="4"/>
        <v>0.83333333333333337</v>
      </c>
    </row>
    <row r="6" spans="1:22">
      <c r="A6" s="1">
        <v>46241</v>
      </c>
      <c r="B6" t="s">
        <v>17</v>
      </c>
      <c r="C6">
        <v>1</v>
      </c>
      <c r="D6">
        <v>55</v>
      </c>
      <c r="E6">
        <v>43</v>
      </c>
      <c r="F6">
        <v>24</v>
      </c>
      <c r="G6">
        <v>7484</v>
      </c>
      <c r="H6">
        <v>7911</v>
      </c>
      <c r="I6">
        <v>12</v>
      </c>
      <c r="J6">
        <v>11</v>
      </c>
      <c r="K6" s="2">
        <v>0.43949100000000002</v>
      </c>
      <c r="L6" s="2">
        <v>0.80844899999999997</v>
      </c>
      <c r="M6">
        <v>20161</v>
      </c>
      <c r="N6">
        <v>55</v>
      </c>
      <c r="O6">
        <v>2</v>
      </c>
      <c r="P6">
        <v>46</v>
      </c>
      <c r="Q6">
        <v>23</v>
      </c>
      <c r="R6" t="str">
        <f t="shared" si="0"/>
        <v>2026-08</v>
      </c>
      <c r="S6" s="3">
        <f t="shared" si="1"/>
        <v>8.8549919999999993</v>
      </c>
      <c r="T6" s="3">
        <f t="shared" si="2"/>
        <v>6.1093939393939394</v>
      </c>
      <c r="U6" s="4">
        <f t="shared" si="3"/>
        <v>174.04651162790697</v>
      </c>
      <c r="V6" s="5">
        <f t="shared" si="4"/>
        <v>0.78181818181818186</v>
      </c>
    </row>
    <row r="7" spans="1:22">
      <c r="A7" s="1">
        <v>46242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2</v>
      </c>
      <c r="K7" s="2"/>
      <c r="L7" s="2"/>
      <c r="M7">
        <v>0</v>
      </c>
      <c r="N7">
        <v>0</v>
      </c>
      <c r="O7">
        <v>0</v>
      </c>
      <c r="P7">
        <v>0</v>
      </c>
      <c r="Q7">
        <v>0</v>
      </c>
      <c r="R7" t="str">
        <f t="shared" si="0"/>
        <v>2026-08</v>
      </c>
      <c r="S7" s="3" t="str">
        <f t="shared" si="1"/>
        <v/>
      </c>
      <c r="T7" s="3" t="str">
        <f t="shared" si="2"/>
        <v/>
      </c>
      <c r="U7" s="4" t="str">
        <f t="shared" si="3"/>
        <v/>
      </c>
      <c r="V7" s="5" t="str">
        <f t="shared" si="4"/>
        <v/>
      </c>
    </row>
    <row r="8" spans="1:22">
      <c r="A8" s="1">
        <v>46244</v>
      </c>
      <c r="B8" t="s">
        <v>17</v>
      </c>
      <c r="C8">
        <v>1</v>
      </c>
      <c r="D8">
        <v>52</v>
      </c>
      <c r="E8">
        <v>40</v>
      </c>
      <c r="F8">
        <v>22</v>
      </c>
      <c r="G8">
        <v>6464</v>
      </c>
      <c r="H8">
        <v>8737</v>
      </c>
      <c r="I8">
        <v>5</v>
      </c>
      <c r="J8">
        <v>1</v>
      </c>
      <c r="K8" s="2">
        <v>0.46071800000000002</v>
      </c>
      <c r="L8" s="2">
        <v>0.81564800000000004</v>
      </c>
      <c r="M8">
        <v>16102</v>
      </c>
      <c r="N8">
        <v>50</v>
      </c>
      <c r="O8">
        <v>3</v>
      </c>
      <c r="P8">
        <v>49</v>
      </c>
      <c r="Q8">
        <v>17</v>
      </c>
      <c r="R8" t="str">
        <f t="shared" si="0"/>
        <v>2026-08</v>
      </c>
      <c r="S8" s="3">
        <f t="shared" si="1"/>
        <v>8.518320000000001</v>
      </c>
      <c r="T8" s="3">
        <f t="shared" si="2"/>
        <v>5.3673333333333337</v>
      </c>
      <c r="U8" s="4">
        <f t="shared" si="3"/>
        <v>161.6</v>
      </c>
      <c r="V8" s="5">
        <f t="shared" si="4"/>
        <v>0.76923076923076927</v>
      </c>
    </row>
    <row r="9" spans="1:22">
      <c r="A9" s="1">
        <v>46245</v>
      </c>
      <c r="B9" t="s">
        <v>17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 s="2"/>
      <c r="L9" s="2"/>
      <c r="M9">
        <v>0</v>
      </c>
      <c r="N9">
        <v>0</v>
      </c>
      <c r="O9">
        <v>0</v>
      </c>
      <c r="P9">
        <v>0</v>
      </c>
      <c r="Q9">
        <v>0</v>
      </c>
      <c r="R9" t="str">
        <f t="shared" si="0"/>
        <v>2026-08</v>
      </c>
      <c r="S9" s="3" t="str">
        <f t="shared" si="1"/>
        <v/>
      </c>
      <c r="T9" s="3" t="str">
        <f t="shared" si="2"/>
        <v/>
      </c>
      <c r="U9" s="4" t="str">
        <f t="shared" si="3"/>
        <v/>
      </c>
      <c r="V9" s="5" t="str">
        <f t="shared" si="4"/>
        <v/>
      </c>
    </row>
    <row r="10" spans="1:22">
      <c r="A10" s="1">
        <v>46246</v>
      </c>
      <c r="B10" t="s">
        <v>17</v>
      </c>
      <c r="C10">
        <v>1</v>
      </c>
      <c r="D10">
        <v>65</v>
      </c>
      <c r="E10">
        <v>49</v>
      </c>
      <c r="F10">
        <v>22</v>
      </c>
      <c r="G10">
        <v>8911</v>
      </c>
      <c r="H10">
        <v>9966</v>
      </c>
      <c r="I10">
        <v>10</v>
      </c>
      <c r="J10">
        <v>5</v>
      </c>
      <c r="K10" s="2">
        <v>0.43104199999999998</v>
      </c>
      <c r="L10" s="2">
        <v>0.75149299999999997</v>
      </c>
      <c r="M10">
        <v>10898</v>
      </c>
      <c r="N10">
        <v>64</v>
      </c>
      <c r="O10">
        <v>1</v>
      </c>
      <c r="P10">
        <v>58</v>
      </c>
      <c r="Q10">
        <v>35</v>
      </c>
      <c r="R10" t="str">
        <f t="shared" si="0"/>
        <v>2026-08</v>
      </c>
      <c r="S10" s="3">
        <f t="shared" si="1"/>
        <v>7.6908239999999992</v>
      </c>
      <c r="T10" s="3">
        <f t="shared" si="2"/>
        <v>2.8380208333333332</v>
      </c>
      <c r="U10" s="4">
        <f t="shared" si="3"/>
        <v>181.85714285714286</v>
      </c>
      <c r="V10" s="5">
        <f t="shared" si="4"/>
        <v>0.75384615384615383</v>
      </c>
    </row>
    <row r="11" spans="1:22">
      <c r="A11" s="1">
        <v>46247</v>
      </c>
      <c r="B11" t="s">
        <v>17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  <c r="J11">
        <v>6</v>
      </c>
      <c r="K11" s="2"/>
      <c r="L11" s="2"/>
      <c r="M11">
        <v>0</v>
      </c>
      <c r="N11">
        <v>0</v>
      </c>
      <c r="O11">
        <v>0</v>
      </c>
      <c r="P11">
        <v>0</v>
      </c>
      <c r="Q11">
        <v>0</v>
      </c>
      <c r="R11" t="str">
        <f t="shared" si="0"/>
        <v>2026-08</v>
      </c>
      <c r="S11" s="3" t="str">
        <f t="shared" si="1"/>
        <v/>
      </c>
      <c r="T11" s="3" t="str">
        <f t="shared" si="2"/>
        <v/>
      </c>
      <c r="U11" s="4" t="str">
        <f t="shared" si="3"/>
        <v/>
      </c>
      <c r="V11" s="5" t="str">
        <f t="shared" si="4"/>
        <v/>
      </c>
    </row>
    <row r="12" spans="1:22">
      <c r="A12" s="1">
        <v>46249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 s="2"/>
      <c r="L12" s="2"/>
      <c r="M12">
        <v>0</v>
      </c>
      <c r="N12">
        <v>0</v>
      </c>
      <c r="O12">
        <v>0</v>
      </c>
      <c r="P12">
        <v>0</v>
      </c>
      <c r="Q12">
        <v>0</v>
      </c>
      <c r="R12" t="str">
        <f t="shared" si="0"/>
        <v>2026-08</v>
      </c>
      <c r="S12" s="3" t="str">
        <f t="shared" si="1"/>
        <v/>
      </c>
      <c r="T12" s="3" t="str">
        <f t="shared" si="2"/>
        <v/>
      </c>
      <c r="U12" s="4" t="str">
        <f t="shared" si="3"/>
        <v/>
      </c>
      <c r="V12" s="5" t="str">
        <f t="shared" si="4"/>
        <v/>
      </c>
    </row>
    <row r="13" spans="1:22">
      <c r="A13" s="1">
        <v>46250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 s="2"/>
      <c r="L13" s="2"/>
      <c r="M13">
        <v>0</v>
      </c>
      <c r="N13">
        <v>0</v>
      </c>
      <c r="O13">
        <v>0</v>
      </c>
      <c r="P13">
        <v>0</v>
      </c>
      <c r="Q13">
        <v>0</v>
      </c>
      <c r="R13" t="str">
        <f t="shared" si="0"/>
        <v>2026-08</v>
      </c>
      <c r="S13" s="3" t="str">
        <f t="shared" si="1"/>
        <v/>
      </c>
      <c r="T13" s="3" t="str">
        <f t="shared" si="2"/>
        <v/>
      </c>
      <c r="U13" s="4" t="str">
        <f t="shared" si="3"/>
        <v/>
      </c>
      <c r="V13" s="5" t="str">
        <f t="shared" si="4"/>
        <v/>
      </c>
    </row>
    <row r="14" spans="1:22">
      <c r="A14" s="1">
        <v>46251</v>
      </c>
      <c r="B14" t="s">
        <v>17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  <c r="K14" s="2"/>
      <c r="L14" s="2"/>
      <c r="M14">
        <v>0</v>
      </c>
      <c r="N14">
        <v>0</v>
      </c>
      <c r="O14">
        <v>0</v>
      </c>
      <c r="P14">
        <v>0</v>
      </c>
      <c r="Q14">
        <v>0</v>
      </c>
      <c r="R14" t="str">
        <f t="shared" si="0"/>
        <v>2026-08</v>
      </c>
      <c r="S14" s="3" t="str">
        <f t="shared" si="1"/>
        <v/>
      </c>
      <c r="T14" s="3" t="str">
        <f t="shared" si="2"/>
        <v/>
      </c>
      <c r="U14" s="4" t="str">
        <f t="shared" si="3"/>
        <v/>
      </c>
      <c r="V14" s="5" t="str">
        <f t="shared" si="4"/>
        <v/>
      </c>
    </row>
    <row r="15" spans="1:22">
      <c r="A15" s="1">
        <v>46252</v>
      </c>
      <c r="B15" t="s">
        <v>17</v>
      </c>
      <c r="C15">
        <v>1</v>
      </c>
      <c r="D15">
        <v>40</v>
      </c>
      <c r="E15">
        <v>32</v>
      </c>
      <c r="F15">
        <v>21</v>
      </c>
      <c r="G15">
        <v>8091</v>
      </c>
      <c r="H15">
        <v>9370</v>
      </c>
      <c r="I15">
        <v>26</v>
      </c>
      <c r="J15">
        <v>21</v>
      </c>
      <c r="K15" s="2">
        <v>0.43751200000000001</v>
      </c>
      <c r="L15" s="2">
        <v>0.796574</v>
      </c>
      <c r="M15">
        <v>13385</v>
      </c>
      <c r="N15">
        <v>39</v>
      </c>
      <c r="O15">
        <v>1</v>
      </c>
      <c r="P15">
        <v>35</v>
      </c>
      <c r="Q15">
        <v>18</v>
      </c>
      <c r="R15" t="str">
        <f t="shared" si="0"/>
        <v>2026-08</v>
      </c>
      <c r="S15" s="3">
        <f t="shared" si="1"/>
        <v>8.6174879999999998</v>
      </c>
      <c r="T15" s="3">
        <f t="shared" si="2"/>
        <v>5.7200854700854702</v>
      </c>
      <c r="U15" s="4">
        <f t="shared" si="3"/>
        <v>252.84375</v>
      </c>
      <c r="V15" s="5">
        <f t="shared" si="4"/>
        <v>0.8</v>
      </c>
    </row>
    <row r="16" spans="1:22">
      <c r="A16" s="1">
        <v>46253</v>
      </c>
      <c r="B16" t="s">
        <v>17</v>
      </c>
      <c r="C16">
        <v>1</v>
      </c>
      <c r="D16">
        <v>48</v>
      </c>
      <c r="E16">
        <v>40</v>
      </c>
      <c r="F16">
        <v>17</v>
      </c>
      <c r="G16">
        <v>6516</v>
      </c>
      <c r="H16">
        <v>8370</v>
      </c>
      <c r="I16">
        <v>20</v>
      </c>
      <c r="J16">
        <v>11</v>
      </c>
      <c r="K16" s="2">
        <v>0.40542800000000001</v>
      </c>
      <c r="L16" s="2">
        <v>0.74795100000000003</v>
      </c>
      <c r="M16">
        <v>14933</v>
      </c>
      <c r="N16">
        <v>47</v>
      </c>
      <c r="O16">
        <v>1</v>
      </c>
      <c r="P16">
        <v>45</v>
      </c>
      <c r="Q16">
        <v>24</v>
      </c>
      <c r="R16" t="str">
        <f t="shared" si="0"/>
        <v>2026-08</v>
      </c>
      <c r="S16" s="3">
        <f t="shared" si="1"/>
        <v>8.2205520000000014</v>
      </c>
      <c r="T16" s="3">
        <f t="shared" si="2"/>
        <v>5.2953900709219859</v>
      </c>
      <c r="U16" s="4">
        <f t="shared" si="3"/>
        <v>162.9</v>
      </c>
      <c r="V16" s="5">
        <f t="shared" si="4"/>
        <v>0.83333333333333337</v>
      </c>
    </row>
    <row r="17" spans="1:22">
      <c r="A17" s="1">
        <v>46254</v>
      </c>
      <c r="B17" t="s">
        <v>17</v>
      </c>
      <c r="C17">
        <v>1</v>
      </c>
      <c r="D17">
        <v>46</v>
      </c>
      <c r="E17">
        <v>43</v>
      </c>
      <c r="F17">
        <v>20</v>
      </c>
      <c r="G17">
        <v>5969</v>
      </c>
      <c r="H17">
        <v>6339</v>
      </c>
      <c r="I17">
        <v>4</v>
      </c>
      <c r="J17">
        <v>2</v>
      </c>
      <c r="K17" s="2">
        <v>0.44934000000000002</v>
      </c>
      <c r="L17" s="2">
        <v>0.72931699999999999</v>
      </c>
      <c r="M17">
        <v>11793</v>
      </c>
      <c r="N17">
        <v>44</v>
      </c>
      <c r="O17">
        <v>2</v>
      </c>
      <c r="P17">
        <v>42</v>
      </c>
      <c r="Q17">
        <v>22</v>
      </c>
      <c r="R17" t="str">
        <f t="shared" si="0"/>
        <v>2026-08</v>
      </c>
      <c r="S17" s="3">
        <f t="shared" si="1"/>
        <v>6.7194479999999999</v>
      </c>
      <c r="T17" s="3">
        <f t="shared" si="2"/>
        <v>4.4670454545454543</v>
      </c>
      <c r="U17" s="4">
        <f t="shared" si="3"/>
        <v>138.81395348837211</v>
      </c>
      <c r="V17" s="5">
        <f t="shared" si="4"/>
        <v>0.93478260869565222</v>
      </c>
    </row>
    <row r="18" spans="1:22">
      <c r="A18" s="1">
        <v>46255</v>
      </c>
      <c r="B18" t="s">
        <v>17</v>
      </c>
      <c r="C18">
        <v>1</v>
      </c>
      <c r="D18">
        <v>51</v>
      </c>
      <c r="E18">
        <v>44</v>
      </c>
      <c r="F18">
        <v>21</v>
      </c>
      <c r="G18">
        <v>6151</v>
      </c>
      <c r="H18">
        <v>8087</v>
      </c>
      <c r="I18">
        <v>8</v>
      </c>
      <c r="J18">
        <v>4</v>
      </c>
      <c r="K18" s="2">
        <v>0.43093700000000001</v>
      </c>
      <c r="L18" s="2">
        <v>0.72797500000000004</v>
      </c>
      <c r="M18">
        <v>13776</v>
      </c>
      <c r="N18">
        <v>50</v>
      </c>
      <c r="O18">
        <v>2</v>
      </c>
      <c r="P18">
        <v>48</v>
      </c>
      <c r="Q18">
        <v>29</v>
      </c>
      <c r="R18" t="str">
        <f t="shared" si="0"/>
        <v>2026-08</v>
      </c>
      <c r="S18" s="3">
        <f t="shared" si="1"/>
        <v>7.1289120000000006</v>
      </c>
      <c r="T18" s="3">
        <f t="shared" si="2"/>
        <v>4.5919999999999996</v>
      </c>
      <c r="U18" s="4">
        <f t="shared" si="3"/>
        <v>139.79545454545453</v>
      </c>
      <c r="V18" s="5">
        <f t="shared" si="4"/>
        <v>0.86274509803921573</v>
      </c>
    </row>
    <row r="19" spans="1:22">
      <c r="A19" s="1">
        <v>46256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 s="2"/>
      <c r="L19" s="2"/>
      <c r="M19">
        <v>0</v>
      </c>
      <c r="N19">
        <v>0</v>
      </c>
      <c r="O19">
        <v>0</v>
      </c>
      <c r="P19">
        <v>0</v>
      </c>
      <c r="Q19">
        <v>0</v>
      </c>
      <c r="R19" t="str">
        <f t="shared" si="0"/>
        <v>2026-08</v>
      </c>
      <c r="S19" s="3" t="str">
        <f t="shared" si="1"/>
        <v/>
      </c>
      <c r="T19" s="3" t="str">
        <f t="shared" si="2"/>
        <v/>
      </c>
      <c r="U19" s="4" t="str">
        <f t="shared" si="3"/>
        <v/>
      </c>
      <c r="V19" s="5" t="str">
        <f t="shared" si="4"/>
        <v/>
      </c>
    </row>
    <row r="20" spans="1:22">
      <c r="A20" s="1">
        <v>46257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 s="2"/>
      <c r="L20" s="2"/>
      <c r="M20">
        <v>0</v>
      </c>
      <c r="N20">
        <v>0</v>
      </c>
      <c r="O20">
        <v>0</v>
      </c>
      <c r="P20">
        <v>0</v>
      </c>
      <c r="Q20">
        <v>0</v>
      </c>
      <c r="R20" t="str">
        <f t="shared" si="0"/>
        <v>2026-08</v>
      </c>
      <c r="S20" s="3" t="str">
        <f t="shared" si="1"/>
        <v/>
      </c>
      <c r="T20" s="3" t="str">
        <f t="shared" si="2"/>
        <v/>
      </c>
      <c r="U20" s="4" t="str">
        <f t="shared" si="3"/>
        <v/>
      </c>
      <c r="V20" s="5" t="str">
        <f t="shared" si="4"/>
        <v/>
      </c>
    </row>
    <row r="21" spans="1:22">
      <c r="A21" s="1">
        <v>46258</v>
      </c>
      <c r="B21" t="s">
        <v>17</v>
      </c>
      <c r="C21">
        <v>1</v>
      </c>
      <c r="D21">
        <v>41</v>
      </c>
      <c r="E21">
        <v>31</v>
      </c>
      <c r="F21">
        <v>12</v>
      </c>
      <c r="G21">
        <v>5338</v>
      </c>
      <c r="H21">
        <v>7571</v>
      </c>
      <c r="I21">
        <v>8</v>
      </c>
      <c r="J21">
        <v>4</v>
      </c>
      <c r="K21" s="2">
        <v>0.471632</v>
      </c>
      <c r="L21" s="2">
        <v>0.79540500000000003</v>
      </c>
      <c r="M21">
        <v>13299</v>
      </c>
      <c r="N21">
        <v>40</v>
      </c>
      <c r="O21">
        <v>2</v>
      </c>
      <c r="P21">
        <v>39</v>
      </c>
      <c r="Q21">
        <v>24</v>
      </c>
      <c r="R21" t="str">
        <f t="shared" si="0"/>
        <v>2026-08</v>
      </c>
      <c r="S21" s="3">
        <f t="shared" si="1"/>
        <v>7.7705520000000003</v>
      </c>
      <c r="T21" s="3">
        <f t="shared" si="2"/>
        <v>5.5412500000000007</v>
      </c>
      <c r="U21" s="4">
        <f t="shared" si="3"/>
        <v>172.19354838709677</v>
      </c>
      <c r="V21" s="5">
        <f t="shared" si="4"/>
        <v>0.75609756097560976</v>
      </c>
    </row>
    <row r="22" spans="1:22">
      <c r="A22" s="1">
        <v>46259</v>
      </c>
      <c r="B22" t="s">
        <v>17</v>
      </c>
      <c r="C22">
        <v>1</v>
      </c>
      <c r="D22">
        <v>62</v>
      </c>
      <c r="E22">
        <v>46</v>
      </c>
      <c r="F22">
        <v>18</v>
      </c>
      <c r="G22">
        <v>7244</v>
      </c>
      <c r="H22">
        <v>7313</v>
      </c>
      <c r="I22">
        <v>9</v>
      </c>
      <c r="J22">
        <v>7</v>
      </c>
      <c r="K22" s="2">
        <v>0.42763899999999999</v>
      </c>
      <c r="L22" s="2">
        <v>0.82622700000000004</v>
      </c>
      <c r="M22">
        <v>14309</v>
      </c>
      <c r="N22">
        <v>60</v>
      </c>
      <c r="O22">
        <v>2</v>
      </c>
      <c r="P22">
        <v>56</v>
      </c>
      <c r="Q22">
        <v>24</v>
      </c>
      <c r="R22" t="str">
        <f t="shared" si="0"/>
        <v>2026-08</v>
      </c>
      <c r="S22" s="3">
        <f t="shared" si="1"/>
        <v>9.5661120000000004</v>
      </c>
      <c r="T22" s="3">
        <f t="shared" si="2"/>
        <v>3.9747222222222218</v>
      </c>
      <c r="U22" s="4">
        <f t="shared" si="3"/>
        <v>157.47826086956522</v>
      </c>
      <c r="V22" s="5">
        <f t="shared" si="4"/>
        <v>0.74193548387096775</v>
      </c>
    </row>
    <row r="23" spans="1:22">
      <c r="A23" s="1">
        <v>46260</v>
      </c>
      <c r="B23" t="s">
        <v>17</v>
      </c>
      <c r="C23">
        <v>1</v>
      </c>
      <c r="D23">
        <v>21</v>
      </c>
      <c r="E23">
        <v>20</v>
      </c>
      <c r="F23">
        <v>17</v>
      </c>
      <c r="G23">
        <v>3826</v>
      </c>
      <c r="H23">
        <v>5002</v>
      </c>
      <c r="I23">
        <v>8</v>
      </c>
      <c r="J23">
        <v>4</v>
      </c>
      <c r="K23" s="2">
        <v>0.434838</v>
      </c>
      <c r="L23" s="2">
        <v>0.73637699999999995</v>
      </c>
      <c r="M23">
        <v>7891</v>
      </c>
      <c r="N23">
        <v>19</v>
      </c>
      <c r="O23">
        <v>3</v>
      </c>
      <c r="P23">
        <v>21</v>
      </c>
      <c r="Q23">
        <v>13</v>
      </c>
      <c r="R23" t="str">
        <f t="shared" si="0"/>
        <v>2026-08</v>
      </c>
      <c r="S23" s="3">
        <f t="shared" si="1"/>
        <v>7.2369359999999983</v>
      </c>
      <c r="T23" s="3">
        <f t="shared" si="2"/>
        <v>6.9219298245614036</v>
      </c>
      <c r="U23" s="4">
        <f t="shared" si="3"/>
        <v>191.3</v>
      </c>
      <c r="V23" s="5">
        <f t="shared" si="4"/>
        <v>0.95238095238095233</v>
      </c>
    </row>
    <row r="24" spans="1:22">
      <c r="A24" s="1">
        <v>46261</v>
      </c>
      <c r="B24" t="s">
        <v>17</v>
      </c>
      <c r="C24">
        <v>1</v>
      </c>
      <c r="D24">
        <v>22</v>
      </c>
      <c r="E24">
        <v>19</v>
      </c>
      <c r="F24">
        <v>7</v>
      </c>
      <c r="G24">
        <v>2548</v>
      </c>
      <c r="H24">
        <v>4640</v>
      </c>
      <c r="I24">
        <v>9</v>
      </c>
      <c r="J24">
        <v>5</v>
      </c>
      <c r="K24" s="2">
        <v>0.44464100000000001</v>
      </c>
      <c r="L24" s="2">
        <v>0.70457199999999998</v>
      </c>
      <c r="M24">
        <v>6123</v>
      </c>
      <c r="N24">
        <v>19</v>
      </c>
      <c r="O24">
        <v>3</v>
      </c>
      <c r="P24">
        <v>19</v>
      </c>
      <c r="Q24">
        <v>8</v>
      </c>
      <c r="R24" t="str">
        <f t="shared" si="0"/>
        <v>2026-08</v>
      </c>
      <c r="S24" s="3">
        <f t="shared" si="1"/>
        <v>6.2383439999999997</v>
      </c>
      <c r="T24" s="3">
        <f t="shared" si="2"/>
        <v>5.3710526315789471</v>
      </c>
      <c r="U24" s="4">
        <f t="shared" si="3"/>
        <v>134.10526315789474</v>
      </c>
      <c r="V24" s="5">
        <f t="shared" si="4"/>
        <v>0.86363636363636365</v>
      </c>
    </row>
    <row r="25" spans="1:22">
      <c r="A25" s="1">
        <v>46262</v>
      </c>
      <c r="B25" t="s">
        <v>17</v>
      </c>
      <c r="C25">
        <v>1</v>
      </c>
      <c r="D25">
        <v>31</v>
      </c>
      <c r="E25">
        <v>30</v>
      </c>
      <c r="F25">
        <v>15</v>
      </c>
      <c r="G25">
        <v>7553</v>
      </c>
      <c r="H25">
        <v>9772</v>
      </c>
      <c r="I25">
        <v>12</v>
      </c>
      <c r="J25">
        <v>6</v>
      </c>
      <c r="K25" s="2">
        <v>0.40683999999999998</v>
      </c>
      <c r="L25" s="2">
        <v>0.75775499999999996</v>
      </c>
      <c r="M25">
        <v>12995</v>
      </c>
      <c r="N25">
        <v>31</v>
      </c>
      <c r="O25">
        <v>2</v>
      </c>
      <c r="P25">
        <v>26</v>
      </c>
      <c r="Q25">
        <v>15</v>
      </c>
      <c r="R25" t="str">
        <f t="shared" si="0"/>
        <v>2026-08</v>
      </c>
      <c r="S25" s="3">
        <f t="shared" si="1"/>
        <v>8.4219599999999986</v>
      </c>
      <c r="T25" s="3">
        <f t="shared" si="2"/>
        <v>6.986559139784946</v>
      </c>
      <c r="U25" s="4">
        <f t="shared" si="3"/>
        <v>251.76666666666668</v>
      </c>
      <c r="V25" s="5">
        <f t="shared" si="4"/>
        <v>0.967741935483871</v>
      </c>
    </row>
    <row r="26" spans="1:22">
      <c r="A26" s="1">
        <v>46263</v>
      </c>
      <c r="B26" t="s">
        <v>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2</v>
      </c>
      <c r="K26" s="2"/>
      <c r="L26" s="2"/>
      <c r="M26">
        <v>0</v>
      </c>
      <c r="N26">
        <v>0</v>
      </c>
      <c r="O26">
        <v>0</v>
      </c>
      <c r="P26">
        <v>0</v>
      </c>
      <c r="Q26">
        <v>0</v>
      </c>
      <c r="R26" t="str">
        <f t="shared" si="0"/>
        <v>2026-08</v>
      </c>
      <c r="S26" s="3" t="str">
        <f t="shared" si="1"/>
        <v/>
      </c>
      <c r="T26" s="3" t="str">
        <f t="shared" si="2"/>
        <v/>
      </c>
      <c r="U26" s="4" t="str">
        <f t="shared" si="3"/>
        <v/>
      </c>
      <c r="V26" s="5" t="str">
        <f t="shared" si="4"/>
        <v/>
      </c>
    </row>
    <row r="27" spans="1:22">
      <c r="A27" s="1">
        <v>46264</v>
      </c>
      <c r="B27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 s="2"/>
      <c r="L27" s="2"/>
      <c r="M27">
        <v>0</v>
      </c>
      <c r="N27">
        <v>0</v>
      </c>
      <c r="O27">
        <v>0</v>
      </c>
      <c r="P27">
        <v>0</v>
      </c>
      <c r="Q27">
        <v>0</v>
      </c>
      <c r="R27" t="str">
        <f t="shared" si="0"/>
        <v>2026-08</v>
      </c>
      <c r="S27" s="3" t="str">
        <f t="shared" si="1"/>
        <v/>
      </c>
      <c r="T27" s="3" t="str">
        <f t="shared" si="2"/>
        <v/>
      </c>
      <c r="U27" s="4" t="str">
        <f t="shared" si="3"/>
        <v/>
      </c>
      <c r="V27" s="5" t="str">
        <f t="shared" si="4"/>
        <v/>
      </c>
    </row>
    <row r="28" spans="1:22">
      <c r="A28" s="1">
        <v>46265</v>
      </c>
      <c r="B28" t="s">
        <v>17</v>
      </c>
      <c r="C28">
        <v>1</v>
      </c>
      <c r="D28">
        <v>33</v>
      </c>
      <c r="E28">
        <v>32</v>
      </c>
      <c r="F28">
        <v>22</v>
      </c>
      <c r="G28">
        <v>7401</v>
      </c>
      <c r="H28">
        <v>9515</v>
      </c>
      <c r="I28">
        <v>17</v>
      </c>
      <c r="J28">
        <v>9</v>
      </c>
      <c r="K28" s="2">
        <v>0.43989600000000001</v>
      </c>
      <c r="L28" s="2">
        <v>0.77362299999999995</v>
      </c>
      <c r="M28">
        <v>11865</v>
      </c>
      <c r="N28">
        <v>32</v>
      </c>
      <c r="O28">
        <v>1</v>
      </c>
      <c r="P28">
        <v>27</v>
      </c>
      <c r="Q28">
        <v>21</v>
      </c>
      <c r="R28" t="str">
        <f t="shared" si="0"/>
        <v>2026-08</v>
      </c>
      <c r="S28" s="3">
        <f t="shared" si="1"/>
        <v>8.009447999999999</v>
      </c>
      <c r="T28" s="3">
        <f t="shared" si="2"/>
        <v>6.1796875</v>
      </c>
      <c r="U28" s="4">
        <f t="shared" si="3"/>
        <v>231.28125</v>
      </c>
      <c r="V28" s="5">
        <f t="shared" si="4"/>
        <v>0.96969696969696972</v>
      </c>
    </row>
    <row r="29" spans="1:22">
      <c r="A29" s="1">
        <v>46266</v>
      </c>
      <c r="B29" t="s">
        <v>17</v>
      </c>
      <c r="C29">
        <v>1</v>
      </c>
      <c r="D29">
        <v>7</v>
      </c>
      <c r="E29">
        <v>6</v>
      </c>
      <c r="F29">
        <v>2</v>
      </c>
      <c r="G29">
        <v>994</v>
      </c>
      <c r="H29">
        <v>3661</v>
      </c>
      <c r="I29">
        <v>7</v>
      </c>
      <c r="J29">
        <v>3</v>
      </c>
      <c r="K29" s="2">
        <v>0.44417800000000002</v>
      </c>
      <c r="L29" s="2">
        <v>0.72505799999999998</v>
      </c>
      <c r="M29">
        <v>6023</v>
      </c>
      <c r="N29">
        <v>6</v>
      </c>
      <c r="O29">
        <v>2</v>
      </c>
      <c r="P29">
        <v>7</v>
      </c>
      <c r="Q29">
        <v>0</v>
      </c>
      <c r="R29" t="str">
        <f t="shared" si="0"/>
        <v>2026-09</v>
      </c>
      <c r="S29" s="3">
        <f t="shared" si="1"/>
        <v>6.7411199999999987</v>
      </c>
      <c r="T29" s="3">
        <f t="shared" si="2"/>
        <v>16.730555555555558</v>
      </c>
      <c r="U29" s="4">
        <f t="shared" si="3"/>
        <v>165.66666666666666</v>
      </c>
      <c r="V29" s="5">
        <f t="shared" si="4"/>
        <v>0.8571428571428571</v>
      </c>
    </row>
    <row r="30" spans="1:22">
      <c r="A30" s="1">
        <v>46267</v>
      </c>
      <c r="B30" t="s">
        <v>17</v>
      </c>
      <c r="C30">
        <v>1</v>
      </c>
      <c r="D30">
        <v>41</v>
      </c>
      <c r="E30">
        <v>37</v>
      </c>
      <c r="F30">
        <v>22</v>
      </c>
      <c r="G30">
        <v>6816</v>
      </c>
      <c r="H30">
        <v>6816</v>
      </c>
      <c r="I30">
        <v>11</v>
      </c>
      <c r="J30">
        <v>11</v>
      </c>
      <c r="K30" s="2">
        <v>0.44305600000000001</v>
      </c>
      <c r="L30" s="2">
        <v>0.79770799999999997</v>
      </c>
      <c r="M30">
        <v>11964</v>
      </c>
      <c r="N30">
        <v>40</v>
      </c>
      <c r="O30">
        <v>1</v>
      </c>
      <c r="P30">
        <v>40</v>
      </c>
      <c r="Q30">
        <v>2</v>
      </c>
      <c r="R30" t="str">
        <f t="shared" si="0"/>
        <v>2026-09</v>
      </c>
      <c r="S30" s="3">
        <f t="shared" si="1"/>
        <v>8.5116479999999992</v>
      </c>
      <c r="T30" s="3">
        <f t="shared" si="2"/>
        <v>4.9850000000000003</v>
      </c>
      <c r="U30" s="4">
        <f t="shared" si="3"/>
        <v>184.21621621621622</v>
      </c>
      <c r="V30" s="5">
        <f t="shared" si="4"/>
        <v>0.90243902439024393</v>
      </c>
    </row>
    <row r="31" spans="1:22">
      <c r="A31" s="1">
        <v>46268</v>
      </c>
      <c r="B31" t="s">
        <v>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5</v>
      </c>
      <c r="K31" s="2"/>
      <c r="L31" s="2"/>
      <c r="M31">
        <v>0</v>
      </c>
      <c r="N31">
        <v>0</v>
      </c>
      <c r="O31">
        <v>0</v>
      </c>
      <c r="P31">
        <v>0</v>
      </c>
      <c r="Q31">
        <v>0</v>
      </c>
      <c r="R31" t="str">
        <f t="shared" si="0"/>
        <v>2026-09</v>
      </c>
      <c r="S31" s="3" t="str">
        <f t="shared" si="1"/>
        <v/>
      </c>
      <c r="T31" s="3" t="str">
        <f t="shared" si="2"/>
        <v/>
      </c>
      <c r="U31" s="4" t="str">
        <f t="shared" si="3"/>
        <v/>
      </c>
      <c r="V31" s="5" t="str">
        <f t="shared" si="4"/>
        <v/>
      </c>
    </row>
    <row r="32" spans="1:22">
      <c r="A32" s="1">
        <v>46269</v>
      </c>
      <c r="B32" t="s">
        <v>17</v>
      </c>
      <c r="C32">
        <v>1</v>
      </c>
      <c r="D32">
        <v>38</v>
      </c>
      <c r="E32">
        <v>33</v>
      </c>
      <c r="F32">
        <v>18</v>
      </c>
      <c r="G32">
        <v>4784</v>
      </c>
      <c r="H32">
        <v>5471</v>
      </c>
      <c r="I32">
        <v>9</v>
      </c>
      <c r="J32">
        <v>6</v>
      </c>
      <c r="K32" s="2">
        <v>0.45456000000000002</v>
      </c>
      <c r="L32" s="2">
        <v>0.776285</v>
      </c>
      <c r="M32">
        <v>13580</v>
      </c>
      <c r="N32">
        <v>37</v>
      </c>
      <c r="O32">
        <v>2</v>
      </c>
      <c r="P32">
        <v>36</v>
      </c>
      <c r="Q32">
        <v>8</v>
      </c>
      <c r="R32" t="str">
        <f t="shared" si="0"/>
        <v>2026-09</v>
      </c>
      <c r="S32" s="3">
        <f t="shared" si="1"/>
        <v>7.7213999999999992</v>
      </c>
      <c r="T32" s="3">
        <f t="shared" si="2"/>
        <v>6.1171171171171173</v>
      </c>
      <c r="U32" s="4">
        <f t="shared" si="3"/>
        <v>144.96969696969697</v>
      </c>
      <c r="V32" s="5">
        <f t="shared" si="4"/>
        <v>0.86842105263157898</v>
      </c>
    </row>
    <row r="33" spans="1:22">
      <c r="A33" s="1">
        <v>46272</v>
      </c>
      <c r="B33" t="s">
        <v>17</v>
      </c>
      <c r="C33">
        <v>1</v>
      </c>
      <c r="D33">
        <v>30</v>
      </c>
      <c r="E33">
        <v>24</v>
      </c>
      <c r="F33">
        <v>14</v>
      </c>
      <c r="G33">
        <v>3686</v>
      </c>
      <c r="H33">
        <v>6806</v>
      </c>
      <c r="I33">
        <v>8</v>
      </c>
      <c r="J33">
        <v>5</v>
      </c>
      <c r="K33" s="2">
        <v>0.46969899999999998</v>
      </c>
      <c r="L33" s="2">
        <v>0.797153</v>
      </c>
      <c r="M33">
        <v>10584</v>
      </c>
      <c r="N33">
        <v>29</v>
      </c>
      <c r="O33">
        <v>2</v>
      </c>
      <c r="P33">
        <v>30</v>
      </c>
      <c r="Q33">
        <v>0</v>
      </c>
      <c r="R33" t="str">
        <f t="shared" si="0"/>
        <v>2026-09</v>
      </c>
      <c r="S33" s="3">
        <f t="shared" si="1"/>
        <v>7.8588960000000005</v>
      </c>
      <c r="T33" s="3">
        <f t="shared" si="2"/>
        <v>6.0827586206896553</v>
      </c>
      <c r="U33" s="4">
        <f t="shared" si="3"/>
        <v>153.58333333333334</v>
      </c>
      <c r="V33" s="5">
        <f t="shared" si="4"/>
        <v>0.8</v>
      </c>
    </row>
    <row r="34" spans="1:22">
      <c r="A34" s="1">
        <v>46273</v>
      </c>
      <c r="B34" t="s">
        <v>17</v>
      </c>
      <c r="C34">
        <v>1</v>
      </c>
      <c r="D34">
        <v>37</v>
      </c>
      <c r="E34">
        <v>32</v>
      </c>
      <c r="F34">
        <v>20</v>
      </c>
      <c r="G34">
        <v>4880</v>
      </c>
      <c r="H34">
        <v>5722</v>
      </c>
      <c r="I34">
        <v>9</v>
      </c>
      <c r="J34">
        <v>4</v>
      </c>
      <c r="K34" s="2">
        <v>0.43021999999999999</v>
      </c>
      <c r="L34" s="2">
        <v>0.771505</v>
      </c>
      <c r="M34">
        <v>10699</v>
      </c>
      <c r="N34">
        <v>35</v>
      </c>
      <c r="O34">
        <v>3</v>
      </c>
      <c r="P34">
        <v>35</v>
      </c>
      <c r="Q34">
        <v>8</v>
      </c>
      <c r="R34" t="str">
        <f t="shared" si="0"/>
        <v>2026-09</v>
      </c>
      <c r="S34" s="3">
        <f t="shared" si="1"/>
        <v>8.1908399999999997</v>
      </c>
      <c r="T34" s="3">
        <f t="shared" si="2"/>
        <v>5.0947619047619055</v>
      </c>
      <c r="U34" s="4">
        <f t="shared" si="3"/>
        <v>152.5</v>
      </c>
      <c r="V34" s="5">
        <f t="shared" si="4"/>
        <v>0.86486486486486491</v>
      </c>
    </row>
    <row r="35" spans="1:22">
      <c r="A35" s="1">
        <v>46274</v>
      </c>
      <c r="B35" t="s">
        <v>17</v>
      </c>
      <c r="C35">
        <v>1</v>
      </c>
      <c r="D35">
        <v>38</v>
      </c>
      <c r="E35">
        <v>29</v>
      </c>
      <c r="F35">
        <v>12</v>
      </c>
      <c r="G35">
        <v>5296</v>
      </c>
      <c r="H35">
        <v>7376</v>
      </c>
      <c r="I35">
        <v>14</v>
      </c>
      <c r="J35">
        <v>8</v>
      </c>
      <c r="K35" s="2">
        <v>0.43625000000000003</v>
      </c>
      <c r="L35" s="2">
        <v>0.74843700000000002</v>
      </c>
      <c r="M35">
        <v>9638</v>
      </c>
      <c r="N35">
        <v>35</v>
      </c>
      <c r="O35">
        <v>2</v>
      </c>
      <c r="P35">
        <v>35</v>
      </c>
      <c r="Q35">
        <v>20</v>
      </c>
      <c r="R35" t="str">
        <f t="shared" si="0"/>
        <v>2026-09</v>
      </c>
      <c r="S35" s="3">
        <f t="shared" si="1"/>
        <v>7.4924879999999998</v>
      </c>
      <c r="T35" s="3">
        <f t="shared" si="2"/>
        <v>4.5895238095238096</v>
      </c>
      <c r="U35" s="4">
        <f t="shared" si="3"/>
        <v>182.62068965517241</v>
      </c>
      <c r="V35" s="5">
        <f t="shared" si="4"/>
        <v>0.76315789473684215</v>
      </c>
    </row>
    <row r="36" spans="1:22">
      <c r="A36" s="1">
        <v>46275</v>
      </c>
      <c r="B36" t="s">
        <v>17</v>
      </c>
      <c r="C36">
        <v>1</v>
      </c>
      <c r="D36">
        <v>48</v>
      </c>
      <c r="E36">
        <v>40</v>
      </c>
      <c r="F36">
        <v>19</v>
      </c>
      <c r="G36">
        <v>5157</v>
      </c>
      <c r="H36">
        <v>5818</v>
      </c>
      <c r="I36">
        <v>10</v>
      </c>
      <c r="J36">
        <v>7</v>
      </c>
      <c r="K36" s="2">
        <v>0.448461</v>
      </c>
      <c r="L36" s="2">
        <v>0.81979199999999997</v>
      </c>
      <c r="M36">
        <v>15201</v>
      </c>
      <c r="N36">
        <v>46</v>
      </c>
      <c r="O36">
        <v>3</v>
      </c>
      <c r="P36">
        <v>41</v>
      </c>
      <c r="Q36">
        <v>20</v>
      </c>
      <c r="R36" t="str">
        <f t="shared" si="0"/>
        <v>2026-09</v>
      </c>
      <c r="S36" s="3">
        <f t="shared" si="1"/>
        <v>8.9119439999999983</v>
      </c>
      <c r="T36" s="3">
        <f t="shared" si="2"/>
        <v>5.5076086956521744</v>
      </c>
      <c r="U36" s="4">
        <f t="shared" si="3"/>
        <v>128.92500000000001</v>
      </c>
      <c r="V36" s="5">
        <f t="shared" si="4"/>
        <v>0.83333333333333337</v>
      </c>
    </row>
    <row r="37" spans="1:22">
      <c r="A37" s="1">
        <v>46276</v>
      </c>
      <c r="B37" t="s">
        <v>17</v>
      </c>
      <c r="C37">
        <v>1</v>
      </c>
      <c r="D37">
        <v>36</v>
      </c>
      <c r="E37">
        <v>30</v>
      </c>
      <c r="F37">
        <v>11</v>
      </c>
      <c r="G37">
        <v>5261</v>
      </c>
      <c r="H37">
        <v>7878</v>
      </c>
      <c r="I37">
        <v>14</v>
      </c>
      <c r="J37">
        <v>10</v>
      </c>
      <c r="K37" s="2">
        <v>0.44262699999999999</v>
      </c>
      <c r="L37" s="2">
        <v>0.75036999999999998</v>
      </c>
      <c r="M37">
        <v>15759</v>
      </c>
      <c r="N37">
        <v>33</v>
      </c>
      <c r="O37">
        <v>2</v>
      </c>
      <c r="P37">
        <v>30</v>
      </c>
      <c r="Q37">
        <v>20</v>
      </c>
      <c r="R37" t="str">
        <f t="shared" si="0"/>
        <v>2026-09</v>
      </c>
      <c r="S37" s="3">
        <f t="shared" si="1"/>
        <v>7.3858319999999997</v>
      </c>
      <c r="T37" s="3">
        <f t="shared" si="2"/>
        <v>7.959090909090909</v>
      </c>
      <c r="U37" s="4">
        <f t="shared" si="3"/>
        <v>175.36666666666667</v>
      </c>
      <c r="V37" s="5">
        <f t="shared" si="4"/>
        <v>0.83333333333333337</v>
      </c>
    </row>
    <row r="38" spans="1:22">
      <c r="A38" s="1">
        <v>46277</v>
      </c>
      <c r="B38" t="s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</v>
      </c>
      <c r="K38" s="2"/>
      <c r="L38" s="2"/>
      <c r="M38">
        <v>0</v>
      </c>
      <c r="N38">
        <v>0</v>
      </c>
      <c r="O38">
        <v>0</v>
      </c>
      <c r="P38">
        <v>0</v>
      </c>
      <c r="Q38">
        <v>0</v>
      </c>
      <c r="R38" t="str">
        <f t="shared" si="0"/>
        <v>2026-09</v>
      </c>
      <c r="S38" s="3" t="str">
        <f t="shared" si="1"/>
        <v/>
      </c>
      <c r="T38" s="3" t="str">
        <f t="shared" si="2"/>
        <v/>
      </c>
      <c r="U38" s="4" t="str">
        <f t="shared" si="3"/>
        <v/>
      </c>
      <c r="V38" s="5" t="str">
        <f t="shared" si="4"/>
        <v/>
      </c>
    </row>
    <row r="39" spans="1:22">
      <c r="A39" s="1">
        <v>46235</v>
      </c>
      <c r="B39" t="s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2</v>
      </c>
      <c r="K39" s="2"/>
      <c r="L39" s="2"/>
      <c r="M39">
        <v>0</v>
      </c>
      <c r="N39">
        <v>0</v>
      </c>
      <c r="O39">
        <v>0</v>
      </c>
      <c r="P39">
        <v>0</v>
      </c>
      <c r="Q39">
        <v>0</v>
      </c>
      <c r="R39" t="str">
        <f t="shared" si="0"/>
        <v>2026-08</v>
      </c>
      <c r="S39" s="3" t="str">
        <f t="shared" si="1"/>
        <v/>
      </c>
      <c r="T39" s="3" t="str">
        <f t="shared" si="2"/>
        <v/>
      </c>
      <c r="U39" s="4" t="str">
        <f t="shared" si="3"/>
        <v/>
      </c>
      <c r="V39" s="5" t="str">
        <f t="shared" si="4"/>
        <v/>
      </c>
    </row>
    <row r="40" spans="1:22">
      <c r="A40" s="1">
        <v>46236</v>
      </c>
      <c r="B40" t="s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 s="2"/>
      <c r="L40" s="2"/>
      <c r="M40">
        <v>0</v>
      </c>
      <c r="N40">
        <v>0</v>
      </c>
      <c r="O40">
        <v>0</v>
      </c>
      <c r="P40">
        <v>0</v>
      </c>
      <c r="Q40">
        <v>0</v>
      </c>
      <c r="R40" t="str">
        <f t="shared" si="0"/>
        <v>2026-08</v>
      </c>
      <c r="S40" s="3" t="str">
        <f t="shared" si="1"/>
        <v/>
      </c>
      <c r="T40" s="3" t="str">
        <f t="shared" si="2"/>
        <v/>
      </c>
      <c r="U40" s="4" t="str">
        <f t="shared" si="3"/>
        <v/>
      </c>
      <c r="V40" s="5" t="str">
        <f t="shared" si="4"/>
        <v/>
      </c>
    </row>
    <row r="41" spans="1:22">
      <c r="A41" s="1">
        <v>46237</v>
      </c>
      <c r="B41" t="s">
        <v>18</v>
      </c>
      <c r="C41">
        <v>1</v>
      </c>
      <c r="D41">
        <v>67</v>
      </c>
      <c r="E41">
        <v>57</v>
      </c>
      <c r="F41">
        <v>28</v>
      </c>
      <c r="G41">
        <v>11351</v>
      </c>
      <c r="H41">
        <v>12165</v>
      </c>
      <c r="I41">
        <v>2</v>
      </c>
      <c r="J41">
        <v>1</v>
      </c>
      <c r="K41" s="2">
        <v>0.44585599999999997</v>
      </c>
      <c r="L41" s="2">
        <v>0.77778899999999995</v>
      </c>
      <c r="M41">
        <v>13099</v>
      </c>
      <c r="N41">
        <v>66</v>
      </c>
      <c r="O41">
        <v>2</v>
      </c>
      <c r="P41">
        <v>52</v>
      </c>
      <c r="Q41">
        <v>15</v>
      </c>
      <c r="R41" t="str">
        <f t="shared" si="0"/>
        <v>2026-08</v>
      </c>
      <c r="S41" s="3">
        <f t="shared" si="1"/>
        <v>7.966391999999999</v>
      </c>
      <c r="T41" s="3">
        <f t="shared" si="2"/>
        <v>3.3078282828282828</v>
      </c>
      <c r="U41" s="4">
        <f t="shared" si="3"/>
        <v>199.14035087719299</v>
      </c>
      <c r="V41" s="5">
        <f t="shared" si="4"/>
        <v>0.85074626865671643</v>
      </c>
    </row>
    <row r="42" spans="1:22">
      <c r="A42" s="1">
        <v>46238</v>
      </c>
      <c r="B42" t="s">
        <v>18</v>
      </c>
      <c r="C42">
        <v>1</v>
      </c>
      <c r="D42">
        <v>95</v>
      </c>
      <c r="E42">
        <v>81</v>
      </c>
      <c r="F42">
        <v>38</v>
      </c>
      <c r="G42">
        <v>13422</v>
      </c>
      <c r="H42">
        <v>14530</v>
      </c>
      <c r="I42">
        <v>30</v>
      </c>
      <c r="J42">
        <v>27</v>
      </c>
      <c r="K42" s="2">
        <v>0.42386600000000002</v>
      </c>
      <c r="L42" s="2">
        <v>0.83116900000000005</v>
      </c>
      <c r="M42">
        <v>17492</v>
      </c>
      <c r="N42">
        <v>95</v>
      </c>
      <c r="O42">
        <v>2</v>
      </c>
      <c r="P42">
        <v>75</v>
      </c>
      <c r="Q42">
        <v>32</v>
      </c>
      <c r="R42" t="str">
        <f t="shared" si="0"/>
        <v>2026-08</v>
      </c>
      <c r="S42" s="3">
        <f t="shared" si="1"/>
        <v>9.7752720000000011</v>
      </c>
      <c r="T42" s="3">
        <f t="shared" si="2"/>
        <v>3.0687719298245617</v>
      </c>
      <c r="U42" s="4">
        <f t="shared" si="3"/>
        <v>165.7037037037037</v>
      </c>
      <c r="V42" s="5">
        <f t="shared" si="4"/>
        <v>0.85263157894736841</v>
      </c>
    </row>
    <row r="43" spans="1:22">
      <c r="A43" s="1">
        <v>46239</v>
      </c>
      <c r="B43" t="s">
        <v>18</v>
      </c>
      <c r="C43">
        <v>1</v>
      </c>
      <c r="D43">
        <v>66</v>
      </c>
      <c r="E43">
        <v>58</v>
      </c>
      <c r="F43">
        <v>29</v>
      </c>
      <c r="G43">
        <v>9797</v>
      </c>
      <c r="H43">
        <v>10461</v>
      </c>
      <c r="I43">
        <v>14</v>
      </c>
      <c r="J43">
        <v>12</v>
      </c>
      <c r="K43" s="2">
        <v>0.421875</v>
      </c>
      <c r="L43" s="2">
        <v>0.80502300000000004</v>
      </c>
      <c r="M43">
        <v>18862</v>
      </c>
      <c r="N43">
        <v>65</v>
      </c>
      <c r="O43">
        <v>1</v>
      </c>
      <c r="P43">
        <v>58</v>
      </c>
      <c r="Q43">
        <v>34</v>
      </c>
      <c r="R43" t="str">
        <f t="shared" si="0"/>
        <v>2026-08</v>
      </c>
      <c r="S43" s="3">
        <f t="shared" si="1"/>
        <v>9.1955520000000011</v>
      </c>
      <c r="T43" s="3">
        <f t="shared" si="2"/>
        <v>4.8364102564102565</v>
      </c>
      <c r="U43" s="4">
        <f t="shared" si="3"/>
        <v>168.91379310344828</v>
      </c>
      <c r="V43" s="5">
        <f t="shared" si="4"/>
        <v>0.87878787878787878</v>
      </c>
    </row>
    <row r="44" spans="1:22">
      <c r="A44" s="1">
        <v>46240</v>
      </c>
      <c r="B44" t="s">
        <v>18</v>
      </c>
      <c r="C44">
        <v>1</v>
      </c>
      <c r="D44">
        <v>31</v>
      </c>
      <c r="E44">
        <v>28</v>
      </c>
      <c r="F44">
        <v>15</v>
      </c>
      <c r="G44">
        <v>4322</v>
      </c>
      <c r="H44">
        <v>4523</v>
      </c>
      <c r="I44">
        <v>9</v>
      </c>
      <c r="J44">
        <v>8</v>
      </c>
      <c r="K44" s="2">
        <v>0.416354</v>
      </c>
      <c r="L44" s="2">
        <v>0.73806700000000003</v>
      </c>
      <c r="M44">
        <v>12805</v>
      </c>
      <c r="N44">
        <v>30</v>
      </c>
      <c r="O44">
        <v>2</v>
      </c>
      <c r="P44">
        <v>26</v>
      </c>
      <c r="Q44">
        <v>19</v>
      </c>
      <c r="R44" t="str">
        <f t="shared" si="0"/>
        <v>2026-08</v>
      </c>
      <c r="S44" s="3">
        <f t="shared" si="1"/>
        <v>7.7211120000000006</v>
      </c>
      <c r="T44" s="3">
        <f t="shared" si="2"/>
        <v>7.1138888888888889</v>
      </c>
      <c r="U44" s="4">
        <f t="shared" si="3"/>
        <v>154.35714285714286</v>
      </c>
      <c r="V44" s="5">
        <f t="shared" si="4"/>
        <v>0.90322580645161288</v>
      </c>
    </row>
    <row r="45" spans="1:22">
      <c r="A45" s="1">
        <v>46241</v>
      </c>
      <c r="B45" t="s">
        <v>18</v>
      </c>
      <c r="C45">
        <v>1</v>
      </c>
      <c r="D45">
        <v>64</v>
      </c>
      <c r="E45">
        <v>58</v>
      </c>
      <c r="F45">
        <v>30</v>
      </c>
      <c r="G45">
        <v>12111</v>
      </c>
      <c r="H45">
        <v>13200</v>
      </c>
      <c r="I45">
        <v>11</v>
      </c>
      <c r="J45">
        <v>7</v>
      </c>
      <c r="K45" s="2">
        <v>0.42499999999999999</v>
      </c>
      <c r="L45" s="2">
        <v>0.79465300000000005</v>
      </c>
      <c r="M45">
        <v>15814</v>
      </c>
      <c r="N45">
        <v>63</v>
      </c>
      <c r="O45">
        <v>2</v>
      </c>
      <c r="P45">
        <v>57</v>
      </c>
      <c r="Q45">
        <v>23</v>
      </c>
      <c r="R45" t="str">
        <f t="shared" si="0"/>
        <v>2026-08</v>
      </c>
      <c r="S45" s="3">
        <f t="shared" si="1"/>
        <v>8.871672000000002</v>
      </c>
      <c r="T45" s="3">
        <f t="shared" si="2"/>
        <v>4.1835978835978835</v>
      </c>
      <c r="U45" s="4">
        <f t="shared" si="3"/>
        <v>208.81034482758622</v>
      </c>
      <c r="V45" s="5">
        <f t="shared" si="4"/>
        <v>0.90625</v>
      </c>
    </row>
    <row r="46" spans="1:22">
      <c r="A46" s="1">
        <v>46242</v>
      </c>
      <c r="B46" t="s">
        <v>18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3</v>
      </c>
      <c r="K46" s="2"/>
      <c r="L46" s="2"/>
      <c r="M46">
        <v>0</v>
      </c>
      <c r="N46">
        <v>0</v>
      </c>
      <c r="O46">
        <v>0</v>
      </c>
      <c r="P46">
        <v>0</v>
      </c>
      <c r="Q46">
        <v>0</v>
      </c>
      <c r="R46" t="str">
        <f t="shared" si="0"/>
        <v>2026-08</v>
      </c>
      <c r="S46" s="3" t="str">
        <f t="shared" si="1"/>
        <v/>
      </c>
      <c r="T46" s="3" t="str">
        <f t="shared" si="2"/>
        <v/>
      </c>
      <c r="U46" s="4" t="str">
        <f t="shared" si="3"/>
        <v/>
      </c>
      <c r="V46" s="5" t="str">
        <f t="shared" si="4"/>
        <v/>
      </c>
    </row>
    <row r="47" spans="1:22">
      <c r="A47" s="1">
        <v>46243</v>
      </c>
      <c r="B47" t="s">
        <v>18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2</v>
      </c>
      <c r="K47" s="2"/>
      <c r="L47" s="2"/>
      <c r="M47">
        <v>0</v>
      </c>
      <c r="N47">
        <v>0</v>
      </c>
      <c r="O47">
        <v>0</v>
      </c>
      <c r="P47">
        <v>0</v>
      </c>
      <c r="Q47">
        <v>0</v>
      </c>
      <c r="R47" t="str">
        <f t="shared" si="0"/>
        <v>2026-08</v>
      </c>
      <c r="S47" s="3" t="str">
        <f t="shared" si="1"/>
        <v/>
      </c>
      <c r="T47" s="3" t="str">
        <f t="shared" si="2"/>
        <v/>
      </c>
      <c r="U47" s="4" t="str">
        <f t="shared" si="3"/>
        <v/>
      </c>
      <c r="V47" s="5" t="str">
        <f t="shared" si="4"/>
        <v/>
      </c>
    </row>
    <row r="48" spans="1:22">
      <c r="A48" s="1">
        <v>46244</v>
      </c>
      <c r="B48" t="s">
        <v>18</v>
      </c>
      <c r="C48">
        <v>1</v>
      </c>
      <c r="D48">
        <v>52</v>
      </c>
      <c r="E48">
        <v>45</v>
      </c>
      <c r="F48">
        <v>22</v>
      </c>
      <c r="G48">
        <v>7675</v>
      </c>
      <c r="H48">
        <v>8854</v>
      </c>
      <c r="I48">
        <v>15</v>
      </c>
      <c r="J48">
        <v>10</v>
      </c>
      <c r="K48" s="2">
        <v>0.42476900000000001</v>
      </c>
      <c r="L48" s="2">
        <v>0.77807899999999997</v>
      </c>
      <c r="M48">
        <v>15872</v>
      </c>
      <c r="N48">
        <v>52</v>
      </c>
      <c r="O48">
        <v>1</v>
      </c>
      <c r="P48">
        <v>49</v>
      </c>
      <c r="Q48">
        <v>22</v>
      </c>
      <c r="R48" t="str">
        <f t="shared" si="0"/>
        <v>2026-08</v>
      </c>
      <c r="S48" s="3">
        <f t="shared" si="1"/>
        <v>8.4794399999999985</v>
      </c>
      <c r="T48" s="3">
        <f t="shared" si="2"/>
        <v>5.0871794871794869</v>
      </c>
      <c r="U48" s="4">
        <f t="shared" si="3"/>
        <v>170.55555555555554</v>
      </c>
      <c r="V48" s="5">
        <f t="shared" si="4"/>
        <v>0.86538461538461542</v>
      </c>
    </row>
    <row r="49" spans="1:22">
      <c r="A49" s="1">
        <v>46245</v>
      </c>
      <c r="B49" t="s">
        <v>18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 s="2"/>
      <c r="L49" s="2"/>
      <c r="M49">
        <v>0</v>
      </c>
      <c r="N49">
        <v>0</v>
      </c>
      <c r="O49">
        <v>0</v>
      </c>
      <c r="P49">
        <v>0</v>
      </c>
      <c r="Q49">
        <v>0</v>
      </c>
      <c r="R49" t="str">
        <f t="shared" si="0"/>
        <v>2026-08</v>
      </c>
      <c r="S49" s="3" t="str">
        <f t="shared" si="1"/>
        <v/>
      </c>
      <c r="T49" s="3" t="str">
        <f t="shared" si="2"/>
        <v/>
      </c>
      <c r="U49" s="4" t="str">
        <f t="shared" si="3"/>
        <v/>
      </c>
      <c r="V49" s="5" t="str">
        <f t="shared" si="4"/>
        <v/>
      </c>
    </row>
    <row r="50" spans="1:22">
      <c r="A50" s="1">
        <v>46246</v>
      </c>
      <c r="B50" t="s">
        <v>18</v>
      </c>
      <c r="C50">
        <v>1</v>
      </c>
      <c r="D50">
        <v>58</v>
      </c>
      <c r="E50">
        <v>47</v>
      </c>
      <c r="F50">
        <v>18</v>
      </c>
      <c r="G50">
        <v>6702</v>
      </c>
      <c r="H50">
        <v>9064</v>
      </c>
      <c r="I50">
        <v>11</v>
      </c>
      <c r="J50">
        <v>5</v>
      </c>
      <c r="K50" s="2">
        <v>0.42965300000000001</v>
      </c>
      <c r="L50" s="2">
        <v>0.74083299999999996</v>
      </c>
      <c r="M50">
        <v>11659</v>
      </c>
      <c r="N50">
        <v>56</v>
      </c>
      <c r="O50">
        <v>1</v>
      </c>
      <c r="P50">
        <v>55</v>
      </c>
      <c r="Q50">
        <v>37</v>
      </c>
      <c r="R50" t="str">
        <f t="shared" si="0"/>
        <v>2026-08</v>
      </c>
      <c r="S50" s="3">
        <f t="shared" si="1"/>
        <v>7.4683199999999985</v>
      </c>
      <c r="T50" s="3">
        <f t="shared" si="2"/>
        <v>3.4699404761904762</v>
      </c>
      <c r="U50" s="4">
        <f t="shared" si="3"/>
        <v>142.59574468085106</v>
      </c>
      <c r="V50" s="5">
        <f t="shared" si="4"/>
        <v>0.81034482758620685</v>
      </c>
    </row>
    <row r="51" spans="1:22">
      <c r="A51" s="1">
        <v>46247</v>
      </c>
      <c r="B51" t="s">
        <v>18</v>
      </c>
      <c r="C51">
        <v>1</v>
      </c>
      <c r="D51">
        <v>50</v>
      </c>
      <c r="E51">
        <v>48</v>
      </c>
      <c r="F51">
        <v>22</v>
      </c>
      <c r="G51">
        <v>6728</v>
      </c>
      <c r="H51">
        <v>7614</v>
      </c>
      <c r="I51">
        <v>4</v>
      </c>
      <c r="J51">
        <v>3</v>
      </c>
      <c r="K51" s="2">
        <v>0.41870400000000002</v>
      </c>
      <c r="L51" s="2">
        <v>0.77856499999999995</v>
      </c>
      <c r="M51">
        <v>13304</v>
      </c>
      <c r="N51">
        <v>48</v>
      </c>
      <c r="O51">
        <v>2</v>
      </c>
      <c r="P51">
        <v>43</v>
      </c>
      <c r="Q51">
        <v>29</v>
      </c>
      <c r="R51" t="str">
        <f t="shared" si="0"/>
        <v>2026-08</v>
      </c>
      <c r="S51" s="3">
        <f t="shared" si="1"/>
        <v>8.6366639999999979</v>
      </c>
      <c r="T51" s="3">
        <f t="shared" si="2"/>
        <v>4.6194444444444445</v>
      </c>
      <c r="U51" s="4">
        <f t="shared" si="3"/>
        <v>140.16666666666666</v>
      </c>
      <c r="V51" s="5">
        <f t="shared" si="4"/>
        <v>0.96</v>
      </c>
    </row>
    <row r="52" spans="1:22">
      <c r="A52" s="1">
        <v>46248</v>
      </c>
      <c r="B52" t="s">
        <v>18</v>
      </c>
      <c r="C52">
        <v>1</v>
      </c>
      <c r="D52">
        <v>70</v>
      </c>
      <c r="E52">
        <v>52</v>
      </c>
      <c r="F52">
        <v>33</v>
      </c>
      <c r="G52">
        <v>11665</v>
      </c>
      <c r="H52">
        <v>12652</v>
      </c>
      <c r="I52">
        <v>13</v>
      </c>
      <c r="J52">
        <v>10</v>
      </c>
      <c r="K52" s="2">
        <v>0.41803200000000001</v>
      </c>
      <c r="L52" s="2">
        <v>0.79888899999999996</v>
      </c>
      <c r="M52">
        <v>12749</v>
      </c>
      <c r="N52">
        <v>68</v>
      </c>
      <c r="O52">
        <v>2</v>
      </c>
      <c r="P52">
        <v>54</v>
      </c>
      <c r="Q52">
        <v>53</v>
      </c>
      <c r="R52" t="str">
        <f t="shared" si="0"/>
        <v>2026-08</v>
      </c>
      <c r="S52" s="3">
        <f t="shared" si="1"/>
        <v>9.1405679999999982</v>
      </c>
      <c r="T52" s="3">
        <f t="shared" si="2"/>
        <v>3.1247549019607845</v>
      </c>
      <c r="U52" s="4">
        <f t="shared" si="3"/>
        <v>224.32692307692307</v>
      </c>
      <c r="V52" s="5">
        <f t="shared" si="4"/>
        <v>0.74285714285714288</v>
      </c>
    </row>
    <row r="53" spans="1:22">
      <c r="A53" s="1">
        <v>46249</v>
      </c>
      <c r="B53" t="s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 s="2"/>
      <c r="L53" s="2"/>
      <c r="M53">
        <v>0</v>
      </c>
      <c r="N53">
        <v>0</v>
      </c>
      <c r="O53">
        <v>0</v>
      </c>
      <c r="P53">
        <v>0</v>
      </c>
      <c r="Q53">
        <v>0</v>
      </c>
      <c r="R53" t="str">
        <f t="shared" si="0"/>
        <v>2026-08</v>
      </c>
      <c r="S53" s="3" t="str">
        <f t="shared" si="1"/>
        <v/>
      </c>
      <c r="T53" s="3" t="str">
        <f t="shared" si="2"/>
        <v/>
      </c>
      <c r="U53" s="4" t="str">
        <f t="shared" si="3"/>
        <v/>
      </c>
      <c r="V53" s="5" t="str">
        <f t="shared" si="4"/>
        <v/>
      </c>
    </row>
    <row r="54" spans="1:22">
      <c r="A54" s="1">
        <v>46250</v>
      </c>
      <c r="B54" t="s">
        <v>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</v>
      </c>
      <c r="J54">
        <v>3</v>
      </c>
      <c r="K54" s="2"/>
      <c r="L54" s="2"/>
      <c r="M54">
        <v>0</v>
      </c>
      <c r="N54">
        <v>0</v>
      </c>
      <c r="O54">
        <v>0</v>
      </c>
      <c r="P54">
        <v>0</v>
      </c>
      <c r="Q54">
        <v>0</v>
      </c>
      <c r="R54" t="str">
        <f t="shared" si="0"/>
        <v>2026-08</v>
      </c>
      <c r="S54" s="3" t="str">
        <f t="shared" si="1"/>
        <v/>
      </c>
      <c r="T54" s="3" t="str">
        <f t="shared" si="2"/>
        <v/>
      </c>
      <c r="U54" s="4" t="str">
        <f t="shared" si="3"/>
        <v/>
      </c>
      <c r="V54" s="5" t="str">
        <f t="shared" si="4"/>
        <v/>
      </c>
    </row>
    <row r="55" spans="1:22">
      <c r="A55" s="1">
        <v>46251</v>
      </c>
      <c r="B55" t="s">
        <v>18</v>
      </c>
      <c r="C55">
        <v>1</v>
      </c>
      <c r="D55">
        <v>57</v>
      </c>
      <c r="E55">
        <v>50</v>
      </c>
      <c r="F55">
        <v>31</v>
      </c>
      <c r="G55">
        <v>12404</v>
      </c>
      <c r="H55">
        <v>15119</v>
      </c>
      <c r="I55">
        <v>10</v>
      </c>
      <c r="J55">
        <v>7</v>
      </c>
      <c r="K55" s="2">
        <v>0.42982599999999999</v>
      </c>
      <c r="L55" s="2">
        <v>0.78811299999999995</v>
      </c>
      <c r="M55">
        <v>18581</v>
      </c>
      <c r="N55">
        <v>57</v>
      </c>
      <c r="O55">
        <v>3</v>
      </c>
      <c r="P55">
        <v>55</v>
      </c>
      <c r="Q55">
        <v>39</v>
      </c>
      <c r="R55" t="str">
        <f t="shared" si="0"/>
        <v>2026-08</v>
      </c>
      <c r="S55" s="3">
        <f t="shared" si="1"/>
        <v>8.5988879999999988</v>
      </c>
      <c r="T55" s="3">
        <f t="shared" si="2"/>
        <v>5.4330409356725147</v>
      </c>
      <c r="U55" s="4">
        <f t="shared" si="3"/>
        <v>248.08</v>
      </c>
      <c r="V55" s="5">
        <f t="shared" si="4"/>
        <v>0.8771929824561403</v>
      </c>
    </row>
    <row r="56" spans="1:22">
      <c r="A56" s="1">
        <v>46252</v>
      </c>
      <c r="B56" t="s">
        <v>18</v>
      </c>
      <c r="C56">
        <v>1</v>
      </c>
      <c r="D56">
        <v>57</v>
      </c>
      <c r="E56">
        <v>51</v>
      </c>
      <c r="F56">
        <v>29</v>
      </c>
      <c r="G56">
        <v>13375</v>
      </c>
      <c r="H56">
        <v>14593</v>
      </c>
      <c r="I56">
        <v>8</v>
      </c>
      <c r="J56">
        <v>6</v>
      </c>
      <c r="K56" s="2">
        <v>0.42596099999999998</v>
      </c>
      <c r="L56" s="2">
        <v>0.78731499999999999</v>
      </c>
      <c r="M56">
        <v>9454</v>
      </c>
      <c r="N56">
        <v>56</v>
      </c>
      <c r="O56">
        <v>1</v>
      </c>
      <c r="P56">
        <v>50</v>
      </c>
      <c r="Q56">
        <v>38</v>
      </c>
      <c r="R56" t="str">
        <f t="shared" si="0"/>
        <v>2026-08</v>
      </c>
      <c r="S56" s="3">
        <f t="shared" si="1"/>
        <v>8.6724960000000006</v>
      </c>
      <c r="T56" s="3">
        <f t="shared" si="2"/>
        <v>2.8136904761904762</v>
      </c>
      <c r="U56" s="4">
        <f t="shared" si="3"/>
        <v>262.25490196078431</v>
      </c>
      <c r="V56" s="5">
        <f t="shared" si="4"/>
        <v>0.89473684210526316</v>
      </c>
    </row>
    <row r="57" spans="1:22">
      <c r="A57" s="1">
        <v>46253</v>
      </c>
      <c r="B57" t="s">
        <v>18</v>
      </c>
      <c r="C57">
        <v>1</v>
      </c>
      <c r="D57">
        <v>73</v>
      </c>
      <c r="E57">
        <v>63</v>
      </c>
      <c r="F57">
        <v>30</v>
      </c>
      <c r="G57">
        <v>11668</v>
      </c>
      <c r="H57">
        <v>12528</v>
      </c>
      <c r="I57">
        <v>15</v>
      </c>
      <c r="J57">
        <v>11</v>
      </c>
      <c r="K57" s="2">
        <v>0.42281200000000002</v>
      </c>
      <c r="L57" s="2">
        <v>0.75170099999999995</v>
      </c>
      <c r="M57">
        <v>11359</v>
      </c>
      <c r="N57">
        <v>71</v>
      </c>
      <c r="O57">
        <v>2</v>
      </c>
      <c r="P57">
        <v>66</v>
      </c>
      <c r="Q57">
        <v>48</v>
      </c>
      <c r="R57" t="str">
        <f t="shared" si="0"/>
        <v>2026-08</v>
      </c>
      <c r="S57" s="3">
        <f t="shared" si="1"/>
        <v>7.8933359999999979</v>
      </c>
      <c r="T57" s="3">
        <f t="shared" si="2"/>
        <v>2.6664319248826294</v>
      </c>
      <c r="U57" s="4">
        <f t="shared" si="3"/>
        <v>185.20634920634922</v>
      </c>
      <c r="V57" s="5">
        <f t="shared" si="4"/>
        <v>0.86301369863013699</v>
      </c>
    </row>
    <row r="58" spans="1:22">
      <c r="A58" s="1">
        <v>46254</v>
      </c>
      <c r="B58" t="s">
        <v>18</v>
      </c>
      <c r="C58">
        <v>1</v>
      </c>
      <c r="D58">
        <v>57</v>
      </c>
      <c r="E58">
        <v>48</v>
      </c>
      <c r="F58">
        <v>27</v>
      </c>
      <c r="G58">
        <v>10757</v>
      </c>
      <c r="H58">
        <v>12803</v>
      </c>
      <c r="I58">
        <v>14</v>
      </c>
      <c r="J58">
        <v>11</v>
      </c>
      <c r="K58" s="2">
        <v>0.42828699999999997</v>
      </c>
      <c r="L58" s="2">
        <v>0.77670099999999997</v>
      </c>
      <c r="M58">
        <v>11006</v>
      </c>
      <c r="N58">
        <v>56</v>
      </c>
      <c r="O58">
        <v>1</v>
      </c>
      <c r="P58">
        <v>49</v>
      </c>
      <c r="Q58">
        <v>44</v>
      </c>
      <c r="R58" t="str">
        <f t="shared" si="0"/>
        <v>2026-08</v>
      </c>
      <c r="S58" s="3">
        <f t="shared" si="1"/>
        <v>8.361936</v>
      </c>
      <c r="T58" s="3">
        <f t="shared" si="2"/>
        <v>3.2755952380952378</v>
      </c>
      <c r="U58" s="4">
        <f t="shared" si="3"/>
        <v>224.10416666666666</v>
      </c>
      <c r="V58" s="5">
        <f t="shared" si="4"/>
        <v>0.84210526315789469</v>
      </c>
    </row>
    <row r="59" spans="1:22">
      <c r="A59" s="1">
        <v>46255</v>
      </c>
      <c r="B59" t="s">
        <v>18</v>
      </c>
      <c r="C59">
        <v>1</v>
      </c>
      <c r="D59">
        <v>45</v>
      </c>
      <c r="E59">
        <v>32</v>
      </c>
      <c r="F59">
        <v>16</v>
      </c>
      <c r="G59">
        <v>7186</v>
      </c>
      <c r="H59">
        <v>8662</v>
      </c>
      <c r="I59">
        <v>12</v>
      </c>
      <c r="J59">
        <v>7</v>
      </c>
      <c r="K59" s="2">
        <v>0.429977</v>
      </c>
      <c r="L59" s="2">
        <v>0.78827499999999995</v>
      </c>
      <c r="M59">
        <v>18299</v>
      </c>
      <c r="N59">
        <v>45</v>
      </c>
      <c r="O59">
        <v>3</v>
      </c>
      <c r="P59">
        <v>35</v>
      </c>
      <c r="Q59">
        <v>31</v>
      </c>
      <c r="R59" t="str">
        <f t="shared" si="0"/>
        <v>2026-08</v>
      </c>
      <c r="S59" s="3">
        <f t="shared" si="1"/>
        <v>8.5991519999999984</v>
      </c>
      <c r="T59" s="3">
        <f t="shared" si="2"/>
        <v>6.7774074074074075</v>
      </c>
      <c r="U59" s="4">
        <f t="shared" si="3"/>
        <v>224.5625</v>
      </c>
      <c r="V59" s="5">
        <f t="shared" si="4"/>
        <v>0.71111111111111114</v>
      </c>
    </row>
    <row r="60" spans="1:22">
      <c r="A60" s="1">
        <v>46256</v>
      </c>
      <c r="B60" t="s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</v>
      </c>
      <c r="J60">
        <v>4</v>
      </c>
      <c r="K60" s="2"/>
      <c r="L60" s="2"/>
      <c r="M60">
        <v>0</v>
      </c>
      <c r="N60">
        <v>0</v>
      </c>
      <c r="O60">
        <v>0</v>
      </c>
      <c r="P60">
        <v>0</v>
      </c>
      <c r="Q60">
        <v>0</v>
      </c>
      <c r="R60" t="str">
        <f t="shared" si="0"/>
        <v>2026-08</v>
      </c>
      <c r="S60" s="3" t="str">
        <f t="shared" si="1"/>
        <v/>
      </c>
      <c r="T60" s="3" t="str">
        <f t="shared" si="2"/>
        <v/>
      </c>
      <c r="U60" s="4" t="str">
        <f t="shared" si="3"/>
        <v/>
      </c>
      <c r="V60" s="5" t="str">
        <f t="shared" si="4"/>
        <v/>
      </c>
    </row>
    <row r="61" spans="1:22">
      <c r="A61" s="1">
        <v>46258</v>
      </c>
      <c r="B61" t="s">
        <v>18</v>
      </c>
      <c r="C61">
        <v>1</v>
      </c>
      <c r="D61">
        <v>56</v>
      </c>
      <c r="E61">
        <v>50</v>
      </c>
      <c r="F61">
        <v>32</v>
      </c>
      <c r="G61">
        <v>11329</v>
      </c>
      <c r="H61">
        <v>13958</v>
      </c>
      <c r="I61">
        <v>13</v>
      </c>
      <c r="J61">
        <v>9</v>
      </c>
      <c r="K61" s="2">
        <v>0.41756900000000002</v>
      </c>
      <c r="L61" s="2">
        <v>0.78464100000000003</v>
      </c>
      <c r="M61">
        <v>15159</v>
      </c>
      <c r="N61">
        <v>56</v>
      </c>
      <c r="O61">
        <v>3</v>
      </c>
      <c r="P61">
        <v>53</v>
      </c>
      <c r="Q61">
        <v>44</v>
      </c>
      <c r="R61" t="str">
        <f t="shared" si="0"/>
        <v>2026-08</v>
      </c>
      <c r="S61" s="3">
        <f t="shared" si="1"/>
        <v>8.8097279999999998</v>
      </c>
      <c r="T61" s="3">
        <f t="shared" si="2"/>
        <v>4.5116071428571427</v>
      </c>
      <c r="U61" s="4">
        <f t="shared" si="3"/>
        <v>226.58</v>
      </c>
      <c r="V61" s="5">
        <f t="shared" si="4"/>
        <v>0.8928571428571429</v>
      </c>
    </row>
    <row r="62" spans="1:22">
      <c r="A62" s="1">
        <v>46259</v>
      </c>
      <c r="B62" t="s">
        <v>18</v>
      </c>
      <c r="C62">
        <v>1</v>
      </c>
      <c r="D62">
        <v>53</v>
      </c>
      <c r="E62">
        <v>42</v>
      </c>
      <c r="F62">
        <v>27</v>
      </c>
      <c r="G62">
        <v>9708</v>
      </c>
      <c r="H62">
        <v>12289</v>
      </c>
      <c r="I62">
        <v>11</v>
      </c>
      <c r="J62">
        <v>9</v>
      </c>
      <c r="K62" s="2">
        <v>0.42766199999999999</v>
      </c>
      <c r="L62" s="2">
        <v>0.77291699999999997</v>
      </c>
      <c r="M62">
        <v>13867</v>
      </c>
      <c r="N62">
        <v>51</v>
      </c>
      <c r="O62">
        <v>3</v>
      </c>
      <c r="P62">
        <v>48</v>
      </c>
      <c r="Q62">
        <v>35</v>
      </c>
      <c r="R62" t="str">
        <f t="shared" si="0"/>
        <v>2026-08</v>
      </c>
      <c r="S62" s="3">
        <f t="shared" si="1"/>
        <v>8.2861200000000004</v>
      </c>
      <c r="T62" s="3">
        <f t="shared" si="2"/>
        <v>4.5316993464052286</v>
      </c>
      <c r="U62" s="4">
        <f t="shared" si="3"/>
        <v>231.14285714285714</v>
      </c>
      <c r="V62" s="5">
        <f t="shared" si="4"/>
        <v>0.79245283018867929</v>
      </c>
    </row>
    <row r="63" spans="1:22">
      <c r="A63" s="1">
        <v>46260</v>
      </c>
      <c r="B63" t="s">
        <v>18</v>
      </c>
      <c r="C63">
        <v>1</v>
      </c>
      <c r="D63">
        <v>49</v>
      </c>
      <c r="E63">
        <v>42</v>
      </c>
      <c r="F63">
        <v>24</v>
      </c>
      <c r="G63">
        <v>12711</v>
      </c>
      <c r="H63">
        <v>14163</v>
      </c>
      <c r="I63">
        <v>9</v>
      </c>
      <c r="J63">
        <v>5</v>
      </c>
      <c r="K63" s="2">
        <v>0.4264</v>
      </c>
      <c r="L63" s="2">
        <v>0.78394699999999995</v>
      </c>
      <c r="M63">
        <v>13310</v>
      </c>
      <c r="N63">
        <v>48</v>
      </c>
      <c r="O63">
        <v>0</v>
      </c>
      <c r="P63">
        <v>45</v>
      </c>
      <c r="Q63">
        <v>25</v>
      </c>
      <c r="R63" t="str">
        <f t="shared" si="0"/>
        <v>2026-08</v>
      </c>
      <c r="S63" s="3">
        <f t="shared" si="1"/>
        <v>8.5811279999999996</v>
      </c>
      <c r="T63" s="3">
        <f t="shared" si="2"/>
        <v>4.6215277777777777</v>
      </c>
      <c r="U63" s="4">
        <f t="shared" si="3"/>
        <v>302.64285714285717</v>
      </c>
      <c r="V63" s="5">
        <f t="shared" si="4"/>
        <v>0.8571428571428571</v>
      </c>
    </row>
    <row r="64" spans="1:22">
      <c r="A64" s="1">
        <v>46261</v>
      </c>
      <c r="B64" t="s">
        <v>18</v>
      </c>
      <c r="C64">
        <v>1</v>
      </c>
      <c r="D64">
        <v>40</v>
      </c>
      <c r="E64">
        <v>34</v>
      </c>
      <c r="F64">
        <v>27</v>
      </c>
      <c r="G64">
        <v>13682</v>
      </c>
      <c r="H64">
        <v>13690</v>
      </c>
      <c r="I64">
        <v>9</v>
      </c>
      <c r="J64">
        <v>9</v>
      </c>
      <c r="K64" s="2">
        <v>0.42612299999999997</v>
      </c>
      <c r="L64" s="2">
        <v>0.765266</v>
      </c>
      <c r="M64">
        <v>11731</v>
      </c>
      <c r="N64">
        <v>39</v>
      </c>
      <c r="O64">
        <v>0</v>
      </c>
      <c r="P64">
        <v>37</v>
      </c>
      <c r="Q64">
        <v>23</v>
      </c>
      <c r="R64" t="str">
        <f t="shared" si="0"/>
        <v>2026-08</v>
      </c>
      <c r="S64" s="3">
        <f t="shared" si="1"/>
        <v>8.1394320000000011</v>
      </c>
      <c r="T64" s="3">
        <f t="shared" si="2"/>
        <v>5.0132478632478632</v>
      </c>
      <c r="U64" s="4">
        <f t="shared" si="3"/>
        <v>402.41176470588238</v>
      </c>
      <c r="V64" s="5">
        <f t="shared" si="4"/>
        <v>0.85</v>
      </c>
    </row>
    <row r="65" spans="1:22">
      <c r="A65" s="1">
        <v>46262</v>
      </c>
      <c r="B65" t="s">
        <v>18</v>
      </c>
      <c r="C65">
        <v>1</v>
      </c>
      <c r="D65">
        <v>42</v>
      </c>
      <c r="E65">
        <v>36</v>
      </c>
      <c r="F65">
        <v>29</v>
      </c>
      <c r="G65">
        <v>9445</v>
      </c>
      <c r="H65">
        <v>10716</v>
      </c>
      <c r="I65">
        <v>17</v>
      </c>
      <c r="J65">
        <v>10</v>
      </c>
      <c r="K65" s="2">
        <v>0.44708300000000001</v>
      </c>
      <c r="L65" s="2">
        <v>0.74701399999999996</v>
      </c>
      <c r="M65">
        <v>10320</v>
      </c>
      <c r="N65">
        <v>41</v>
      </c>
      <c r="O65">
        <v>2</v>
      </c>
      <c r="P65">
        <v>37</v>
      </c>
      <c r="Q65">
        <v>24</v>
      </c>
      <c r="R65" t="str">
        <f t="shared" si="0"/>
        <v>2026-08</v>
      </c>
      <c r="S65" s="3">
        <f t="shared" si="1"/>
        <v>7.1983439999999987</v>
      </c>
      <c r="T65" s="3">
        <f t="shared" si="2"/>
        <v>4.1951219512195124</v>
      </c>
      <c r="U65" s="4">
        <f t="shared" si="3"/>
        <v>262.36111111111109</v>
      </c>
      <c r="V65" s="5">
        <f t="shared" si="4"/>
        <v>0.8571428571428571</v>
      </c>
    </row>
    <row r="66" spans="1:22">
      <c r="A66" s="1">
        <v>46265</v>
      </c>
      <c r="B66" t="s">
        <v>18</v>
      </c>
      <c r="C66">
        <v>1</v>
      </c>
      <c r="D66">
        <v>48</v>
      </c>
      <c r="E66">
        <v>37</v>
      </c>
      <c r="F66">
        <v>26</v>
      </c>
      <c r="G66">
        <v>9702</v>
      </c>
      <c r="H66">
        <v>14258</v>
      </c>
      <c r="I66">
        <v>14</v>
      </c>
      <c r="J66">
        <v>7</v>
      </c>
      <c r="K66" s="2">
        <v>0.44113400000000003</v>
      </c>
      <c r="L66" s="2">
        <v>0.77747699999999997</v>
      </c>
      <c r="M66">
        <v>10548</v>
      </c>
      <c r="N66">
        <v>47</v>
      </c>
      <c r="O66">
        <v>1</v>
      </c>
      <c r="P66">
        <v>42</v>
      </c>
      <c r="Q66">
        <v>21</v>
      </c>
      <c r="R66" t="str">
        <f t="shared" si="0"/>
        <v>2026-08</v>
      </c>
      <c r="S66" s="3">
        <f t="shared" si="1"/>
        <v>8.0722319999999996</v>
      </c>
      <c r="T66" s="3">
        <f t="shared" si="2"/>
        <v>3.7404255319148936</v>
      </c>
      <c r="U66" s="4">
        <f t="shared" si="3"/>
        <v>262.2162162162162</v>
      </c>
      <c r="V66" s="5">
        <f t="shared" si="4"/>
        <v>0.77083333333333337</v>
      </c>
    </row>
    <row r="67" spans="1:22">
      <c r="A67" s="1">
        <v>46266</v>
      </c>
      <c r="B67" t="s">
        <v>18</v>
      </c>
      <c r="C67">
        <v>1</v>
      </c>
      <c r="D67">
        <v>59</v>
      </c>
      <c r="E67">
        <v>46</v>
      </c>
      <c r="F67">
        <v>28</v>
      </c>
      <c r="G67">
        <v>10176</v>
      </c>
      <c r="H67">
        <v>10511</v>
      </c>
      <c r="I67">
        <v>6</v>
      </c>
      <c r="J67">
        <v>4</v>
      </c>
      <c r="K67" s="2">
        <v>0.41572900000000002</v>
      </c>
      <c r="L67" s="2">
        <v>0.79340299999999997</v>
      </c>
      <c r="M67">
        <v>16416</v>
      </c>
      <c r="N67">
        <v>57</v>
      </c>
      <c r="O67">
        <v>3</v>
      </c>
      <c r="P67">
        <v>49</v>
      </c>
      <c r="Q67">
        <v>10</v>
      </c>
      <c r="R67" t="str">
        <f t="shared" ref="R67:R130" si="5">TEXT(A67,"yyyy-mm")</f>
        <v>2026-09</v>
      </c>
      <c r="S67" s="3">
        <f t="shared" ref="S67:S130" si="6">IF(K67="","",(L67-K67)*24)</f>
        <v>9.0641759999999998</v>
      </c>
      <c r="T67" s="3">
        <f t="shared" ref="T67:T130" si="7">IF(N67=0,"",M67/N67/60)</f>
        <v>4.8</v>
      </c>
      <c r="U67" s="4">
        <f t="shared" ref="U67:U130" si="8">IF(E67=0,"",G67/E67)</f>
        <v>221.21739130434781</v>
      </c>
      <c r="V67" s="5">
        <f t="shared" ref="V67:V130" si="9">IF(D67=0,"",E67/D67)</f>
        <v>0.77966101694915257</v>
      </c>
    </row>
    <row r="68" spans="1:22">
      <c r="A68" s="1">
        <v>46267</v>
      </c>
      <c r="B68" t="s">
        <v>18</v>
      </c>
      <c r="C68">
        <v>1</v>
      </c>
      <c r="D68">
        <v>61</v>
      </c>
      <c r="E68">
        <v>49</v>
      </c>
      <c r="F68">
        <v>32</v>
      </c>
      <c r="G68">
        <v>9079</v>
      </c>
      <c r="H68">
        <v>9444</v>
      </c>
      <c r="I68">
        <v>13</v>
      </c>
      <c r="J68">
        <v>12</v>
      </c>
      <c r="K68" s="2">
        <v>0.42859999999999998</v>
      </c>
      <c r="L68" s="2">
        <v>0.79913199999999995</v>
      </c>
      <c r="M68">
        <v>13314</v>
      </c>
      <c r="N68">
        <v>58</v>
      </c>
      <c r="O68">
        <v>3</v>
      </c>
      <c r="P68">
        <v>50</v>
      </c>
      <c r="Q68">
        <v>21</v>
      </c>
      <c r="R68" t="str">
        <f t="shared" si="5"/>
        <v>2026-09</v>
      </c>
      <c r="S68" s="3">
        <f t="shared" si="6"/>
        <v>8.8927680000000002</v>
      </c>
      <c r="T68" s="3">
        <f t="shared" si="7"/>
        <v>3.8258620689655176</v>
      </c>
      <c r="U68" s="4">
        <f t="shared" si="8"/>
        <v>185.28571428571428</v>
      </c>
      <c r="V68" s="5">
        <f t="shared" si="9"/>
        <v>0.80327868852459017</v>
      </c>
    </row>
    <row r="69" spans="1:22">
      <c r="A69" s="1">
        <v>46268</v>
      </c>
      <c r="B69" t="s">
        <v>18</v>
      </c>
      <c r="C69">
        <v>1</v>
      </c>
      <c r="D69">
        <v>54</v>
      </c>
      <c r="E69">
        <v>40</v>
      </c>
      <c r="F69">
        <v>23</v>
      </c>
      <c r="G69">
        <v>7646</v>
      </c>
      <c r="H69">
        <v>8385</v>
      </c>
      <c r="I69">
        <v>7</v>
      </c>
      <c r="J69">
        <v>5</v>
      </c>
      <c r="K69" s="2">
        <v>0.41953699999999999</v>
      </c>
      <c r="L69" s="2">
        <v>0.77677099999999999</v>
      </c>
      <c r="M69">
        <v>18502</v>
      </c>
      <c r="N69">
        <v>53</v>
      </c>
      <c r="O69">
        <v>4</v>
      </c>
      <c r="P69">
        <v>46</v>
      </c>
      <c r="Q69">
        <v>24</v>
      </c>
      <c r="R69" t="str">
        <f t="shared" si="5"/>
        <v>2026-09</v>
      </c>
      <c r="S69" s="3">
        <f t="shared" si="6"/>
        <v>8.5736159999999995</v>
      </c>
      <c r="T69" s="3">
        <f t="shared" si="7"/>
        <v>5.8182389937106915</v>
      </c>
      <c r="U69" s="4">
        <f t="shared" si="8"/>
        <v>191.15</v>
      </c>
      <c r="V69" s="5">
        <f t="shared" si="9"/>
        <v>0.7407407407407407</v>
      </c>
    </row>
    <row r="70" spans="1:22">
      <c r="A70" s="1">
        <v>46269</v>
      </c>
      <c r="B70" t="s">
        <v>18</v>
      </c>
      <c r="C70">
        <v>1</v>
      </c>
      <c r="D70">
        <v>43</v>
      </c>
      <c r="E70">
        <v>36</v>
      </c>
      <c r="F70">
        <v>21</v>
      </c>
      <c r="G70">
        <v>7709</v>
      </c>
      <c r="H70">
        <v>8499</v>
      </c>
      <c r="I70">
        <v>8</v>
      </c>
      <c r="J70">
        <v>5</v>
      </c>
      <c r="K70" s="2">
        <v>0.41697899999999999</v>
      </c>
      <c r="L70" s="2">
        <v>0.77710599999999996</v>
      </c>
      <c r="M70">
        <v>14221</v>
      </c>
      <c r="N70">
        <v>41</v>
      </c>
      <c r="O70">
        <v>3</v>
      </c>
      <c r="P70">
        <v>37</v>
      </c>
      <c r="Q70">
        <v>25</v>
      </c>
      <c r="R70" t="str">
        <f t="shared" si="5"/>
        <v>2026-09</v>
      </c>
      <c r="S70" s="3">
        <f t="shared" si="6"/>
        <v>8.6430480000000003</v>
      </c>
      <c r="T70" s="3">
        <f t="shared" si="7"/>
        <v>5.7808943089430898</v>
      </c>
      <c r="U70" s="4">
        <f t="shared" si="8"/>
        <v>214.13888888888889</v>
      </c>
      <c r="V70" s="5">
        <f t="shared" si="9"/>
        <v>0.83720930232558144</v>
      </c>
    </row>
    <row r="71" spans="1:22">
      <c r="A71" s="1">
        <v>46270</v>
      </c>
      <c r="B71" t="s">
        <v>18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2</v>
      </c>
      <c r="K71" s="2"/>
      <c r="L71" s="2"/>
      <c r="M71">
        <v>0</v>
      </c>
      <c r="N71">
        <v>0</v>
      </c>
      <c r="O71">
        <v>0</v>
      </c>
      <c r="P71">
        <v>0</v>
      </c>
      <c r="Q71">
        <v>0</v>
      </c>
      <c r="R71" t="str">
        <f t="shared" si="5"/>
        <v>2026-09</v>
      </c>
      <c r="S71" s="3" t="str">
        <f t="shared" si="6"/>
        <v/>
      </c>
      <c r="T71" s="3" t="str">
        <f t="shared" si="7"/>
        <v/>
      </c>
      <c r="U71" s="4" t="str">
        <f t="shared" si="8"/>
        <v/>
      </c>
      <c r="V71" s="5" t="str">
        <f t="shared" si="9"/>
        <v/>
      </c>
    </row>
    <row r="72" spans="1:22">
      <c r="A72" s="1">
        <v>46272</v>
      </c>
      <c r="B72" t="s">
        <v>18</v>
      </c>
      <c r="C72">
        <v>1</v>
      </c>
      <c r="D72">
        <v>47</v>
      </c>
      <c r="E72">
        <v>34</v>
      </c>
      <c r="F72">
        <v>19</v>
      </c>
      <c r="G72">
        <v>8054</v>
      </c>
      <c r="H72">
        <v>8066</v>
      </c>
      <c r="I72">
        <v>10</v>
      </c>
      <c r="J72">
        <v>10</v>
      </c>
      <c r="K72" s="2">
        <v>0.41104200000000002</v>
      </c>
      <c r="L72" s="2">
        <v>0.74846100000000004</v>
      </c>
      <c r="M72">
        <v>14290</v>
      </c>
      <c r="N72">
        <v>46</v>
      </c>
      <c r="O72">
        <v>2</v>
      </c>
      <c r="P72">
        <v>41</v>
      </c>
      <c r="Q72">
        <v>22</v>
      </c>
      <c r="R72" t="str">
        <f t="shared" si="5"/>
        <v>2026-09</v>
      </c>
      <c r="S72" s="3">
        <f t="shared" si="6"/>
        <v>8.0980559999999997</v>
      </c>
      <c r="T72" s="3">
        <f t="shared" si="7"/>
        <v>5.1775362318840585</v>
      </c>
      <c r="U72" s="4">
        <f t="shared" si="8"/>
        <v>236.88235294117646</v>
      </c>
      <c r="V72" s="5">
        <f t="shared" si="9"/>
        <v>0.72340425531914898</v>
      </c>
    </row>
    <row r="73" spans="1:22">
      <c r="A73" s="1">
        <v>46273</v>
      </c>
      <c r="B73" t="s">
        <v>18</v>
      </c>
      <c r="C73">
        <v>1</v>
      </c>
      <c r="D73">
        <v>54</v>
      </c>
      <c r="E73">
        <v>43</v>
      </c>
      <c r="F73">
        <v>24</v>
      </c>
      <c r="G73">
        <v>6893</v>
      </c>
      <c r="H73">
        <v>9418</v>
      </c>
      <c r="I73">
        <v>7</v>
      </c>
      <c r="J73">
        <v>5</v>
      </c>
      <c r="K73" s="2">
        <v>0.427118</v>
      </c>
      <c r="L73" s="2">
        <v>0.770231</v>
      </c>
      <c r="M73">
        <v>18082</v>
      </c>
      <c r="N73">
        <v>53</v>
      </c>
      <c r="O73">
        <v>2</v>
      </c>
      <c r="P73">
        <v>48</v>
      </c>
      <c r="Q73">
        <v>33</v>
      </c>
      <c r="R73" t="str">
        <f t="shared" si="5"/>
        <v>2026-09</v>
      </c>
      <c r="S73" s="3">
        <f t="shared" si="6"/>
        <v>8.234712</v>
      </c>
      <c r="T73" s="3">
        <f t="shared" si="7"/>
        <v>5.6861635220125786</v>
      </c>
      <c r="U73" s="4">
        <f t="shared" si="8"/>
        <v>160.30232558139534</v>
      </c>
      <c r="V73" s="5">
        <f t="shared" si="9"/>
        <v>0.79629629629629628</v>
      </c>
    </row>
    <row r="74" spans="1:22">
      <c r="A74" s="1">
        <v>46274</v>
      </c>
      <c r="B74" t="s">
        <v>18</v>
      </c>
      <c r="C74">
        <v>1</v>
      </c>
      <c r="D74">
        <v>45</v>
      </c>
      <c r="E74">
        <v>36</v>
      </c>
      <c r="F74">
        <v>18</v>
      </c>
      <c r="G74">
        <v>8140</v>
      </c>
      <c r="H74">
        <v>9056</v>
      </c>
      <c r="I74">
        <v>8</v>
      </c>
      <c r="J74">
        <v>4</v>
      </c>
      <c r="K74" s="2">
        <v>0.42604199999999998</v>
      </c>
      <c r="L74" s="2">
        <v>0.79418999999999995</v>
      </c>
      <c r="M74">
        <v>13046</v>
      </c>
      <c r="N74">
        <v>42</v>
      </c>
      <c r="O74">
        <v>3</v>
      </c>
      <c r="P74">
        <v>41</v>
      </c>
      <c r="Q74">
        <v>31</v>
      </c>
      <c r="R74" t="str">
        <f t="shared" si="5"/>
        <v>2026-09</v>
      </c>
      <c r="S74" s="3">
        <f t="shared" si="6"/>
        <v>8.8355519999999999</v>
      </c>
      <c r="T74" s="3">
        <f t="shared" si="7"/>
        <v>5.1769841269841264</v>
      </c>
      <c r="U74" s="4">
        <f t="shared" si="8"/>
        <v>226.11111111111111</v>
      </c>
      <c r="V74" s="5">
        <f t="shared" si="9"/>
        <v>0.8</v>
      </c>
    </row>
    <row r="75" spans="1:22">
      <c r="A75" s="1">
        <v>46275</v>
      </c>
      <c r="B75" t="s">
        <v>18</v>
      </c>
      <c r="C75">
        <v>1</v>
      </c>
      <c r="D75">
        <v>53</v>
      </c>
      <c r="E75">
        <v>43</v>
      </c>
      <c r="F75">
        <v>23</v>
      </c>
      <c r="G75">
        <v>7978</v>
      </c>
      <c r="H75">
        <v>8924</v>
      </c>
      <c r="I75">
        <v>6</v>
      </c>
      <c r="J75">
        <v>4</v>
      </c>
      <c r="K75" s="2">
        <v>0.41541699999999998</v>
      </c>
      <c r="L75" s="2">
        <v>0.77319400000000005</v>
      </c>
      <c r="M75">
        <v>15943</v>
      </c>
      <c r="N75">
        <v>53</v>
      </c>
      <c r="O75">
        <v>3</v>
      </c>
      <c r="P75">
        <v>45</v>
      </c>
      <c r="Q75">
        <v>35</v>
      </c>
      <c r="R75" t="str">
        <f t="shared" si="5"/>
        <v>2026-09</v>
      </c>
      <c r="S75" s="3">
        <f t="shared" si="6"/>
        <v>8.5866480000000021</v>
      </c>
      <c r="T75" s="3">
        <f t="shared" si="7"/>
        <v>5.0135220125786164</v>
      </c>
      <c r="U75" s="4">
        <f t="shared" si="8"/>
        <v>185.53488372093022</v>
      </c>
      <c r="V75" s="5">
        <f t="shared" si="9"/>
        <v>0.81132075471698117</v>
      </c>
    </row>
    <row r="76" spans="1:22">
      <c r="A76" s="1">
        <v>46276</v>
      </c>
      <c r="B76" t="s">
        <v>18</v>
      </c>
      <c r="C76">
        <v>1</v>
      </c>
      <c r="D76">
        <v>49</v>
      </c>
      <c r="E76">
        <v>43</v>
      </c>
      <c r="F76">
        <v>24</v>
      </c>
      <c r="G76">
        <v>9264</v>
      </c>
      <c r="H76">
        <v>9264</v>
      </c>
      <c r="I76">
        <v>5</v>
      </c>
      <c r="J76">
        <v>5</v>
      </c>
      <c r="K76" s="2">
        <v>0.42302099999999998</v>
      </c>
      <c r="L76" s="2">
        <v>0.77954900000000005</v>
      </c>
      <c r="M76">
        <v>19998</v>
      </c>
      <c r="N76">
        <v>48</v>
      </c>
      <c r="O76">
        <v>3</v>
      </c>
      <c r="P76">
        <v>42</v>
      </c>
      <c r="Q76">
        <v>35</v>
      </c>
      <c r="R76" t="str">
        <f t="shared" si="5"/>
        <v>2026-09</v>
      </c>
      <c r="S76" s="3">
        <f t="shared" si="6"/>
        <v>8.5566720000000025</v>
      </c>
      <c r="T76" s="3">
        <f t="shared" si="7"/>
        <v>6.9437499999999996</v>
      </c>
      <c r="U76" s="4">
        <f t="shared" si="8"/>
        <v>215.44186046511629</v>
      </c>
      <c r="V76" s="5">
        <f t="shared" si="9"/>
        <v>0.87755102040816324</v>
      </c>
    </row>
    <row r="77" spans="1:22">
      <c r="A77" s="1">
        <v>46277</v>
      </c>
      <c r="B77" t="s">
        <v>18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5</v>
      </c>
      <c r="J77">
        <v>5</v>
      </c>
      <c r="K77" s="2"/>
      <c r="L77" s="2"/>
      <c r="M77">
        <v>0</v>
      </c>
      <c r="N77">
        <v>0</v>
      </c>
      <c r="O77">
        <v>0</v>
      </c>
      <c r="P77">
        <v>0</v>
      </c>
      <c r="Q77">
        <v>0</v>
      </c>
      <c r="R77" t="str">
        <f t="shared" si="5"/>
        <v>2026-09</v>
      </c>
      <c r="S77" s="3" t="str">
        <f t="shared" si="6"/>
        <v/>
      </c>
      <c r="T77" s="3" t="str">
        <f t="shared" si="7"/>
        <v/>
      </c>
      <c r="U77" s="4" t="str">
        <f t="shared" si="8"/>
        <v/>
      </c>
      <c r="V77" s="5" t="str">
        <f t="shared" si="9"/>
        <v/>
      </c>
    </row>
    <row r="78" spans="1:22">
      <c r="A78" s="1">
        <v>46278</v>
      </c>
      <c r="B78" t="s">
        <v>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 s="2"/>
      <c r="L78" s="2"/>
      <c r="M78">
        <v>0</v>
      </c>
      <c r="N78">
        <v>0</v>
      </c>
      <c r="O78">
        <v>0</v>
      </c>
      <c r="P78">
        <v>0</v>
      </c>
      <c r="Q78">
        <v>0</v>
      </c>
      <c r="R78" t="str">
        <f t="shared" si="5"/>
        <v>2026-09</v>
      </c>
      <c r="S78" s="3" t="str">
        <f t="shared" si="6"/>
        <v/>
      </c>
      <c r="T78" s="3" t="str">
        <f t="shared" si="7"/>
        <v/>
      </c>
      <c r="U78" s="4" t="str">
        <f t="shared" si="8"/>
        <v/>
      </c>
      <c r="V78" s="5" t="str">
        <f t="shared" si="9"/>
        <v/>
      </c>
    </row>
    <row r="79" spans="1:22">
      <c r="A79" s="1">
        <v>46235</v>
      </c>
      <c r="B79" t="s">
        <v>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3</v>
      </c>
      <c r="K79" s="2"/>
      <c r="L79" s="2"/>
      <c r="M79">
        <v>0</v>
      </c>
      <c r="N79">
        <v>0</v>
      </c>
      <c r="O79">
        <v>0</v>
      </c>
      <c r="P79">
        <v>0</v>
      </c>
      <c r="Q79">
        <v>0</v>
      </c>
      <c r="R79" t="str">
        <f t="shared" si="5"/>
        <v>2026-08</v>
      </c>
      <c r="S79" s="3" t="str">
        <f t="shared" si="6"/>
        <v/>
      </c>
      <c r="T79" s="3" t="str">
        <f t="shared" si="7"/>
        <v/>
      </c>
      <c r="U79" s="4" t="str">
        <f t="shared" si="8"/>
        <v/>
      </c>
      <c r="V79" s="5" t="str">
        <f t="shared" si="9"/>
        <v/>
      </c>
    </row>
    <row r="80" spans="1:22">
      <c r="A80" s="1">
        <v>46236</v>
      </c>
      <c r="B80" t="s">
        <v>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3</v>
      </c>
      <c r="K80" s="2"/>
      <c r="L80" s="2"/>
      <c r="M80">
        <v>0</v>
      </c>
      <c r="N80">
        <v>0</v>
      </c>
      <c r="O80">
        <v>0</v>
      </c>
      <c r="P80">
        <v>0</v>
      </c>
      <c r="Q80">
        <v>0</v>
      </c>
      <c r="R80" t="str">
        <f t="shared" si="5"/>
        <v>2026-08</v>
      </c>
      <c r="S80" s="3" t="str">
        <f t="shared" si="6"/>
        <v/>
      </c>
      <c r="T80" s="3" t="str">
        <f t="shared" si="7"/>
        <v/>
      </c>
      <c r="U80" s="4" t="str">
        <f t="shared" si="8"/>
        <v/>
      </c>
      <c r="V80" s="5" t="str">
        <f t="shared" si="9"/>
        <v/>
      </c>
    </row>
    <row r="81" spans="1:22">
      <c r="A81" s="1">
        <v>46237</v>
      </c>
      <c r="B81" t="s">
        <v>19</v>
      </c>
      <c r="C81">
        <v>1</v>
      </c>
      <c r="D81">
        <v>47</v>
      </c>
      <c r="E81">
        <v>41</v>
      </c>
      <c r="F81">
        <v>15</v>
      </c>
      <c r="G81">
        <v>4993</v>
      </c>
      <c r="H81">
        <v>6383</v>
      </c>
      <c r="I81">
        <v>6</v>
      </c>
      <c r="J81">
        <v>3</v>
      </c>
      <c r="K81" s="2">
        <v>0.458426</v>
      </c>
      <c r="L81" s="2">
        <v>0.73885400000000001</v>
      </c>
      <c r="M81">
        <v>19123</v>
      </c>
      <c r="N81">
        <v>47</v>
      </c>
      <c r="O81">
        <v>4</v>
      </c>
      <c r="P81">
        <v>41</v>
      </c>
      <c r="Q81">
        <v>6</v>
      </c>
      <c r="R81" t="str">
        <f t="shared" si="5"/>
        <v>2026-08</v>
      </c>
      <c r="S81" s="3">
        <f t="shared" si="6"/>
        <v>6.7302720000000003</v>
      </c>
      <c r="T81" s="3">
        <f t="shared" si="7"/>
        <v>6.7812056737588646</v>
      </c>
      <c r="U81" s="4">
        <f t="shared" si="8"/>
        <v>121.78048780487805</v>
      </c>
      <c r="V81" s="5">
        <f t="shared" si="9"/>
        <v>0.87234042553191493</v>
      </c>
    </row>
    <row r="82" spans="1:22">
      <c r="A82" s="1">
        <v>46238</v>
      </c>
      <c r="B82" t="s">
        <v>19</v>
      </c>
      <c r="C82">
        <v>1</v>
      </c>
      <c r="D82">
        <v>40</v>
      </c>
      <c r="E82">
        <v>33</v>
      </c>
      <c r="F82">
        <v>20</v>
      </c>
      <c r="G82">
        <v>8449</v>
      </c>
      <c r="H82">
        <v>9538</v>
      </c>
      <c r="I82">
        <v>10</v>
      </c>
      <c r="J82">
        <v>9</v>
      </c>
      <c r="K82" s="2">
        <v>0.43917800000000001</v>
      </c>
      <c r="L82" s="2">
        <v>0.78336799999999995</v>
      </c>
      <c r="M82">
        <v>19153</v>
      </c>
      <c r="N82">
        <v>39</v>
      </c>
      <c r="O82">
        <v>4</v>
      </c>
      <c r="P82">
        <v>35</v>
      </c>
      <c r="Q82">
        <v>12</v>
      </c>
      <c r="R82" t="str">
        <f t="shared" si="5"/>
        <v>2026-08</v>
      </c>
      <c r="S82" s="3">
        <f t="shared" si="6"/>
        <v>8.2605599999999981</v>
      </c>
      <c r="T82" s="3">
        <f t="shared" si="7"/>
        <v>8.1850427350427353</v>
      </c>
      <c r="U82" s="4">
        <f t="shared" si="8"/>
        <v>256.030303030303</v>
      </c>
      <c r="V82" s="5">
        <f t="shared" si="9"/>
        <v>0.82499999999999996</v>
      </c>
    </row>
    <row r="83" spans="1:22">
      <c r="A83" s="1">
        <v>46239</v>
      </c>
      <c r="B83" t="s">
        <v>19</v>
      </c>
      <c r="C83">
        <v>1</v>
      </c>
      <c r="D83">
        <v>34</v>
      </c>
      <c r="E83">
        <v>27</v>
      </c>
      <c r="F83">
        <v>12</v>
      </c>
      <c r="G83">
        <v>8022</v>
      </c>
      <c r="H83">
        <v>9750</v>
      </c>
      <c r="I83">
        <v>6</v>
      </c>
      <c r="J83">
        <v>5</v>
      </c>
      <c r="K83" s="2">
        <v>0.427315</v>
      </c>
      <c r="L83" s="2">
        <v>0.80115700000000001</v>
      </c>
      <c r="M83">
        <v>16485</v>
      </c>
      <c r="N83">
        <v>34</v>
      </c>
      <c r="O83">
        <v>3</v>
      </c>
      <c r="P83">
        <v>25</v>
      </c>
      <c r="Q83">
        <v>21</v>
      </c>
      <c r="R83" t="str">
        <f t="shared" si="5"/>
        <v>2026-08</v>
      </c>
      <c r="S83" s="3">
        <f t="shared" si="6"/>
        <v>8.9722080000000002</v>
      </c>
      <c r="T83" s="3">
        <f t="shared" si="7"/>
        <v>8.0808823529411775</v>
      </c>
      <c r="U83" s="4">
        <f t="shared" si="8"/>
        <v>297.11111111111109</v>
      </c>
      <c r="V83" s="5">
        <f t="shared" si="9"/>
        <v>0.79411764705882348</v>
      </c>
    </row>
    <row r="84" spans="1:22">
      <c r="A84" s="1">
        <v>46240</v>
      </c>
      <c r="B84" t="s">
        <v>19</v>
      </c>
      <c r="C84">
        <v>1</v>
      </c>
      <c r="D84">
        <v>41</v>
      </c>
      <c r="E84">
        <v>35</v>
      </c>
      <c r="F84">
        <v>25</v>
      </c>
      <c r="G84">
        <v>7829</v>
      </c>
      <c r="H84">
        <v>8278</v>
      </c>
      <c r="I84">
        <v>9</v>
      </c>
      <c r="J84">
        <v>8</v>
      </c>
      <c r="K84" s="2">
        <v>0.43108800000000003</v>
      </c>
      <c r="L84" s="2">
        <v>0.71895799999999999</v>
      </c>
      <c r="M84">
        <v>17323</v>
      </c>
      <c r="N84">
        <v>41</v>
      </c>
      <c r="O84">
        <v>1</v>
      </c>
      <c r="P84">
        <v>36</v>
      </c>
      <c r="Q84">
        <v>13</v>
      </c>
      <c r="R84" t="str">
        <f t="shared" si="5"/>
        <v>2026-08</v>
      </c>
      <c r="S84" s="3">
        <f t="shared" si="6"/>
        <v>6.908879999999999</v>
      </c>
      <c r="T84" s="3">
        <f t="shared" si="7"/>
        <v>7.0418699186991871</v>
      </c>
      <c r="U84" s="4">
        <f t="shared" si="8"/>
        <v>223.68571428571428</v>
      </c>
      <c r="V84" s="5">
        <f t="shared" si="9"/>
        <v>0.85365853658536583</v>
      </c>
    </row>
    <row r="85" spans="1:22">
      <c r="A85" s="1">
        <v>46241</v>
      </c>
      <c r="B85" t="s">
        <v>19</v>
      </c>
      <c r="C85">
        <v>1</v>
      </c>
      <c r="D85">
        <v>49</v>
      </c>
      <c r="E85">
        <v>39</v>
      </c>
      <c r="F85">
        <v>21</v>
      </c>
      <c r="G85">
        <v>8058</v>
      </c>
      <c r="H85">
        <v>8871</v>
      </c>
      <c r="I85">
        <v>7</v>
      </c>
      <c r="J85">
        <v>5</v>
      </c>
      <c r="K85" s="2">
        <v>0.44259300000000001</v>
      </c>
      <c r="L85" s="2">
        <v>0.791655</v>
      </c>
      <c r="M85">
        <v>13774</v>
      </c>
      <c r="N85">
        <v>48</v>
      </c>
      <c r="O85">
        <v>3</v>
      </c>
      <c r="P85">
        <v>42</v>
      </c>
      <c r="Q85">
        <v>19</v>
      </c>
      <c r="R85" t="str">
        <f t="shared" si="5"/>
        <v>2026-08</v>
      </c>
      <c r="S85" s="3">
        <f t="shared" si="6"/>
        <v>8.3774879999999996</v>
      </c>
      <c r="T85" s="3">
        <f t="shared" si="7"/>
        <v>4.7826388888888882</v>
      </c>
      <c r="U85" s="4">
        <f t="shared" si="8"/>
        <v>206.61538461538461</v>
      </c>
      <c r="V85" s="5">
        <f t="shared" si="9"/>
        <v>0.79591836734693877</v>
      </c>
    </row>
    <row r="86" spans="1:22">
      <c r="A86" s="1">
        <v>46242</v>
      </c>
      <c r="B86" t="s">
        <v>19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 s="2"/>
      <c r="L86" s="2"/>
      <c r="M86">
        <v>0</v>
      </c>
      <c r="N86">
        <v>0</v>
      </c>
      <c r="O86">
        <v>0</v>
      </c>
      <c r="P86">
        <v>0</v>
      </c>
      <c r="Q86">
        <v>0</v>
      </c>
      <c r="R86" t="str">
        <f t="shared" si="5"/>
        <v>2026-08</v>
      </c>
      <c r="S86" s="3" t="str">
        <f t="shared" si="6"/>
        <v/>
      </c>
      <c r="T86" s="3" t="str">
        <f t="shared" si="7"/>
        <v/>
      </c>
      <c r="U86" s="4" t="str">
        <f t="shared" si="8"/>
        <v/>
      </c>
      <c r="V86" s="5" t="str">
        <f t="shared" si="9"/>
        <v/>
      </c>
    </row>
    <row r="87" spans="1:22">
      <c r="A87" s="1">
        <v>46244</v>
      </c>
      <c r="B87" t="s">
        <v>19</v>
      </c>
      <c r="C87">
        <v>1</v>
      </c>
      <c r="D87">
        <v>44</v>
      </c>
      <c r="E87">
        <v>38</v>
      </c>
      <c r="F87">
        <v>18</v>
      </c>
      <c r="G87">
        <v>6855</v>
      </c>
      <c r="H87">
        <v>8792</v>
      </c>
      <c r="I87">
        <v>8</v>
      </c>
      <c r="J87">
        <v>5</v>
      </c>
      <c r="K87" s="2">
        <v>0.45545099999999999</v>
      </c>
      <c r="L87" s="2">
        <v>0.79003500000000004</v>
      </c>
      <c r="M87">
        <v>14369</v>
      </c>
      <c r="N87">
        <v>43</v>
      </c>
      <c r="O87">
        <v>3</v>
      </c>
      <c r="P87">
        <v>37</v>
      </c>
      <c r="Q87">
        <v>15</v>
      </c>
      <c r="R87" t="str">
        <f t="shared" si="5"/>
        <v>2026-08</v>
      </c>
      <c r="S87" s="3">
        <f t="shared" si="6"/>
        <v>8.0300160000000016</v>
      </c>
      <c r="T87" s="3">
        <f t="shared" si="7"/>
        <v>5.5693798449612411</v>
      </c>
      <c r="U87" s="4">
        <f t="shared" si="8"/>
        <v>180.39473684210526</v>
      </c>
      <c r="V87" s="5">
        <f t="shared" si="9"/>
        <v>0.86363636363636365</v>
      </c>
    </row>
    <row r="88" spans="1:22">
      <c r="A88" s="1">
        <v>46245</v>
      </c>
      <c r="B88" t="s">
        <v>19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3</v>
      </c>
      <c r="K88" s="2"/>
      <c r="L88" s="2"/>
      <c r="M88">
        <v>0</v>
      </c>
      <c r="N88">
        <v>0</v>
      </c>
      <c r="O88">
        <v>0</v>
      </c>
      <c r="P88">
        <v>0</v>
      </c>
      <c r="Q88">
        <v>0</v>
      </c>
      <c r="R88" t="str">
        <f t="shared" si="5"/>
        <v>2026-08</v>
      </c>
      <c r="S88" s="3" t="str">
        <f t="shared" si="6"/>
        <v/>
      </c>
      <c r="T88" s="3" t="str">
        <f t="shared" si="7"/>
        <v/>
      </c>
      <c r="U88" s="4" t="str">
        <f t="shared" si="8"/>
        <v/>
      </c>
      <c r="V88" s="5" t="str">
        <f t="shared" si="9"/>
        <v/>
      </c>
    </row>
    <row r="89" spans="1:22">
      <c r="A89" s="1">
        <v>46246</v>
      </c>
      <c r="B89" t="s">
        <v>19</v>
      </c>
      <c r="C89">
        <v>1</v>
      </c>
      <c r="D89">
        <v>51</v>
      </c>
      <c r="E89">
        <v>35</v>
      </c>
      <c r="F89">
        <v>20</v>
      </c>
      <c r="G89">
        <v>9183</v>
      </c>
      <c r="H89">
        <v>10658</v>
      </c>
      <c r="I89">
        <v>12</v>
      </c>
      <c r="J89">
        <v>9</v>
      </c>
      <c r="K89" s="2">
        <v>0.43870399999999998</v>
      </c>
      <c r="L89" s="2">
        <v>0.81621500000000002</v>
      </c>
      <c r="M89">
        <v>17141</v>
      </c>
      <c r="N89">
        <v>50</v>
      </c>
      <c r="O89">
        <v>3</v>
      </c>
      <c r="P89">
        <v>39</v>
      </c>
      <c r="Q89">
        <v>21</v>
      </c>
      <c r="R89" t="str">
        <f t="shared" si="5"/>
        <v>2026-08</v>
      </c>
      <c r="S89" s="3">
        <f t="shared" si="6"/>
        <v>9.0602640000000001</v>
      </c>
      <c r="T89" s="3">
        <f t="shared" si="7"/>
        <v>5.7136666666666667</v>
      </c>
      <c r="U89" s="4">
        <f t="shared" si="8"/>
        <v>262.37142857142857</v>
      </c>
      <c r="V89" s="5">
        <f t="shared" si="9"/>
        <v>0.68627450980392157</v>
      </c>
    </row>
    <row r="90" spans="1:22">
      <c r="A90" s="1">
        <v>46247</v>
      </c>
      <c r="B90" t="s">
        <v>19</v>
      </c>
      <c r="C90">
        <v>1</v>
      </c>
      <c r="D90">
        <v>69</v>
      </c>
      <c r="E90">
        <v>56</v>
      </c>
      <c r="F90">
        <v>20</v>
      </c>
      <c r="G90">
        <v>5994</v>
      </c>
      <c r="H90">
        <v>7657</v>
      </c>
      <c r="I90">
        <v>5</v>
      </c>
      <c r="J90">
        <v>2</v>
      </c>
      <c r="K90" s="2">
        <v>0.44750000000000001</v>
      </c>
      <c r="L90" s="2">
        <v>0.80098400000000003</v>
      </c>
      <c r="M90">
        <v>18978</v>
      </c>
      <c r="N90">
        <v>68</v>
      </c>
      <c r="O90">
        <v>2</v>
      </c>
      <c r="P90">
        <v>62</v>
      </c>
      <c r="Q90">
        <v>33</v>
      </c>
      <c r="R90" t="str">
        <f t="shared" si="5"/>
        <v>2026-08</v>
      </c>
      <c r="S90" s="3">
        <f t="shared" si="6"/>
        <v>8.4836160000000014</v>
      </c>
      <c r="T90" s="3">
        <f t="shared" si="7"/>
        <v>4.651470588235294</v>
      </c>
      <c r="U90" s="4">
        <f t="shared" si="8"/>
        <v>107.03571428571429</v>
      </c>
      <c r="V90" s="5">
        <f t="shared" si="9"/>
        <v>0.81159420289855078</v>
      </c>
    </row>
    <row r="91" spans="1:22">
      <c r="A91" s="1">
        <v>46248</v>
      </c>
      <c r="B91" t="s">
        <v>19</v>
      </c>
      <c r="C91">
        <v>1</v>
      </c>
      <c r="D91">
        <v>44</v>
      </c>
      <c r="E91">
        <v>33</v>
      </c>
      <c r="F91">
        <v>16</v>
      </c>
      <c r="G91">
        <v>8358</v>
      </c>
      <c r="H91">
        <v>12331</v>
      </c>
      <c r="I91">
        <v>7</v>
      </c>
      <c r="J91">
        <v>3</v>
      </c>
      <c r="K91" s="2">
        <v>0.44045099999999998</v>
      </c>
      <c r="L91" s="2">
        <v>0.78710599999999997</v>
      </c>
      <c r="M91">
        <v>16274</v>
      </c>
      <c r="N91">
        <v>43</v>
      </c>
      <c r="O91">
        <v>2</v>
      </c>
      <c r="P91">
        <v>36</v>
      </c>
      <c r="Q91">
        <v>24</v>
      </c>
      <c r="R91" t="str">
        <f t="shared" si="5"/>
        <v>2026-08</v>
      </c>
      <c r="S91" s="3">
        <f t="shared" si="6"/>
        <v>8.3197200000000002</v>
      </c>
      <c r="T91" s="3">
        <f t="shared" si="7"/>
        <v>6.307751937984496</v>
      </c>
      <c r="U91" s="4">
        <f t="shared" si="8"/>
        <v>253.27272727272728</v>
      </c>
      <c r="V91" s="5">
        <f t="shared" si="9"/>
        <v>0.75</v>
      </c>
    </row>
    <row r="92" spans="1:22">
      <c r="A92" s="1">
        <v>46249</v>
      </c>
      <c r="B92" t="s">
        <v>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2</v>
      </c>
      <c r="K92" s="2"/>
      <c r="L92" s="2"/>
      <c r="M92">
        <v>0</v>
      </c>
      <c r="N92">
        <v>0</v>
      </c>
      <c r="O92">
        <v>0</v>
      </c>
      <c r="P92">
        <v>0</v>
      </c>
      <c r="Q92">
        <v>0</v>
      </c>
      <c r="R92" t="str">
        <f t="shared" si="5"/>
        <v>2026-08</v>
      </c>
      <c r="S92" s="3" t="str">
        <f t="shared" si="6"/>
        <v/>
      </c>
      <c r="T92" s="3" t="str">
        <f t="shared" si="7"/>
        <v/>
      </c>
      <c r="U92" s="4" t="str">
        <f t="shared" si="8"/>
        <v/>
      </c>
      <c r="V92" s="5" t="str">
        <f t="shared" si="9"/>
        <v/>
      </c>
    </row>
    <row r="93" spans="1:22">
      <c r="A93" s="1">
        <v>46251</v>
      </c>
      <c r="B93" t="s">
        <v>19</v>
      </c>
      <c r="C93">
        <v>1</v>
      </c>
      <c r="D93">
        <v>37</v>
      </c>
      <c r="E93">
        <v>24</v>
      </c>
      <c r="F93">
        <v>13</v>
      </c>
      <c r="G93">
        <v>5745</v>
      </c>
      <c r="H93">
        <v>6539</v>
      </c>
      <c r="I93">
        <v>14</v>
      </c>
      <c r="J93">
        <v>10</v>
      </c>
      <c r="K93" s="2">
        <v>0.44159700000000002</v>
      </c>
      <c r="L93" s="2">
        <v>0.776169</v>
      </c>
      <c r="M93">
        <v>16452</v>
      </c>
      <c r="N93">
        <v>36</v>
      </c>
      <c r="O93">
        <v>4</v>
      </c>
      <c r="P93">
        <v>34</v>
      </c>
      <c r="Q93">
        <v>17</v>
      </c>
      <c r="R93" t="str">
        <f t="shared" si="5"/>
        <v>2026-08</v>
      </c>
      <c r="S93" s="3">
        <f t="shared" si="6"/>
        <v>8.0297279999999986</v>
      </c>
      <c r="T93" s="3">
        <f t="shared" si="7"/>
        <v>7.6166666666666663</v>
      </c>
      <c r="U93" s="4">
        <f t="shared" si="8"/>
        <v>239.375</v>
      </c>
      <c r="V93" s="5">
        <f t="shared" si="9"/>
        <v>0.64864864864864868</v>
      </c>
    </row>
    <row r="94" spans="1:22">
      <c r="A94" s="1">
        <v>46252</v>
      </c>
      <c r="B94" t="s">
        <v>19</v>
      </c>
      <c r="C94">
        <v>1</v>
      </c>
      <c r="D94">
        <v>42</v>
      </c>
      <c r="E94">
        <v>30</v>
      </c>
      <c r="F94">
        <v>17</v>
      </c>
      <c r="G94">
        <v>6962</v>
      </c>
      <c r="H94">
        <v>8301</v>
      </c>
      <c r="I94">
        <v>16</v>
      </c>
      <c r="J94">
        <v>14</v>
      </c>
      <c r="K94" s="2">
        <v>0.43435200000000002</v>
      </c>
      <c r="L94" s="2">
        <v>0.73197900000000005</v>
      </c>
      <c r="M94">
        <v>14390</v>
      </c>
      <c r="N94">
        <v>41</v>
      </c>
      <c r="O94">
        <v>1</v>
      </c>
      <c r="P94">
        <v>35</v>
      </c>
      <c r="Q94">
        <v>27</v>
      </c>
      <c r="R94" t="str">
        <f t="shared" si="5"/>
        <v>2026-08</v>
      </c>
      <c r="S94" s="3">
        <f t="shared" si="6"/>
        <v>7.1430480000000003</v>
      </c>
      <c r="T94" s="3">
        <f t="shared" si="7"/>
        <v>5.8495934959349594</v>
      </c>
      <c r="U94" s="4">
        <f t="shared" si="8"/>
        <v>232.06666666666666</v>
      </c>
      <c r="V94" s="5">
        <f t="shared" si="9"/>
        <v>0.7142857142857143</v>
      </c>
    </row>
    <row r="95" spans="1:22">
      <c r="A95" s="1">
        <v>46253</v>
      </c>
      <c r="B95" t="s">
        <v>19</v>
      </c>
      <c r="C95">
        <v>1</v>
      </c>
      <c r="D95">
        <v>40</v>
      </c>
      <c r="E95">
        <v>33</v>
      </c>
      <c r="F95">
        <v>14</v>
      </c>
      <c r="G95">
        <v>6160</v>
      </c>
      <c r="H95">
        <v>6967</v>
      </c>
      <c r="I95">
        <v>12</v>
      </c>
      <c r="J95">
        <v>10</v>
      </c>
      <c r="K95" s="2">
        <v>0.43377300000000002</v>
      </c>
      <c r="L95" s="2">
        <v>0.77840299999999996</v>
      </c>
      <c r="M95">
        <v>14531</v>
      </c>
      <c r="N95">
        <v>39</v>
      </c>
      <c r="O95">
        <v>2</v>
      </c>
      <c r="P95">
        <v>31</v>
      </c>
      <c r="Q95">
        <v>23</v>
      </c>
      <c r="R95" t="str">
        <f t="shared" si="5"/>
        <v>2026-08</v>
      </c>
      <c r="S95" s="3">
        <f t="shared" si="6"/>
        <v>8.271119999999998</v>
      </c>
      <c r="T95" s="3">
        <f t="shared" si="7"/>
        <v>6.20982905982906</v>
      </c>
      <c r="U95" s="4">
        <f t="shared" si="8"/>
        <v>186.66666666666666</v>
      </c>
      <c r="V95" s="5">
        <f t="shared" si="9"/>
        <v>0.82499999999999996</v>
      </c>
    </row>
    <row r="96" spans="1:22">
      <c r="A96" s="1">
        <v>46254</v>
      </c>
      <c r="B96" t="s">
        <v>19</v>
      </c>
      <c r="C96">
        <v>1</v>
      </c>
      <c r="D96">
        <v>31</v>
      </c>
      <c r="E96">
        <v>27</v>
      </c>
      <c r="F96">
        <v>15</v>
      </c>
      <c r="G96">
        <v>4645</v>
      </c>
      <c r="H96">
        <v>4645</v>
      </c>
      <c r="I96">
        <v>6</v>
      </c>
      <c r="J96">
        <v>6</v>
      </c>
      <c r="K96" s="2">
        <v>0.440556</v>
      </c>
      <c r="L96" s="2">
        <v>0.68652800000000003</v>
      </c>
      <c r="M96">
        <v>11375</v>
      </c>
      <c r="N96">
        <v>29</v>
      </c>
      <c r="O96">
        <v>3</v>
      </c>
      <c r="P96">
        <v>29</v>
      </c>
      <c r="Q96">
        <v>15</v>
      </c>
      <c r="R96" t="str">
        <f t="shared" si="5"/>
        <v>2026-08</v>
      </c>
      <c r="S96" s="3">
        <f t="shared" si="6"/>
        <v>5.9033280000000001</v>
      </c>
      <c r="T96" s="3">
        <f t="shared" si="7"/>
        <v>6.5373563218390807</v>
      </c>
      <c r="U96" s="4">
        <f t="shared" si="8"/>
        <v>172.03703703703704</v>
      </c>
      <c r="V96" s="5">
        <f t="shared" si="9"/>
        <v>0.87096774193548387</v>
      </c>
    </row>
    <row r="97" spans="1:22">
      <c r="A97" s="1">
        <v>46255</v>
      </c>
      <c r="B97" t="s">
        <v>19</v>
      </c>
      <c r="C97">
        <v>1</v>
      </c>
      <c r="D97">
        <v>34</v>
      </c>
      <c r="E97">
        <v>26</v>
      </c>
      <c r="F97">
        <v>11</v>
      </c>
      <c r="G97">
        <v>4850</v>
      </c>
      <c r="H97">
        <v>4976</v>
      </c>
      <c r="I97">
        <v>10</v>
      </c>
      <c r="J97">
        <v>8</v>
      </c>
      <c r="K97" s="2">
        <v>0.4511</v>
      </c>
      <c r="L97" s="2">
        <v>0.79047500000000004</v>
      </c>
      <c r="M97">
        <v>15058</v>
      </c>
      <c r="N97">
        <v>32</v>
      </c>
      <c r="O97">
        <v>3</v>
      </c>
      <c r="P97">
        <v>26</v>
      </c>
      <c r="Q97">
        <v>28</v>
      </c>
      <c r="R97" t="str">
        <f t="shared" si="5"/>
        <v>2026-08</v>
      </c>
      <c r="S97" s="3">
        <f t="shared" si="6"/>
        <v>8.1450000000000014</v>
      </c>
      <c r="T97" s="3">
        <f t="shared" si="7"/>
        <v>7.8427083333333334</v>
      </c>
      <c r="U97" s="4">
        <f t="shared" si="8"/>
        <v>186.53846153846155</v>
      </c>
      <c r="V97" s="5">
        <f t="shared" si="9"/>
        <v>0.76470588235294112</v>
      </c>
    </row>
    <row r="98" spans="1:22">
      <c r="A98" s="1">
        <v>46256</v>
      </c>
      <c r="B98" t="s">
        <v>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 s="2"/>
      <c r="L98" s="2"/>
      <c r="M98">
        <v>0</v>
      </c>
      <c r="N98">
        <v>0</v>
      </c>
      <c r="O98">
        <v>0</v>
      </c>
      <c r="P98">
        <v>0</v>
      </c>
      <c r="Q98">
        <v>0</v>
      </c>
      <c r="R98" t="str">
        <f t="shared" si="5"/>
        <v>2026-08</v>
      </c>
      <c r="S98" s="3" t="str">
        <f t="shared" si="6"/>
        <v/>
      </c>
      <c r="T98" s="3" t="str">
        <f t="shared" si="7"/>
        <v/>
      </c>
      <c r="U98" s="4" t="str">
        <f t="shared" si="8"/>
        <v/>
      </c>
      <c r="V98" s="5" t="str">
        <f t="shared" si="9"/>
        <v/>
      </c>
    </row>
    <row r="99" spans="1:22">
      <c r="A99" s="1">
        <v>46258</v>
      </c>
      <c r="B99" t="s">
        <v>19</v>
      </c>
      <c r="C99">
        <v>1</v>
      </c>
      <c r="D99">
        <v>36</v>
      </c>
      <c r="E99">
        <v>28</v>
      </c>
      <c r="F99">
        <v>16</v>
      </c>
      <c r="G99">
        <v>5767</v>
      </c>
      <c r="H99">
        <v>7122</v>
      </c>
      <c r="I99">
        <v>8</v>
      </c>
      <c r="J99">
        <v>7</v>
      </c>
      <c r="K99" s="2">
        <v>0.48037000000000002</v>
      </c>
      <c r="L99" s="2">
        <v>0.78790499999999997</v>
      </c>
      <c r="M99">
        <v>15599</v>
      </c>
      <c r="N99">
        <v>35</v>
      </c>
      <c r="O99">
        <v>3</v>
      </c>
      <c r="P99">
        <v>30</v>
      </c>
      <c r="Q99">
        <v>23</v>
      </c>
      <c r="R99" t="str">
        <f t="shared" si="5"/>
        <v>2026-08</v>
      </c>
      <c r="S99" s="3">
        <f t="shared" si="6"/>
        <v>7.3808399999999992</v>
      </c>
      <c r="T99" s="3">
        <f t="shared" si="7"/>
        <v>7.4280952380952385</v>
      </c>
      <c r="U99" s="4">
        <f t="shared" si="8"/>
        <v>205.96428571428572</v>
      </c>
      <c r="V99" s="5">
        <f t="shared" si="9"/>
        <v>0.77777777777777779</v>
      </c>
    </row>
    <row r="100" spans="1:22">
      <c r="A100" s="1">
        <v>46259</v>
      </c>
      <c r="B100" t="s">
        <v>19</v>
      </c>
      <c r="C100">
        <v>1</v>
      </c>
      <c r="D100">
        <v>26</v>
      </c>
      <c r="E100">
        <v>23</v>
      </c>
      <c r="F100">
        <v>14</v>
      </c>
      <c r="G100">
        <v>6267</v>
      </c>
      <c r="H100">
        <v>6456</v>
      </c>
      <c r="I100">
        <v>9</v>
      </c>
      <c r="J100">
        <v>8</v>
      </c>
      <c r="K100" s="2">
        <v>0.44053199999999998</v>
      </c>
      <c r="L100" s="2">
        <v>0.82802100000000001</v>
      </c>
      <c r="M100">
        <v>7194</v>
      </c>
      <c r="N100">
        <v>22</v>
      </c>
      <c r="O100">
        <v>5</v>
      </c>
      <c r="P100">
        <v>25</v>
      </c>
      <c r="Q100">
        <v>18</v>
      </c>
      <c r="R100" t="str">
        <f t="shared" si="5"/>
        <v>2026-08</v>
      </c>
      <c r="S100" s="3">
        <f t="shared" si="6"/>
        <v>9.2997360000000011</v>
      </c>
      <c r="T100" s="3">
        <f t="shared" si="7"/>
        <v>5.45</v>
      </c>
      <c r="U100" s="4">
        <f t="shared" si="8"/>
        <v>272.47826086956519</v>
      </c>
      <c r="V100" s="5">
        <f t="shared" si="9"/>
        <v>0.88461538461538458</v>
      </c>
    </row>
    <row r="101" spans="1:22">
      <c r="A101" s="1">
        <v>46260</v>
      </c>
      <c r="B101" t="s">
        <v>19</v>
      </c>
      <c r="C101">
        <v>1</v>
      </c>
      <c r="D101">
        <v>45</v>
      </c>
      <c r="E101">
        <v>31</v>
      </c>
      <c r="F101">
        <v>16</v>
      </c>
      <c r="G101">
        <v>4393</v>
      </c>
      <c r="H101">
        <v>4393</v>
      </c>
      <c r="I101">
        <v>7</v>
      </c>
      <c r="J101">
        <v>7</v>
      </c>
      <c r="K101" s="2">
        <v>0.46327499999999999</v>
      </c>
      <c r="L101" s="2">
        <v>0.77431700000000003</v>
      </c>
      <c r="M101">
        <v>16827</v>
      </c>
      <c r="N101">
        <v>44</v>
      </c>
      <c r="O101">
        <v>3</v>
      </c>
      <c r="P101">
        <v>34</v>
      </c>
      <c r="Q101">
        <v>29</v>
      </c>
      <c r="R101" t="str">
        <f t="shared" si="5"/>
        <v>2026-08</v>
      </c>
      <c r="S101" s="3">
        <f t="shared" si="6"/>
        <v>7.465008000000001</v>
      </c>
      <c r="T101" s="3">
        <f t="shared" si="7"/>
        <v>6.3738636363636365</v>
      </c>
      <c r="U101" s="4">
        <f t="shared" si="8"/>
        <v>141.70967741935485</v>
      </c>
      <c r="V101" s="5">
        <f t="shared" si="9"/>
        <v>0.68888888888888888</v>
      </c>
    </row>
    <row r="102" spans="1:22">
      <c r="A102" s="1">
        <v>46261</v>
      </c>
      <c r="B102" t="s">
        <v>19</v>
      </c>
      <c r="C102">
        <v>1</v>
      </c>
      <c r="D102">
        <v>28</v>
      </c>
      <c r="E102">
        <v>24</v>
      </c>
      <c r="F102">
        <v>12</v>
      </c>
      <c r="G102">
        <v>3246</v>
      </c>
      <c r="H102">
        <v>3246</v>
      </c>
      <c r="I102">
        <v>4</v>
      </c>
      <c r="J102">
        <v>4</v>
      </c>
      <c r="K102" s="2">
        <v>0.46333299999999999</v>
      </c>
      <c r="L102" s="2">
        <v>0.81725700000000001</v>
      </c>
      <c r="M102">
        <v>9286</v>
      </c>
      <c r="N102">
        <v>24</v>
      </c>
      <c r="O102">
        <v>5</v>
      </c>
      <c r="P102">
        <v>24</v>
      </c>
      <c r="Q102">
        <v>17</v>
      </c>
      <c r="R102" t="str">
        <f t="shared" si="5"/>
        <v>2026-08</v>
      </c>
      <c r="S102" s="3">
        <f t="shared" si="6"/>
        <v>8.4941759999999995</v>
      </c>
      <c r="T102" s="3">
        <f t="shared" si="7"/>
        <v>6.4486111111111111</v>
      </c>
      <c r="U102" s="4">
        <f t="shared" si="8"/>
        <v>135.25</v>
      </c>
      <c r="V102" s="5">
        <f t="shared" si="9"/>
        <v>0.8571428571428571</v>
      </c>
    </row>
    <row r="103" spans="1:22">
      <c r="A103" s="1">
        <v>46262</v>
      </c>
      <c r="B103" t="s">
        <v>19</v>
      </c>
      <c r="C103">
        <v>1</v>
      </c>
      <c r="D103">
        <v>19</v>
      </c>
      <c r="E103">
        <v>10</v>
      </c>
      <c r="F103">
        <v>6</v>
      </c>
      <c r="G103">
        <v>2766</v>
      </c>
      <c r="H103">
        <v>4980</v>
      </c>
      <c r="I103">
        <v>9</v>
      </c>
      <c r="J103">
        <v>5</v>
      </c>
      <c r="K103" s="2">
        <v>0.38764999999999999</v>
      </c>
      <c r="L103" s="2">
        <v>0.74430600000000002</v>
      </c>
      <c r="M103">
        <v>2330</v>
      </c>
      <c r="N103">
        <v>15</v>
      </c>
      <c r="O103">
        <v>3</v>
      </c>
      <c r="P103">
        <v>16</v>
      </c>
      <c r="Q103">
        <v>10</v>
      </c>
      <c r="R103" t="str">
        <f t="shared" si="5"/>
        <v>2026-08</v>
      </c>
      <c r="S103" s="3">
        <f t="shared" si="6"/>
        <v>8.5597440000000002</v>
      </c>
      <c r="T103" s="3">
        <f t="shared" si="7"/>
        <v>2.588888888888889</v>
      </c>
      <c r="U103" s="4">
        <f t="shared" si="8"/>
        <v>276.60000000000002</v>
      </c>
      <c r="V103" s="5">
        <f t="shared" si="9"/>
        <v>0.52631578947368418</v>
      </c>
    </row>
    <row r="104" spans="1:22">
      <c r="A104" s="1">
        <v>46265</v>
      </c>
      <c r="B104" t="s">
        <v>19</v>
      </c>
      <c r="C104">
        <v>1</v>
      </c>
      <c r="D104">
        <v>3</v>
      </c>
      <c r="E104">
        <v>2</v>
      </c>
      <c r="F104">
        <v>1</v>
      </c>
      <c r="G104">
        <v>182</v>
      </c>
      <c r="H104">
        <v>182</v>
      </c>
      <c r="I104">
        <v>4</v>
      </c>
      <c r="J104">
        <v>4</v>
      </c>
      <c r="K104" s="2">
        <v>0.442326</v>
      </c>
      <c r="L104" s="2">
        <v>0.78776599999999997</v>
      </c>
      <c r="M104">
        <v>2315</v>
      </c>
      <c r="N104">
        <v>2</v>
      </c>
      <c r="O104">
        <v>2</v>
      </c>
      <c r="P104">
        <v>3</v>
      </c>
      <c r="Q104">
        <v>2</v>
      </c>
      <c r="R104" t="str">
        <f t="shared" si="5"/>
        <v>2026-08</v>
      </c>
      <c r="S104" s="3">
        <f t="shared" si="6"/>
        <v>8.2905599999999993</v>
      </c>
      <c r="T104" s="3">
        <f t="shared" si="7"/>
        <v>19.291666666666668</v>
      </c>
      <c r="U104" s="4">
        <f t="shared" si="8"/>
        <v>91</v>
      </c>
      <c r="V104" s="5">
        <f t="shared" si="9"/>
        <v>0.66666666666666663</v>
      </c>
    </row>
    <row r="105" spans="1:22">
      <c r="A105" s="1">
        <v>46266</v>
      </c>
      <c r="B105" t="s">
        <v>19</v>
      </c>
      <c r="C105">
        <v>1</v>
      </c>
      <c r="D105">
        <v>30</v>
      </c>
      <c r="E105">
        <v>23</v>
      </c>
      <c r="F105">
        <v>15</v>
      </c>
      <c r="G105">
        <v>7029</v>
      </c>
      <c r="H105">
        <v>7211</v>
      </c>
      <c r="I105">
        <v>5</v>
      </c>
      <c r="J105">
        <v>4</v>
      </c>
      <c r="K105" s="2">
        <v>0.495058</v>
      </c>
      <c r="L105" s="2">
        <v>0.78695599999999999</v>
      </c>
      <c r="M105">
        <v>14666</v>
      </c>
      <c r="N105">
        <v>29</v>
      </c>
      <c r="O105">
        <v>3</v>
      </c>
      <c r="P105">
        <v>29</v>
      </c>
      <c r="Q105">
        <v>1</v>
      </c>
      <c r="R105" t="str">
        <f t="shared" si="5"/>
        <v>2026-09</v>
      </c>
      <c r="S105" s="3">
        <f t="shared" si="6"/>
        <v>7.0055519999999998</v>
      </c>
      <c r="T105" s="3">
        <f t="shared" si="7"/>
        <v>8.4287356321839084</v>
      </c>
      <c r="U105" s="4">
        <f t="shared" si="8"/>
        <v>305.60869565217394</v>
      </c>
      <c r="V105" s="5">
        <f t="shared" si="9"/>
        <v>0.76666666666666672</v>
      </c>
    </row>
    <row r="106" spans="1:22">
      <c r="A106" s="1">
        <v>46267</v>
      </c>
      <c r="B106" t="s">
        <v>19</v>
      </c>
      <c r="C106">
        <v>1</v>
      </c>
      <c r="D106">
        <v>33</v>
      </c>
      <c r="E106">
        <v>29</v>
      </c>
      <c r="F106">
        <v>18</v>
      </c>
      <c r="G106">
        <v>9053</v>
      </c>
      <c r="H106">
        <v>9739</v>
      </c>
      <c r="I106">
        <v>12</v>
      </c>
      <c r="J106">
        <v>9</v>
      </c>
      <c r="K106" s="2">
        <v>0.43804399999999999</v>
      </c>
      <c r="L106" s="2">
        <v>0.81982600000000005</v>
      </c>
      <c r="M106">
        <v>15062</v>
      </c>
      <c r="N106">
        <v>31</v>
      </c>
      <c r="O106">
        <v>3</v>
      </c>
      <c r="P106">
        <v>29</v>
      </c>
      <c r="Q106">
        <v>11</v>
      </c>
      <c r="R106" t="str">
        <f t="shared" si="5"/>
        <v>2026-09</v>
      </c>
      <c r="S106" s="3">
        <f t="shared" si="6"/>
        <v>9.1627680000000016</v>
      </c>
      <c r="T106" s="3">
        <f t="shared" si="7"/>
        <v>8.0978494623655912</v>
      </c>
      <c r="U106" s="4">
        <f t="shared" si="8"/>
        <v>312.17241379310343</v>
      </c>
      <c r="V106" s="5">
        <f t="shared" si="9"/>
        <v>0.87878787878787878</v>
      </c>
    </row>
    <row r="107" spans="1:22">
      <c r="A107" s="1">
        <v>46268</v>
      </c>
      <c r="B107" t="s">
        <v>19</v>
      </c>
      <c r="C107">
        <v>1</v>
      </c>
      <c r="D107">
        <v>34</v>
      </c>
      <c r="E107">
        <v>31</v>
      </c>
      <c r="F107">
        <v>17</v>
      </c>
      <c r="G107">
        <v>6105</v>
      </c>
      <c r="H107">
        <v>6184</v>
      </c>
      <c r="I107">
        <v>10</v>
      </c>
      <c r="J107">
        <v>9</v>
      </c>
      <c r="K107" s="2">
        <v>0.520984</v>
      </c>
      <c r="L107" s="2">
        <v>0.74978</v>
      </c>
      <c r="M107">
        <v>9500</v>
      </c>
      <c r="N107">
        <v>33</v>
      </c>
      <c r="O107">
        <v>2</v>
      </c>
      <c r="P107">
        <v>31</v>
      </c>
      <c r="Q107">
        <v>12</v>
      </c>
      <c r="R107" t="str">
        <f t="shared" si="5"/>
        <v>2026-09</v>
      </c>
      <c r="S107" s="3">
        <f t="shared" si="6"/>
        <v>5.491104</v>
      </c>
      <c r="T107" s="3">
        <f t="shared" si="7"/>
        <v>4.7979797979797976</v>
      </c>
      <c r="U107" s="4">
        <f t="shared" si="8"/>
        <v>196.93548387096774</v>
      </c>
      <c r="V107" s="5">
        <f t="shared" si="9"/>
        <v>0.91176470588235292</v>
      </c>
    </row>
    <row r="108" spans="1:22">
      <c r="A108" s="1">
        <v>46269</v>
      </c>
      <c r="B108" t="s">
        <v>19</v>
      </c>
      <c r="C108">
        <v>1</v>
      </c>
      <c r="D108">
        <v>40</v>
      </c>
      <c r="E108">
        <v>31</v>
      </c>
      <c r="F108">
        <v>14</v>
      </c>
      <c r="G108">
        <v>5931</v>
      </c>
      <c r="H108">
        <v>5938</v>
      </c>
      <c r="I108">
        <v>4</v>
      </c>
      <c r="J108">
        <v>3</v>
      </c>
      <c r="K108" s="2">
        <v>0.47281299999999998</v>
      </c>
      <c r="L108" s="2">
        <v>0.74895800000000001</v>
      </c>
      <c r="M108">
        <v>12807</v>
      </c>
      <c r="N108">
        <v>39</v>
      </c>
      <c r="O108">
        <v>2</v>
      </c>
      <c r="P108">
        <v>36</v>
      </c>
      <c r="Q108">
        <v>7</v>
      </c>
      <c r="R108" t="str">
        <f t="shared" si="5"/>
        <v>2026-09</v>
      </c>
      <c r="S108" s="3">
        <f t="shared" si="6"/>
        <v>6.6274800000000003</v>
      </c>
      <c r="T108" s="3">
        <f t="shared" si="7"/>
        <v>5.4730769230769223</v>
      </c>
      <c r="U108" s="4">
        <f t="shared" si="8"/>
        <v>191.32258064516128</v>
      </c>
      <c r="V108" s="5">
        <f t="shared" si="9"/>
        <v>0.77500000000000002</v>
      </c>
    </row>
    <row r="109" spans="1:22">
      <c r="A109" s="1">
        <v>46270</v>
      </c>
      <c r="B109" t="s">
        <v>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3</v>
      </c>
      <c r="K109" s="2"/>
      <c r="L109" s="2"/>
      <c r="M109">
        <v>0</v>
      </c>
      <c r="N109">
        <v>0</v>
      </c>
      <c r="O109">
        <v>0</v>
      </c>
      <c r="P109">
        <v>0</v>
      </c>
      <c r="Q109">
        <v>0</v>
      </c>
      <c r="R109" t="str">
        <f t="shared" si="5"/>
        <v>2026-09</v>
      </c>
      <c r="S109" s="3" t="str">
        <f t="shared" si="6"/>
        <v/>
      </c>
      <c r="T109" s="3" t="str">
        <f t="shared" si="7"/>
        <v/>
      </c>
      <c r="U109" s="4" t="str">
        <f t="shared" si="8"/>
        <v/>
      </c>
      <c r="V109" s="5" t="str">
        <f t="shared" si="9"/>
        <v/>
      </c>
    </row>
    <row r="110" spans="1:22">
      <c r="A110" s="1">
        <v>46271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 s="2"/>
      <c r="L110" s="2"/>
      <c r="M110">
        <v>0</v>
      </c>
      <c r="N110">
        <v>0</v>
      </c>
      <c r="O110">
        <v>0</v>
      </c>
      <c r="P110">
        <v>0</v>
      </c>
      <c r="Q110">
        <v>0</v>
      </c>
      <c r="R110" t="str">
        <f t="shared" si="5"/>
        <v>2026-09</v>
      </c>
      <c r="S110" s="3" t="str">
        <f t="shared" si="6"/>
        <v/>
      </c>
      <c r="T110" s="3" t="str">
        <f t="shared" si="7"/>
        <v/>
      </c>
      <c r="U110" s="4" t="str">
        <f t="shared" si="8"/>
        <v/>
      </c>
      <c r="V110" s="5" t="str">
        <f t="shared" si="9"/>
        <v/>
      </c>
    </row>
    <row r="111" spans="1:22">
      <c r="A111" s="1">
        <v>46272</v>
      </c>
      <c r="B111" t="s">
        <v>19</v>
      </c>
      <c r="C111">
        <v>1</v>
      </c>
      <c r="D111">
        <v>26</v>
      </c>
      <c r="E111">
        <v>25</v>
      </c>
      <c r="F111">
        <v>14</v>
      </c>
      <c r="G111">
        <v>2651</v>
      </c>
      <c r="H111">
        <v>4515</v>
      </c>
      <c r="I111">
        <v>20</v>
      </c>
      <c r="J111">
        <v>15</v>
      </c>
      <c r="K111" s="2">
        <v>0.47281299999999998</v>
      </c>
      <c r="L111" s="2">
        <v>0.73490699999999998</v>
      </c>
      <c r="M111">
        <v>6148</v>
      </c>
      <c r="N111">
        <v>25</v>
      </c>
      <c r="O111">
        <v>1</v>
      </c>
      <c r="P111">
        <v>17</v>
      </c>
      <c r="Q111">
        <v>14</v>
      </c>
      <c r="R111" t="str">
        <f t="shared" si="5"/>
        <v>2026-09</v>
      </c>
      <c r="S111" s="3">
        <f t="shared" si="6"/>
        <v>6.2902559999999994</v>
      </c>
      <c r="T111" s="3">
        <f t="shared" si="7"/>
        <v>4.0986666666666665</v>
      </c>
      <c r="U111" s="4">
        <f t="shared" si="8"/>
        <v>106.04</v>
      </c>
      <c r="V111" s="5">
        <f t="shared" si="9"/>
        <v>0.96153846153846156</v>
      </c>
    </row>
    <row r="112" spans="1:22">
      <c r="A112" s="1">
        <v>46273</v>
      </c>
      <c r="B112" t="s">
        <v>19</v>
      </c>
      <c r="C112">
        <v>1</v>
      </c>
      <c r="D112">
        <v>29</v>
      </c>
      <c r="E112">
        <v>25</v>
      </c>
      <c r="F112">
        <v>14</v>
      </c>
      <c r="G112">
        <v>6723</v>
      </c>
      <c r="H112">
        <v>6723</v>
      </c>
      <c r="I112">
        <v>10</v>
      </c>
      <c r="J112">
        <v>10</v>
      </c>
      <c r="K112" s="2">
        <v>0.46307900000000002</v>
      </c>
      <c r="L112" s="2">
        <v>0.71165500000000004</v>
      </c>
      <c r="M112">
        <v>11500</v>
      </c>
      <c r="N112">
        <v>28</v>
      </c>
      <c r="O112">
        <v>3</v>
      </c>
      <c r="P112">
        <v>23</v>
      </c>
      <c r="Q112">
        <v>14</v>
      </c>
      <c r="R112" t="str">
        <f t="shared" si="5"/>
        <v>2026-09</v>
      </c>
      <c r="S112" s="3">
        <f t="shared" si="6"/>
        <v>5.9658240000000005</v>
      </c>
      <c r="T112" s="3">
        <f t="shared" si="7"/>
        <v>6.8452380952380958</v>
      </c>
      <c r="U112" s="4">
        <f t="shared" si="8"/>
        <v>268.92</v>
      </c>
      <c r="V112" s="5">
        <f t="shared" si="9"/>
        <v>0.86206896551724133</v>
      </c>
    </row>
    <row r="113" spans="1:22">
      <c r="A113" s="1">
        <v>46274</v>
      </c>
      <c r="B113" t="s">
        <v>19</v>
      </c>
      <c r="C113">
        <v>1</v>
      </c>
      <c r="D113">
        <v>15</v>
      </c>
      <c r="E113">
        <v>15</v>
      </c>
      <c r="F113">
        <v>11</v>
      </c>
      <c r="G113">
        <v>3867</v>
      </c>
      <c r="H113">
        <v>4601</v>
      </c>
      <c r="I113">
        <v>10</v>
      </c>
      <c r="J113">
        <v>9</v>
      </c>
      <c r="K113" s="2">
        <v>0.46017400000000003</v>
      </c>
      <c r="L113" s="2">
        <v>0.72079899999999997</v>
      </c>
      <c r="M113">
        <v>11150</v>
      </c>
      <c r="N113">
        <v>14</v>
      </c>
      <c r="O113">
        <v>3</v>
      </c>
      <c r="P113">
        <v>11</v>
      </c>
      <c r="Q113">
        <v>11</v>
      </c>
      <c r="R113" t="str">
        <f t="shared" si="5"/>
        <v>2026-09</v>
      </c>
      <c r="S113" s="3">
        <f t="shared" si="6"/>
        <v>6.254999999999999</v>
      </c>
      <c r="T113" s="3">
        <f t="shared" si="7"/>
        <v>13.273809523809524</v>
      </c>
      <c r="U113" s="4">
        <f t="shared" si="8"/>
        <v>257.8</v>
      </c>
      <c r="V113" s="5">
        <f t="shared" si="9"/>
        <v>1</v>
      </c>
    </row>
    <row r="114" spans="1:22">
      <c r="A114" s="1">
        <v>46275</v>
      </c>
      <c r="B114" t="s">
        <v>19</v>
      </c>
      <c r="C114">
        <v>1</v>
      </c>
      <c r="D114">
        <v>47</v>
      </c>
      <c r="E114">
        <v>38</v>
      </c>
      <c r="F114">
        <v>17</v>
      </c>
      <c r="G114">
        <v>5365</v>
      </c>
      <c r="H114">
        <v>5516</v>
      </c>
      <c r="I114">
        <v>6</v>
      </c>
      <c r="J114">
        <v>5</v>
      </c>
      <c r="K114" s="2">
        <v>0.45148100000000002</v>
      </c>
      <c r="L114" s="2">
        <v>0.74666699999999997</v>
      </c>
      <c r="M114">
        <v>9288</v>
      </c>
      <c r="N114">
        <v>45</v>
      </c>
      <c r="O114">
        <v>1</v>
      </c>
      <c r="P114">
        <v>40</v>
      </c>
      <c r="Q114">
        <v>20</v>
      </c>
      <c r="R114" t="str">
        <f t="shared" si="5"/>
        <v>2026-09</v>
      </c>
      <c r="S114" s="3">
        <f t="shared" si="6"/>
        <v>7.0844639999999988</v>
      </c>
      <c r="T114" s="3">
        <f t="shared" si="7"/>
        <v>3.44</v>
      </c>
      <c r="U114" s="4">
        <f t="shared" si="8"/>
        <v>141.18421052631578</v>
      </c>
      <c r="V114" s="5">
        <f t="shared" si="9"/>
        <v>0.80851063829787229</v>
      </c>
    </row>
    <row r="115" spans="1:22">
      <c r="A115" s="1">
        <v>46276</v>
      </c>
      <c r="B115" t="s">
        <v>19</v>
      </c>
      <c r="C115">
        <v>1</v>
      </c>
      <c r="D115">
        <v>41</v>
      </c>
      <c r="E115">
        <v>31</v>
      </c>
      <c r="F115">
        <v>13</v>
      </c>
      <c r="G115">
        <v>4231</v>
      </c>
      <c r="H115">
        <v>5178</v>
      </c>
      <c r="I115">
        <v>5</v>
      </c>
      <c r="J115">
        <v>4</v>
      </c>
      <c r="K115" s="2">
        <v>0.44138899999999998</v>
      </c>
      <c r="L115" s="2">
        <v>0.75023099999999998</v>
      </c>
      <c r="M115">
        <v>12871</v>
      </c>
      <c r="N115">
        <v>39</v>
      </c>
      <c r="O115">
        <v>2</v>
      </c>
      <c r="P115">
        <v>34</v>
      </c>
      <c r="Q115">
        <v>20</v>
      </c>
      <c r="R115" t="str">
        <f t="shared" si="5"/>
        <v>2026-09</v>
      </c>
      <c r="S115" s="3">
        <f t="shared" si="6"/>
        <v>7.4122079999999997</v>
      </c>
      <c r="T115" s="3">
        <f t="shared" si="7"/>
        <v>5.5004273504273504</v>
      </c>
      <c r="U115" s="4">
        <f t="shared" si="8"/>
        <v>136.48387096774192</v>
      </c>
      <c r="V115" s="5">
        <f t="shared" si="9"/>
        <v>0.75609756097560976</v>
      </c>
    </row>
    <row r="116" spans="1:22">
      <c r="A116" s="1">
        <v>46277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 s="2"/>
      <c r="L116" s="2"/>
      <c r="M116">
        <v>0</v>
      </c>
      <c r="N116">
        <v>0</v>
      </c>
      <c r="O116">
        <v>0</v>
      </c>
      <c r="P116">
        <v>0</v>
      </c>
      <c r="Q116">
        <v>0</v>
      </c>
      <c r="R116" t="str">
        <f t="shared" si="5"/>
        <v>2026-09</v>
      </c>
      <c r="S116" s="3" t="str">
        <f t="shared" si="6"/>
        <v/>
      </c>
      <c r="T116" s="3" t="str">
        <f t="shared" si="7"/>
        <v/>
      </c>
      <c r="U116" s="4" t="str">
        <f t="shared" si="8"/>
        <v/>
      </c>
      <c r="V116" s="5" t="str">
        <f t="shared" si="9"/>
        <v/>
      </c>
    </row>
    <row r="117" spans="1:22">
      <c r="A117" s="1">
        <v>46235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2</v>
      </c>
      <c r="K117" s="2"/>
      <c r="L117" s="2"/>
      <c r="M117">
        <v>0</v>
      </c>
      <c r="N117">
        <v>0</v>
      </c>
      <c r="O117">
        <v>0</v>
      </c>
      <c r="P117">
        <v>0</v>
      </c>
      <c r="Q117">
        <v>0</v>
      </c>
      <c r="R117" t="str">
        <f t="shared" si="5"/>
        <v>2026-08</v>
      </c>
      <c r="S117" s="3" t="str">
        <f t="shared" si="6"/>
        <v/>
      </c>
      <c r="T117" s="3" t="str">
        <f t="shared" si="7"/>
        <v/>
      </c>
      <c r="U117" s="4" t="str">
        <f t="shared" si="8"/>
        <v/>
      </c>
      <c r="V117" s="5" t="str">
        <f t="shared" si="9"/>
        <v/>
      </c>
    </row>
    <row r="118" spans="1:22">
      <c r="A118" s="1">
        <v>46236</v>
      </c>
      <c r="B118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 s="2"/>
      <c r="L118" s="2"/>
      <c r="M118">
        <v>0</v>
      </c>
      <c r="N118">
        <v>0</v>
      </c>
      <c r="O118">
        <v>0</v>
      </c>
      <c r="P118">
        <v>0</v>
      </c>
      <c r="Q118">
        <v>0</v>
      </c>
      <c r="R118" t="str">
        <f t="shared" si="5"/>
        <v>2026-08</v>
      </c>
      <c r="S118" s="3" t="str">
        <f t="shared" si="6"/>
        <v/>
      </c>
      <c r="T118" s="3" t="str">
        <f t="shared" si="7"/>
        <v/>
      </c>
      <c r="U118" s="4" t="str">
        <f t="shared" si="8"/>
        <v/>
      </c>
      <c r="V118" s="5" t="str">
        <f t="shared" si="9"/>
        <v/>
      </c>
    </row>
    <row r="119" spans="1:22">
      <c r="A119" s="1">
        <v>46237</v>
      </c>
      <c r="B119" t="s">
        <v>20</v>
      </c>
      <c r="C119">
        <v>1</v>
      </c>
      <c r="D119">
        <v>43</v>
      </c>
      <c r="E119">
        <v>35</v>
      </c>
      <c r="F119">
        <v>22</v>
      </c>
      <c r="G119">
        <v>7705</v>
      </c>
      <c r="H119">
        <v>7705</v>
      </c>
      <c r="I119">
        <v>13</v>
      </c>
      <c r="J119">
        <v>13</v>
      </c>
      <c r="K119" s="2">
        <v>0.45453700000000002</v>
      </c>
      <c r="L119" s="2">
        <v>0.78251199999999999</v>
      </c>
      <c r="M119">
        <v>11018</v>
      </c>
      <c r="N119">
        <v>41</v>
      </c>
      <c r="O119">
        <v>2</v>
      </c>
      <c r="P119">
        <v>39</v>
      </c>
      <c r="Q119">
        <v>4</v>
      </c>
      <c r="R119" t="str">
        <f t="shared" si="5"/>
        <v>2026-08</v>
      </c>
      <c r="S119" s="3">
        <f t="shared" si="6"/>
        <v>7.8713999999999995</v>
      </c>
      <c r="T119" s="3">
        <f t="shared" si="7"/>
        <v>4.4788617886178868</v>
      </c>
      <c r="U119" s="4">
        <f t="shared" si="8"/>
        <v>220.14285714285714</v>
      </c>
      <c r="V119" s="5">
        <f t="shared" si="9"/>
        <v>0.81395348837209303</v>
      </c>
    </row>
    <row r="120" spans="1:22">
      <c r="A120" s="1">
        <v>46238</v>
      </c>
      <c r="B120" t="s">
        <v>20</v>
      </c>
      <c r="C120">
        <v>1</v>
      </c>
      <c r="D120">
        <v>29</v>
      </c>
      <c r="E120">
        <v>25</v>
      </c>
      <c r="F120">
        <v>16</v>
      </c>
      <c r="G120">
        <v>11331</v>
      </c>
      <c r="H120">
        <v>14327</v>
      </c>
      <c r="I120">
        <v>11</v>
      </c>
      <c r="J120">
        <v>8</v>
      </c>
      <c r="K120" s="2">
        <v>0.42643500000000001</v>
      </c>
      <c r="L120" s="2">
        <v>0.76502300000000001</v>
      </c>
      <c r="M120">
        <v>6899</v>
      </c>
      <c r="N120">
        <v>28</v>
      </c>
      <c r="O120">
        <v>2</v>
      </c>
      <c r="P120">
        <v>25</v>
      </c>
      <c r="Q120">
        <v>6</v>
      </c>
      <c r="R120" t="str">
        <f t="shared" si="5"/>
        <v>2026-08</v>
      </c>
      <c r="S120" s="3">
        <f t="shared" si="6"/>
        <v>8.1261119999999991</v>
      </c>
      <c r="T120" s="3">
        <f t="shared" si="7"/>
        <v>4.1065476190476193</v>
      </c>
      <c r="U120" s="4">
        <f t="shared" si="8"/>
        <v>453.24</v>
      </c>
      <c r="V120" s="5">
        <f t="shared" si="9"/>
        <v>0.86206896551724133</v>
      </c>
    </row>
    <row r="121" spans="1:22">
      <c r="A121" s="1">
        <v>46239</v>
      </c>
      <c r="B121" t="s">
        <v>20</v>
      </c>
      <c r="C121">
        <v>1</v>
      </c>
      <c r="D121">
        <v>28</v>
      </c>
      <c r="E121">
        <v>22</v>
      </c>
      <c r="F121">
        <v>16</v>
      </c>
      <c r="G121">
        <v>4404</v>
      </c>
      <c r="H121">
        <v>4404</v>
      </c>
      <c r="I121">
        <v>13</v>
      </c>
      <c r="J121">
        <v>13</v>
      </c>
      <c r="K121" s="2">
        <v>0.346053</v>
      </c>
      <c r="L121" s="2">
        <v>0.78429400000000005</v>
      </c>
      <c r="M121">
        <v>6284</v>
      </c>
      <c r="N121">
        <v>25</v>
      </c>
      <c r="O121">
        <v>4</v>
      </c>
      <c r="P121">
        <v>25</v>
      </c>
      <c r="Q121">
        <v>8</v>
      </c>
      <c r="R121" t="str">
        <f t="shared" si="5"/>
        <v>2026-08</v>
      </c>
      <c r="S121" s="3">
        <f t="shared" si="6"/>
        <v>10.517784000000001</v>
      </c>
      <c r="T121" s="3">
        <f t="shared" si="7"/>
        <v>4.1893333333333338</v>
      </c>
      <c r="U121" s="4">
        <f t="shared" si="8"/>
        <v>200.18181818181819</v>
      </c>
      <c r="V121" s="5">
        <f t="shared" si="9"/>
        <v>0.7857142857142857</v>
      </c>
    </row>
    <row r="122" spans="1:22">
      <c r="A122" s="1">
        <v>46240</v>
      </c>
      <c r="B122" t="s">
        <v>20</v>
      </c>
      <c r="C122">
        <v>1</v>
      </c>
      <c r="D122">
        <v>51</v>
      </c>
      <c r="E122">
        <v>44</v>
      </c>
      <c r="F122">
        <v>23</v>
      </c>
      <c r="G122">
        <v>5807</v>
      </c>
      <c r="H122">
        <v>7345</v>
      </c>
      <c r="I122">
        <v>15</v>
      </c>
      <c r="J122">
        <v>11</v>
      </c>
      <c r="K122" s="2">
        <v>0.44709500000000002</v>
      </c>
      <c r="L122" s="2">
        <v>0.77953700000000004</v>
      </c>
      <c r="M122">
        <v>11723</v>
      </c>
      <c r="N122">
        <v>49</v>
      </c>
      <c r="O122">
        <v>2</v>
      </c>
      <c r="P122">
        <v>42</v>
      </c>
      <c r="Q122">
        <v>17</v>
      </c>
      <c r="R122" t="str">
        <f t="shared" si="5"/>
        <v>2026-08</v>
      </c>
      <c r="S122" s="3">
        <f t="shared" si="6"/>
        <v>7.9786080000000004</v>
      </c>
      <c r="T122" s="3">
        <f t="shared" si="7"/>
        <v>3.9874149659863947</v>
      </c>
      <c r="U122" s="4">
        <f t="shared" si="8"/>
        <v>131.97727272727272</v>
      </c>
      <c r="V122" s="5">
        <f t="shared" si="9"/>
        <v>0.86274509803921573</v>
      </c>
    </row>
    <row r="123" spans="1:22">
      <c r="A123" s="1">
        <v>46241</v>
      </c>
      <c r="B123" t="s">
        <v>20</v>
      </c>
      <c r="C123">
        <v>1</v>
      </c>
      <c r="D123">
        <v>40</v>
      </c>
      <c r="E123">
        <v>36</v>
      </c>
      <c r="F123">
        <v>22</v>
      </c>
      <c r="G123">
        <v>8586</v>
      </c>
      <c r="H123">
        <v>10360</v>
      </c>
      <c r="I123">
        <v>17</v>
      </c>
      <c r="J123">
        <v>14</v>
      </c>
      <c r="K123" s="2">
        <v>0.38026599999999999</v>
      </c>
      <c r="L123" s="2">
        <v>0.80321799999999999</v>
      </c>
      <c r="M123">
        <v>13154</v>
      </c>
      <c r="N123">
        <v>38</v>
      </c>
      <c r="O123">
        <v>3</v>
      </c>
      <c r="P123">
        <v>31</v>
      </c>
      <c r="Q123">
        <v>18</v>
      </c>
      <c r="R123" t="str">
        <f t="shared" si="5"/>
        <v>2026-08</v>
      </c>
      <c r="S123" s="3">
        <f t="shared" si="6"/>
        <v>10.150848</v>
      </c>
      <c r="T123" s="3">
        <f t="shared" si="7"/>
        <v>5.7692982456140349</v>
      </c>
      <c r="U123" s="4">
        <f t="shared" si="8"/>
        <v>238.5</v>
      </c>
      <c r="V123" s="5">
        <f t="shared" si="9"/>
        <v>0.9</v>
      </c>
    </row>
    <row r="124" spans="1:22">
      <c r="A124" s="1">
        <v>46242</v>
      </c>
      <c r="B124" t="s">
        <v>20</v>
      </c>
      <c r="C124">
        <v>0</v>
      </c>
      <c r="D124">
        <v>6</v>
      </c>
      <c r="E124">
        <v>5</v>
      </c>
      <c r="F124">
        <v>4</v>
      </c>
      <c r="G124">
        <v>1311</v>
      </c>
      <c r="H124">
        <v>1311</v>
      </c>
      <c r="I124">
        <v>5</v>
      </c>
      <c r="J124">
        <v>5</v>
      </c>
      <c r="K124" s="2">
        <v>0.66468700000000003</v>
      </c>
      <c r="L124" s="2">
        <v>0.686921</v>
      </c>
      <c r="M124">
        <v>599</v>
      </c>
      <c r="N124">
        <v>6</v>
      </c>
      <c r="O124">
        <v>0</v>
      </c>
      <c r="P124">
        <v>5</v>
      </c>
      <c r="Q124">
        <v>4</v>
      </c>
      <c r="R124" t="str">
        <f t="shared" si="5"/>
        <v>2026-08</v>
      </c>
      <c r="S124" s="3">
        <f t="shared" si="6"/>
        <v>0.53361599999999942</v>
      </c>
      <c r="T124" s="3">
        <f t="shared" si="7"/>
        <v>1.6638888888888888</v>
      </c>
      <c r="U124" s="4">
        <f t="shared" si="8"/>
        <v>262.2</v>
      </c>
      <c r="V124" s="5">
        <f t="shared" si="9"/>
        <v>0.83333333333333337</v>
      </c>
    </row>
    <row r="125" spans="1:22">
      <c r="A125" s="1">
        <v>46244</v>
      </c>
      <c r="B125" t="s">
        <v>20</v>
      </c>
      <c r="C125">
        <v>1</v>
      </c>
      <c r="D125">
        <v>1</v>
      </c>
      <c r="E125">
        <v>1</v>
      </c>
      <c r="F125">
        <v>1</v>
      </c>
      <c r="G125">
        <v>160</v>
      </c>
      <c r="H125">
        <v>160</v>
      </c>
      <c r="I125">
        <v>8</v>
      </c>
      <c r="J125">
        <v>8</v>
      </c>
      <c r="K125" s="2">
        <v>0.54576400000000003</v>
      </c>
      <c r="L125" s="2">
        <v>0.54774299999999998</v>
      </c>
      <c r="M125">
        <v>0</v>
      </c>
      <c r="N125">
        <v>0</v>
      </c>
      <c r="O125">
        <v>1</v>
      </c>
      <c r="P125">
        <v>1</v>
      </c>
      <c r="Q125">
        <v>1</v>
      </c>
      <c r="R125" t="str">
        <f t="shared" si="5"/>
        <v>2026-08</v>
      </c>
      <c r="S125" s="3">
        <f t="shared" si="6"/>
        <v>4.7495999999998872E-2</v>
      </c>
      <c r="T125" s="3" t="str">
        <f t="shared" si="7"/>
        <v/>
      </c>
      <c r="U125" s="4">
        <f t="shared" si="8"/>
        <v>160</v>
      </c>
      <c r="V125" s="5">
        <f t="shared" si="9"/>
        <v>1</v>
      </c>
    </row>
    <row r="126" spans="1:22">
      <c r="A126" s="1">
        <v>46245</v>
      </c>
      <c r="B126" t="s">
        <v>20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4</v>
      </c>
      <c r="K126" s="2"/>
      <c r="L126" s="2"/>
      <c r="M126">
        <v>0</v>
      </c>
      <c r="N126">
        <v>0</v>
      </c>
      <c r="O126">
        <v>0</v>
      </c>
      <c r="P126">
        <v>0</v>
      </c>
      <c r="Q126">
        <v>0</v>
      </c>
      <c r="R126" t="str">
        <f t="shared" si="5"/>
        <v>2026-08</v>
      </c>
      <c r="S126" s="3" t="str">
        <f t="shared" si="6"/>
        <v/>
      </c>
      <c r="T126" s="3" t="str">
        <f t="shared" si="7"/>
        <v/>
      </c>
      <c r="U126" s="4" t="str">
        <f t="shared" si="8"/>
        <v/>
      </c>
      <c r="V126" s="5" t="str">
        <f t="shared" si="9"/>
        <v/>
      </c>
    </row>
    <row r="127" spans="1:22">
      <c r="A127" s="1">
        <v>46246</v>
      </c>
      <c r="B127" t="s">
        <v>20</v>
      </c>
      <c r="C127">
        <v>1</v>
      </c>
      <c r="D127">
        <v>51</v>
      </c>
      <c r="E127">
        <v>34</v>
      </c>
      <c r="F127">
        <v>20</v>
      </c>
      <c r="G127">
        <v>5202</v>
      </c>
      <c r="H127">
        <v>5202</v>
      </c>
      <c r="I127">
        <v>6</v>
      </c>
      <c r="J127">
        <v>6</v>
      </c>
      <c r="K127" s="2">
        <v>0.429838</v>
      </c>
      <c r="L127" s="2">
        <v>0.78256899999999996</v>
      </c>
      <c r="M127">
        <v>10252</v>
      </c>
      <c r="N127">
        <v>49</v>
      </c>
      <c r="O127">
        <v>4</v>
      </c>
      <c r="P127">
        <v>48</v>
      </c>
      <c r="Q127">
        <v>13</v>
      </c>
      <c r="R127" t="str">
        <f t="shared" si="5"/>
        <v>2026-08</v>
      </c>
      <c r="S127" s="3">
        <f t="shared" si="6"/>
        <v>8.4655439999999995</v>
      </c>
      <c r="T127" s="3">
        <f t="shared" si="7"/>
        <v>3.4870748299319727</v>
      </c>
      <c r="U127" s="4">
        <f t="shared" si="8"/>
        <v>153</v>
      </c>
      <c r="V127" s="5">
        <f t="shared" si="9"/>
        <v>0.66666666666666663</v>
      </c>
    </row>
    <row r="128" spans="1:22">
      <c r="A128" s="1">
        <v>46247</v>
      </c>
      <c r="B128" t="s">
        <v>20</v>
      </c>
      <c r="C128">
        <v>1</v>
      </c>
      <c r="D128">
        <v>68</v>
      </c>
      <c r="E128">
        <v>57</v>
      </c>
      <c r="F128">
        <v>22</v>
      </c>
      <c r="G128">
        <v>7407</v>
      </c>
      <c r="H128">
        <v>7407</v>
      </c>
      <c r="I128">
        <v>1</v>
      </c>
      <c r="J128">
        <v>1</v>
      </c>
      <c r="K128" s="2">
        <v>0.432222</v>
      </c>
      <c r="L128" s="2">
        <v>0.79020800000000002</v>
      </c>
      <c r="M128">
        <v>14927</v>
      </c>
      <c r="N128">
        <v>64</v>
      </c>
      <c r="O128">
        <v>3</v>
      </c>
      <c r="P128">
        <v>62</v>
      </c>
      <c r="Q128">
        <v>15</v>
      </c>
      <c r="R128" t="str">
        <f t="shared" si="5"/>
        <v>2026-08</v>
      </c>
      <c r="S128" s="3">
        <f t="shared" si="6"/>
        <v>8.5916640000000015</v>
      </c>
      <c r="T128" s="3">
        <f t="shared" si="7"/>
        <v>3.8872395833333333</v>
      </c>
      <c r="U128" s="4">
        <f t="shared" si="8"/>
        <v>129.94736842105263</v>
      </c>
      <c r="V128" s="5">
        <f t="shared" si="9"/>
        <v>0.83823529411764708</v>
      </c>
    </row>
    <row r="129" spans="1:22">
      <c r="A129" s="1">
        <v>46248</v>
      </c>
      <c r="B129" t="s">
        <v>20</v>
      </c>
      <c r="C129">
        <v>1</v>
      </c>
      <c r="D129">
        <v>38</v>
      </c>
      <c r="E129">
        <v>27</v>
      </c>
      <c r="F129">
        <v>16</v>
      </c>
      <c r="G129">
        <v>6843</v>
      </c>
      <c r="H129">
        <v>6843</v>
      </c>
      <c r="I129">
        <v>2</v>
      </c>
      <c r="J129">
        <v>2</v>
      </c>
      <c r="K129" s="2">
        <v>0.42888900000000002</v>
      </c>
      <c r="L129" s="2">
        <v>0.75022</v>
      </c>
      <c r="M129">
        <v>13037</v>
      </c>
      <c r="N129">
        <v>36</v>
      </c>
      <c r="O129">
        <v>3</v>
      </c>
      <c r="P129">
        <v>31</v>
      </c>
      <c r="Q129">
        <v>19</v>
      </c>
      <c r="R129" t="str">
        <f t="shared" si="5"/>
        <v>2026-08</v>
      </c>
      <c r="S129" s="3">
        <f t="shared" si="6"/>
        <v>7.711943999999999</v>
      </c>
      <c r="T129" s="3">
        <f t="shared" si="7"/>
        <v>6.035648148148149</v>
      </c>
      <c r="U129" s="4">
        <f t="shared" si="8"/>
        <v>253.44444444444446</v>
      </c>
      <c r="V129" s="5">
        <f t="shared" si="9"/>
        <v>0.71052631578947367</v>
      </c>
    </row>
    <row r="130" spans="1:22">
      <c r="A130" s="1">
        <v>46249</v>
      </c>
      <c r="B130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</v>
      </c>
      <c r="J130">
        <v>4</v>
      </c>
      <c r="K130" s="2"/>
      <c r="L130" s="2"/>
      <c r="M130">
        <v>0</v>
      </c>
      <c r="N130">
        <v>0</v>
      </c>
      <c r="O130">
        <v>0</v>
      </c>
      <c r="P130">
        <v>0</v>
      </c>
      <c r="Q130">
        <v>0</v>
      </c>
      <c r="R130" t="str">
        <f t="shared" si="5"/>
        <v>2026-08</v>
      </c>
      <c r="S130" s="3" t="str">
        <f t="shared" si="6"/>
        <v/>
      </c>
      <c r="T130" s="3" t="str">
        <f t="shared" si="7"/>
        <v/>
      </c>
      <c r="U130" s="4" t="str">
        <f t="shared" si="8"/>
        <v/>
      </c>
      <c r="V130" s="5" t="str">
        <f t="shared" si="9"/>
        <v/>
      </c>
    </row>
    <row r="131" spans="1:22">
      <c r="A131" s="1">
        <v>46251</v>
      </c>
      <c r="B131" t="s">
        <v>20</v>
      </c>
      <c r="C131">
        <v>1</v>
      </c>
      <c r="D131">
        <v>40</v>
      </c>
      <c r="E131">
        <v>30</v>
      </c>
      <c r="F131">
        <v>15</v>
      </c>
      <c r="G131">
        <v>3782</v>
      </c>
      <c r="H131">
        <v>4375</v>
      </c>
      <c r="I131">
        <v>17</v>
      </c>
      <c r="J131">
        <v>14</v>
      </c>
      <c r="K131" s="2">
        <v>0.44947900000000002</v>
      </c>
      <c r="L131" s="2">
        <v>0.75151599999999996</v>
      </c>
      <c r="M131">
        <v>8034</v>
      </c>
      <c r="N131">
        <v>38</v>
      </c>
      <c r="O131">
        <v>2</v>
      </c>
      <c r="P131">
        <v>31</v>
      </c>
      <c r="Q131">
        <v>28</v>
      </c>
      <c r="R131" t="str">
        <f t="shared" ref="R131:R194" si="10">TEXT(A131,"yyyy-mm")</f>
        <v>2026-08</v>
      </c>
      <c r="S131" s="3">
        <f t="shared" ref="S131:S194" si="11">IF(K131="","",(L131-K131)*24)</f>
        <v>7.2488879999999991</v>
      </c>
      <c r="T131" s="3">
        <f t="shared" ref="T131:T194" si="12">IF(N131=0,"",M131/N131/60)</f>
        <v>3.5236842105263162</v>
      </c>
      <c r="U131" s="4">
        <f t="shared" ref="U131:U194" si="13">IF(E131=0,"",G131/E131)</f>
        <v>126.06666666666666</v>
      </c>
      <c r="V131" s="5">
        <f t="shared" ref="V131:V194" si="14">IF(D131=0,"",E131/D131)</f>
        <v>0.75</v>
      </c>
    </row>
    <row r="132" spans="1:22">
      <c r="A132" s="1">
        <v>46252</v>
      </c>
      <c r="B132" t="s">
        <v>20</v>
      </c>
      <c r="C132">
        <v>1</v>
      </c>
      <c r="D132">
        <v>59</v>
      </c>
      <c r="E132">
        <v>44</v>
      </c>
      <c r="F132">
        <v>17</v>
      </c>
      <c r="G132">
        <v>7273</v>
      </c>
      <c r="H132">
        <v>7358</v>
      </c>
      <c r="I132">
        <v>6</v>
      </c>
      <c r="J132">
        <v>4</v>
      </c>
      <c r="K132" s="2">
        <v>0.43147000000000002</v>
      </c>
      <c r="L132" s="2">
        <v>0.78782399999999997</v>
      </c>
      <c r="M132">
        <v>17278</v>
      </c>
      <c r="N132">
        <v>58</v>
      </c>
      <c r="O132">
        <v>1</v>
      </c>
      <c r="P132">
        <v>47</v>
      </c>
      <c r="Q132">
        <v>45</v>
      </c>
      <c r="R132" t="str">
        <f t="shared" si="10"/>
        <v>2026-08</v>
      </c>
      <c r="S132" s="3">
        <f t="shared" si="11"/>
        <v>8.5524959999999979</v>
      </c>
      <c r="T132" s="3">
        <f t="shared" si="12"/>
        <v>4.9649425287356319</v>
      </c>
      <c r="U132" s="4">
        <f t="shared" si="13"/>
        <v>165.29545454545453</v>
      </c>
      <c r="V132" s="5">
        <f t="shared" si="14"/>
        <v>0.74576271186440679</v>
      </c>
    </row>
    <row r="133" spans="1:22">
      <c r="A133" s="1">
        <v>46253</v>
      </c>
      <c r="B133" t="s">
        <v>20</v>
      </c>
      <c r="C133">
        <v>1</v>
      </c>
      <c r="D133">
        <v>75</v>
      </c>
      <c r="E133">
        <v>50</v>
      </c>
      <c r="F133">
        <v>27</v>
      </c>
      <c r="G133">
        <v>7462</v>
      </c>
      <c r="H133">
        <v>7470</v>
      </c>
      <c r="I133">
        <v>5</v>
      </c>
      <c r="J133">
        <v>5</v>
      </c>
      <c r="K133" s="2">
        <v>0.44775500000000001</v>
      </c>
      <c r="L133" s="2">
        <v>0.74679399999999996</v>
      </c>
      <c r="M133">
        <v>18246</v>
      </c>
      <c r="N133">
        <v>75</v>
      </c>
      <c r="O133">
        <v>1</v>
      </c>
      <c r="P133">
        <v>60</v>
      </c>
      <c r="Q133">
        <v>54</v>
      </c>
      <c r="R133" t="str">
        <f t="shared" si="10"/>
        <v>2026-08</v>
      </c>
      <c r="S133" s="3">
        <f t="shared" si="11"/>
        <v>7.1769359999999986</v>
      </c>
      <c r="T133" s="3">
        <f t="shared" si="12"/>
        <v>4.0546666666666669</v>
      </c>
      <c r="U133" s="4">
        <f t="shared" si="13"/>
        <v>149.24</v>
      </c>
      <c r="V133" s="5">
        <f t="shared" si="14"/>
        <v>0.66666666666666663</v>
      </c>
    </row>
    <row r="134" spans="1:22">
      <c r="A134" s="1">
        <v>46254</v>
      </c>
      <c r="B134" t="s">
        <v>20</v>
      </c>
      <c r="C134">
        <v>1</v>
      </c>
      <c r="D134">
        <v>52</v>
      </c>
      <c r="E134">
        <v>38</v>
      </c>
      <c r="F134">
        <v>13</v>
      </c>
      <c r="G134">
        <v>7182</v>
      </c>
      <c r="H134">
        <v>7967</v>
      </c>
      <c r="I134">
        <v>5</v>
      </c>
      <c r="J134">
        <v>3</v>
      </c>
      <c r="K134" s="2">
        <v>0.43034699999999998</v>
      </c>
      <c r="L134" s="2">
        <v>0.78556700000000002</v>
      </c>
      <c r="M134">
        <v>9548</v>
      </c>
      <c r="N134">
        <v>50</v>
      </c>
      <c r="O134">
        <v>3</v>
      </c>
      <c r="P134">
        <v>42</v>
      </c>
      <c r="Q134">
        <v>39</v>
      </c>
      <c r="R134" t="str">
        <f t="shared" si="10"/>
        <v>2026-08</v>
      </c>
      <c r="S134" s="3">
        <f t="shared" si="11"/>
        <v>8.5252800000000004</v>
      </c>
      <c r="T134" s="3">
        <f t="shared" si="12"/>
        <v>3.182666666666667</v>
      </c>
      <c r="U134" s="4">
        <f t="shared" si="13"/>
        <v>189</v>
      </c>
      <c r="V134" s="5">
        <f t="shared" si="14"/>
        <v>0.73076923076923073</v>
      </c>
    </row>
    <row r="135" spans="1:22">
      <c r="A135" s="1">
        <v>46255</v>
      </c>
      <c r="B135" t="s">
        <v>20</v>
      </c>
      <c r="C135">
        <v>1</v>
      </c>
      <c r="D135">
        <v>37</v>
      </c>
      <c r="E135">
        <v>33</v>
      </c>
      <c r="F135">
        <v>19</v>
      </c>
      <c r="G135">
        <v>4656</v>
      </c>
      <c r="H135">
        <v>4656</v>
      </c>
      <c r="I135">
        <v>3</v>
      </c>
      <c r="J135">
        <v>3</v>
      </c>
      <c r="K135" s="2">
        <v>0.49680600000000003</v>
      </c>
      <c r="L135" s="2">
        <v>0.81459499999999996</v>
      </c>
      <c r="M135">
        <v>11929</v>
      </c>
      <c r="N135">
        <v>35</v>
      </c>
      <c r="O135">
        <v>3</v>
      </c>
      <c r="P135">
        <v>32</v>
      </c>
      <c r="Q135">
        <v>21</v>
      </c>
      <c r="R135" t="str">
        <f t="shared" si="10"/>
        <v>2026-08</v>
      </c>
      <c r="S135" s="3">
        <f t="shared" si="11"/>
        <v>7.6269359999999988</v>
      </c>
      <c r="T135" s="3">
        <f t="shared" si="12"/>
        <v>5.68047619047619</v>
      </c>
      <c r="U135" s="4">
        <f t="shared" si="13"/>
        <v>141.09090909090909</v>
      </c>
      <c r="V135" s="5">
        <f t="shared" si="14"/>
        <v>0.89189189189189189</v>
      </c>
    </row>
    <row r="136" spans="1:22">
      <c r="A136" s="1">
        <v>46256</v>
      </c>
      <c r="B136" t="s">
        <v>20</v>
      </c>
      <c r="C136">
        <v>0</v>
      </c>
      <c r="D136">
        <v>12</v>
      </c>
      <c r="E136">
        <v>10</v>
      </c>
      <c r="F136">
        <v>5</v>
      </c>
      <c r="G136">
        <v>1369</v>
      </c>
      <c r="H136">
        <v>1369</v>
      </c>
      <c r="I136">
        <v>0</v>
      </c>
      <c r="J136">
        <v>0</v>
      </c>
      <c r="K136" s="2">
        <v>0.69053200000000003</v>
      </c>
      <c r="L136" s="2">
        <v>0.71729200000000004</v>
      </c>
      <c r="M136">
        <v>663</v>
      </c>
      <c r="N136">
        <v>11</v>
      </c>
      <c r="O136">
        <v>0</v>
      </c>
      <c r="P136">
        <v>12</v>
      </c>
      <c r="Q136">
        <v>0</v>
      </c>
      <c r="R136" t="str">
        <f t="shared" si="10"/>
        <v>2026-08</v>
      </c>
      <c r="S136" s="3">
        <f t="shared" si="11"/>
        <v>0.64224000000000014</v>
      </c>
      <c r="T136" s="3">
        <f t="shared" si="12"/>
        <v>1.0045454545454546</v>
      </c>
      <c r="U136" s="4">
        <f t="shared" si="13"/>
        <v>136.9</v>
      </c>
      <c r="V136" s="5">
        <f t="shared" si="14"/>
        <v>0.83333333333333337</v>
      </c>
    </row>
    <row r="137" spans="1:22">
      <c r="A137" s="1">
        <v>46257</v>
      </c>
      <c r="B137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4</v>
      </c>
      <c r="K137" s="2"/>
      <c r="L137" s="2"/>
      <c r="M137">
        <v>0</v>
      </c>
      <c r="N137">
        <v>0</v>
      </c>
      <c r="O137">
        <v>0</v>
      </c>
      <c r="P137">
        <v>0</v>
      </c>
      <c r="Q137">
        <v>0</v>
      </c>
      <c r="R137" t="str">
        <f t="shared" si="10"/>
        <v>2026-08</v>
      </c>
      <c r="S137" s="3" t="str">
        <f t="shared" si="11"/>
        <v/>
      </c>
      <c r="T137" s="3" t="str">
        <f t="shared" si="12"/>
        <v/>
      </c>
      <c r="U137" s="4" t="str">
        <f t="shared" si="13"/>
        <v/>
      </c>
      <c r="V137" s="5" t="str">
        <f t="shared" si="14"/>
        <v/>
      </c>
    </row>
    <row r="138" spans="1:22">
      <c r="A138" s="1">
        <v>46258</v>
      </c>
      <c r="B138" t="s">
        <v>20</v>
      </c>
      <c r="C138">
        <v>1</v>
      </c>
      <c r="D138">
        <v>49</v>
      </c>
      <c r="E138">
        <v>42</v>
      </c>
      <c r="F138">
        <v>24</v>
      </c>
      <c r="G138">
        <v>6424</v>
      </c>
      <c r="H138">
        <v>6424</v>
      </c>
      <c r="I138">
        <v>9</v>
      </c>
      <c r="J138">
        <v>9</v>
      </c>
      <c r="K138" s="2">
        <v>0.52215299999999998</v>
      </c>
      <c r="L138" s="2">
        <v>0.80186299999999999</v>
      </c>
      <c r="M138">
        <v>11987</v>
      </c>
      <c r="N138">
        <v>48</v>
      </c>
      <c r="O138">
        <v>2</v>
      </c>
      <c r="P138">
        <v>38</v>
      </c>
      <c r="Q138">
        <v>29</v>
      </c>
      <c r="R138" t="str">
        <f t="shared" si="10"/>
        <v>2026-08</v>
      </c>
      <c r="S138" s="3">
        <f t="shared" si="11"/>
        <v>6.7130400000000003</v>
      </c>
      <c r="T138" s="3">
        <f t="shared" si="12"/>
        <v>4.162152777777778</v>
      </c>
      <c r="U138" s="4">
        <f t="shared" si="13"/>
        <v>152.95238095238096</v>
      </c>
      <c r="V138" s="5">
        <f t="shared" si="14"/>
        <v>0.8571428571428571</v>
      </c>
    </row>
    <row r="139" spans="1:22">
      <c r="A139" s="1">
        <v>46259</v>
      </c>
      <c r="B139" t="s">
        <v>20</v>
      </c>
      <c r="C139">
        <v>1</v>
      </c>
      <c r="D139">
        <v>44</v>
      </c>
      <c r="E139">
        <v>39</v>
      </c>
      <c r="F139">
        <v>22</v>
      </c>
      <c r="G139">
        <v>4404</v>
      </c>
      <c r="H139">
        <v>4649</v>
      </c>
      <c r="I139">
        <v>2</v>
      </c>
      <c r="J139">
        <v>1</v>
      </c>
      <c r="K139" s="2">
        <v>0.44852999999999998</v>
      </c>
      <c r="L139" s="2">
        <v>0.81366899999999998</v>
      </c>
      <c r="M139">
        <v>13922</v>
      </c>
      <c r="N139">
        <v>41</v>
      </c>
      <c r="O139">
        <v>4</v>
      </c>
      <c r="P139">
        <v>40</v>
      </c>
      <c r="Q139">
        <v>20</v>
      </c>
      <c r="R139" t="str">
        <f t="shared" si="10"/>
        <v>2026-08</v>
      </c>
      <c r="S139" s="3">
        <f t="shared" si="11"/>
        <v>8.7633359999999989</v>
      </c>
      <c r="T139" s="3">
        <f t="shared" si="12"/>
        <v>5.6593495934959348</v>
      </c>
      <c r="U139" s="4">
        <f t="shared" si="13"/>
        <v>112.92307692307692</v>
      </c>
      <c r="V139" s="5">
        <f t="shared" si="14"/>
        <v>0.88636363636363635</v>
      </c>
    </row>
    <row r="140" spans="1:22">
      <c r="A140" s="1">
        <v>46260</v>
      </c>
      <c r="B140" t="s">
        <v>20</v>
      </c>
      <c r="C140">
        <v>1</v>
      </c>
      <c r="D140">
        <v>34</v>
      </c>
      <c r="E140">
        <v>30</v>
      </c>
      <c r="F140">
        <v>16</v>
      </c>
      <c r="G140">
        <v>4557</v>
      </c>
      <c r="H140">
        <v>4801</v>
      </c>
      <c r="I140">
        <v>8</v>
      </c>
      <c r="J140">
        <v>7</v>
      </c>
      <c r="K140" s="2">
        <v>0.43767400000000001</v>
      </c>
      <c r="L140" s="2">
        <v>0.77414400000000005</v>
      </c>
      <c r="M140">
        <v>14469</v>
      </c>
      <c r="N140">
        <v>32</v>
      </c>
      <c r="O140">
        <v>4</v>
      </c>
      <c r="P140">
        <v>31</v>
      </c>
      <c r="Q140">
        <v>16</v>
      </c>
      <c r="R140" t="str">
        <f t="shared" si="10"/>
        <v>2026-08</v>
      </c>
      <c r="S140" s="3">
        <f t="shared" si="11"/>
        <v>8.0752800000000011</v>
      </c>
      <c r="T140" s="3">
        <f t="shared" si="12"/>
        <v>7.5359375000000002</v>
      </c>
      <c r="U140" s="4">
        <f t="shared" si="13"/>
        <v>151.9</v>
      </c>
      <c r="V140" s="5">
        <f t="shared" si="14"/>
        <v>0.88235294117647056</v>
      </c>
    </row>
    <row r="141" spans="1:22">
      <c r="A141" s="1">
        <v>46261</v>
      </c>
      <c r="B141" t="s">
        <v>20</v>
      </c>
      <c r="C141">
        <v>1</v>
      </c>
      <c r="D141">
        <v>39</v>
      </c>
      <c r="E141">
        <v>33</v>
      </c>
      <c r="F141">
        <v>24</v>
      </c>
      <c r="G141">
        <v>8957</v>
      </c>
      <c r="H141">
        <v>8957</v>
      </c>
      <c r="I141">
        <v>7</v>
      </c>
      <c r="J141">
        <v>7</v>
      </c>
      <c r="K141" s="2">
        <v>0.42357600000000001</v>
      </c>
      <c r="L141" s="2">
        <v>0.76744199999999996</v>
      </c>
      <c r="M141">
        <v>9352</v>
      </c>
      <c r="N141">
        <v>37</v>
      </c>
      <c r="O141">
        <v>1</v>
      </c>
      <c r="P141">
        <v>29</v>
      </c>
      <c r="Q141">
        <v>24</v>
      </c>
      <c r="R141" t="str">
        <f t="shared" si="10"/>
        <v>2026-08</v>
      </c>
      <c r="S141" s="3">
        <f t="shared" si="11"/>
        <v>8.2527839999999983</v>
      </c>
      <c r="T141" s="3">
        <f t="shared" si="12"/>
        <v>4.2126126126126122</v>
      </c>
      <c r="U141" s="4">
        <f t="shared" si="13"/>
        <v>271.42424242424244</v>
      </c>
      <c r="V141" s="5">
        <f t="shared" si="14"/>
        <v>0.84615384615384615</v>
      </c>
    </row>
    <row r="142" spans="1:22">
      <c r="A142" s="1">
        <v>46262</v>
      </c>
      <c r="B142" t="s">
        <v>20</v>
      </c>
      <c r="C142">
        <v>1</v>
      </c>
      <c r="D142">
        <v>23</v>
      </c>
      <c r="E142">
        <v>19</v>
      </c>
      <c r="F142">
        <v>9</v>
      </c>
      <c r="G142">
        <v>4319</v>
      </c>
      <c r="H142">
        <v>4409</v>
      </c>
      <c r="I142">
        <v>6</v>
      </c>
      <c r="J142">
        <v>5</v>
      </c>
      <c r="K142" s="2">
        <v>0.52244199999999996</v>
      </c>
      <c r="L142" s="2">
        <v>0.74754600000000004</v>
      </c>
      <c r="M142">
        <v>13562</v>
      </c>
      <c r="N142">
        <v>23</v>
      </c>
      <c r="O142">
        <v>3</v>
      </c>
      <c r="P142">
        <v>17</v>
      </c>
      <c r="Q142">
        <v>19</v>
      </c>
      <c r="R142" t="str">
        <f t="shared" si="10"/>
        <v>2026-08</v>
      </c>
      <c r="S142" s="3">
        <f t="shared" si="11"/>
        <v>5.402496000000002</v>
      </c>
      <c r="T142" s="3">
        <f t="shared" si="12"/>
        <v>9.8275362318840589</v>
      </c>
      <c r="U142" s="4">
        <f t="shared" si="13"/>
        <v>227.31578947368422</v>
      </c>
      <c r="V142" s="5">
        <f t="shared" si="14"/>
        <v>0.82608695652173914</v>
      </c>
    </row>
    <row r="143" spans="1:22">
      <c r="A143" s="1">
        <v>46263</v>
      </c>
      <c r="B143" t="s">
        <v>20</v>
      </c>
      <c r="C143">
        <v>0</v>
      </c>
      <c r="D143">
        <v>1</v>
      </c>
      <c r="E143">
        <v>1</v>
      </c>
      <c r="F143">
        <v>1</v>
      </c>
      <c r="G143">
        <v>194</v>
      </c>
      <c r="H143">
        <v>194</v>
      </c>
      <c r="I143">
        <v>1</v>
      </c>
      <c r="J143">
        <v>1</v>
      </c>
      <c r="K143" s="2">
        <v>0.756019</v>
      </c>
      <c r="L143" s="2">
        <v>0.75855300000000003</v>
      </c>
      <c r="M143">
        <v>67</v>
      </c>
      <c r="N143">
        <v>1</v>
      </c>
      <c r="O143">
        <v>0</v>
      </c>
      <c r="P143">
        <v>1</v>
      </c>
      <c r="Q143">
        <v>1</v>
      </c>
      <c r="R143" t="str">
        <f t="shared" si="10"/>
        <v>2026-08</v>
      </c>
      <c r="S143" s="3">
        <f t="shared" si="11"/>
        <v>6.0816000000000869E-2</v>
      </c>
      <c r="T143" s="3">
        <f t="shared" si="12"/>
        <v>1.1166666666666667</v>
      </c>
      <c r="U143" s="4">
        <f t="shared" si="13"/>
        <v>194</v>
      </c>
      <c r="V143" s="5">
        <f t="shared" si="14"/>
        <v>1</v>
      </c>
    </row>
    <row r="144" spans="1:22">
      <c r="A144" s="1">
        <v>46264</v>
      </c>
      <c r="B144" t="s">
        <v>20</v>
      </c>
      <c r="C144">
        <v>0</v>
      </c>
      <c r="D144">
        <v>30</v>
      </c>
      <c r="E144">
        <v>23</v>
      </c>
      <c r="F144">
        <v>13</v>
      </c>
      <c r="G144">
        <v>5319</v>
      </c>
      <c r="H144">
        <v>5319</v>
      </c>
      <c r="I144">
        <v>1</v>
      </c>
      <c r="J144">
        <v>1</v>
      </c>
      <c r="K144" s="2">
        <v>0.62163199999999996</v>
      </c>
      <c r="L144" s="2">
        <v>0.72846100000000003</v>
      </c>
      <c r="M144">
        <v>3334</v>
      </c>
      <c r="N144">
        <v>27</v>
      </c>
      <c r="O144">
        <v>0</v>
      </c>
      <c r="P144">
        <v>29</v>
      </c>
      <c r="Q144">
        <v>5</v>
      </c>
      <c r="R144" t="str">
        <f t="shared" si="10"/>
        <v>2026-08</v>
      </c>
      <c r="S144" s="3">
        <f t="shared" si="11"/>
        <v>2.5638960000000015</v>
      </c>
      <c r="T144" s="3">
        <f t="shared" si="12"/>
        <v>2.0580246913580247</v>
      </c>
      <c r="U144" s="4">
        <f t="shared" si="13"/>
        <v>231.2608695652174</v>
      </c>
      <c r="V144" s="5">
        <f t="shared" si="14"/>
        <v>0.76666666666666672</v>
      </c>
    </row>
    <row r="145" spans="1:22">
      <c r="A145" s="1">
        <v>46265</v>
      </c>
      <c r="B145" t="s">
        <v>20</v>
      </c>
      <c r="C145">
        <v>1</v>
      </c>
      <c r="D145">
        <v>39</v>
      </c>
      <c r="E145">
        <v>35</v>
      </c>
      <c r="F145">
        <v>23</v>
      </c>
      <c r="G145">
        <v>6990</v>
      </c>
      <c r="H145">
        <v>7388</v>
      </c>
      <c r="I145">
        <v>12</v>
      </c>
      <c r="J145">
        <v>9</v>
      </c>
      <c r="K145" s="2">
        <v>0.50042799999999998</v>
      </c>
      <c r="L145" s="2">
        <v>0.75645799999999996</v>
      </c>
      <c r="M145">
        <v>8969</v>
      </c>
      <c r="N145">
        <v>38</v>
      </c>
      <c r="O145">
        <v>3</v>
      </c>
      <c r="P145">
        <v>35</v>
      </c>
      <c r="Q145">
        <v>14</v>
      </c>
      <c r="R145" t="str">
        <f t="shared" si="10"/>
        <v>2026-08</v>
      </c>
      <c r="S145" s="3">
        <f t="shared" si="11"/>
        <v>6.1447199999999995</v>
      </c>
      <c r="T145" s="3">
        <f t="shared" si="12"/>
        <v>3.933771929824561</v>
      </c>
      <c r="U145" s="4">
        <f t="shared" si="13"/>
        <v>199.71428571428572</v>
      </c>
      <c r="V145" s="5">
        <f t="shared" si="14"/>
        <v>0.89743589743589747</v>
      </c>
    </row>
    <row r="146" spans="1:22">
      <c r="A146" s="1">
        <v>46266</v>
      </c>
      <c r="B146" t="s">
        <v>20</v>
      </c>
      <c r="C146">
        <v>1</v>
      </c>
      <c r="D146">
        <v>40</v>
      </c>
      <c r="E146">
        <v>35</v>
      </c>
      <c r="F146">
        <v>16</v>
      </c>
      <c r="G146">
        <v>5847</v>
      </c>
      <c r="H146">
        <v>5878</v>
      </c>
      <c r="I146">
        <v>11</v>
      </c>
      <c r="J146">
        <v>10</v>
      </c>
      <c r="K146" s="2">
        <v>0.38366899999999998</v>
      </c>
      <c r="L146" s="2">
        <v>0.79512700000000003</v>
      </c>
      <c r="M146">
        <v>10990</v>
      </c>
      <c r="N146">
        <v>36</v>
      </c>
      <c r="O146">
        <v>4</v>
      </c>
      <c r="P146">
        <v>32</v>
      </c>
      <c r="Q146">
        <v>8</v>
      </c>
      <c r="R146" t="str">
        <f t="shared" si="10"/>
        <v>2026-09</v>
      </c>
      <c r="S146" s="3">
        <f t="shared" si="11"/>
        <v>9.8749920000000007</v>
      </c>
      <c r="T146" s="3">
        <f t="shared" si="12"/>
        <v>5.0879629629629628</v>
      </c>
      <c r="U146" s="4">
        <f t="shared" si="13"/>
        <v>167.05714285714285</v>
      </c>
      <c r="V146" s="5">
        <f t="shared" si="14"/>
        <v>0.875</v>
      </c>
    </row>
    <row r="147" spans="1:22">
      <c r="A147" s="1">
        <v>46267</v>
      </c>
      <c r="B147" t="s">
        <v>20</v>
      </c>
      <c r="C147">
        <v>1</v>
      </c>
      <c r="D147">
        <v>23</v>
      </c>
      <c r="E147">
        <v>20</v>
      </c>
      <c r="F147">
        <v>13</v>
      </c>
      <c r="G147">
        <v>5545</v>
      </c>
      <c r="H147">
        <v>5545</v>
      </c>
      <c r="I147">
        <v>13</v>
      </c>
      <c r="J147">
        <v>13</v>
      </c>
      <c r="K147" s="2">
        <v>0.445023</v>
      </c>
      <c r="L147" s="2">
        <v>0.74924800000000003</v>
      </c>
      <c r="M147">
        <v>10766</v>
      </c>
      <c r="N147">
        <v>23</v>
      </c>
      <c r="O147">
        <v>1</v>
      </c>
      <c r="P147">
        <v>19</v>
      </c>
      <c r="Q147">
        <v>8</v>
      </c>
      <c r="R147" t="str">
        <f t="shared" si="10"/>
        <v>2026-09</v>
      </c>
      <c r="S147" s="3">
        <f t="shared" si="11"/>
        <v>7.301400000000001</v>
      </c>
      <c r="T147" s="3">
        <f t="shared" si="12"/>
        <v>7.8014492753623186</v>
      </c>
      <c r="U147" s="4">
        <f t="shared" si="13"/>
        <v>277.25</v>
      </c>
      <c r="V147" s="5">
        <f t="shared" si="14"/>
        <v>0.86956521739130432</v>
      </c>
    </row>
    <row r="148" spans="1:22">
      <c r="A148" s="1">
        <v>46268</v>
      </c>
      <c r="B148" t="s">
        <v>20</v>
      </c>
      <c r="C148">
        <v>1</v>
      </c>
      <c r="D148">
        <v>15</v>
      </c>
      <c r="E148">
        <v>13</v>
      </c>
      <c r="F148">
        <v>7</v>
      </c>
      <c r="G148">
        <v>4760</v>
      </c>
      <c r="H148">
        <v>4860</v>
      </c>
      <c r="I148">
        <v>12</v>
      </c>
      <c r="J148">
        <v>11</v>
      </c>
      <c r="K148" s="2">
        <v>0.59665500000000005</v>
      </c>
      <c r="L148" s="2">
        <v>0.71142399999999995</v>
      </c>
      <c r="M148">
        <v>4707</v>
      </c>
      <c r="N148">
        <v>14</v>
      </c>
      <c r="O148">
        <v>0</v>
      </c>
      <c r="P148">
        <v>13</v>
      </c>
      <c r="Q148">
        <v>5</v>
      </c>
      <c r="R148" t="str">
        <f t="shared" si="10"/>
        <v>2026-09</v>
      </c>
      <c r="S148" s="3">
        <f t="shared" si="11"/>
        <v>2.7544559999999976</v>
      </c>
      <c r="T148" s="3">
        <f t="shared" si="12"/>
        <v>5.6035714285714286</v>
      </c>
      <c r="U148" s="4">
        <f t="shared" si="13"/>
        <v>366.15384615384613</v>
      </c>
      <c r="V148" s="5">
        <f t="shared" si="14"/>
        <v>0.8666666666666667</v>
      </c>
    </row>
    <row r="149" spans="1:22">
      <c r="A149" s="1">
        <v>46269</v>
      </c>
      <c r="B149" t="s">
        <v>20</v>
      </c>
      <c r="C149">
        <v>1</v>
      </c>
      <c r="D149">
        <v>45</v>
      </c>
      <c r="E149">
        <v>34</v>
      </c>
      <c r="F149">
        <v>18</v>
      </c>
      <c r="G149">
        <v>5995</v>
      </c>
      <c r="H149">
        <v>6006</v>
      </c>
      <c r="I149">
        <v>5</v>
      </c>
      <c r="J149">
        <v>5</v>
      </c>
      <c r="K149" s="2">
        <v>0.45365699999999998</v>
      </c>
      <c r="L149" s="2">
        <v>0.80379599999999995</v>
      </c>
      <c r="M149">
        <v>23049</v>
      </c>
      <c r="N149">
        <v>45</v>
      </c>
      <c r="O149">
        <v>5</v>
      </c>
      <c r="P149">
        <v>42</v>
      </c>
      <c r="Q149">
        <v>11</v>
      </c>
      <c r="R149" t="str">
        <f t="shared" si="10"/>
        <v>2026-09</v>
      </c>
      <c r="S149" s="3">
        <f t="shared" si="11"/>
        <v>8.4033359999999995</v>
      </c>
      <c r="T149" s="3">
        <f t="shared" si="12"/>
        <v>8.5366666666666671</v>
      </c>
      <c r="U149" s="4">
        <f t="shared" si="13"/>
        <v>176.3235294117647</v>
      </c>
      <c r="V149" s="5">
        <f t="shared" si="14"/>
        <v>0.75555555555555554</v>
      </c>
    </row>
    <row r="150" spans="1:22">
      <c r="A150" s="1">
        <v>46270</v>
      </c>
      <c r="B150" t="s">
        <v>20</v>
      </c>
      <c r="C150">
        <v>0</v>
      </c>
      <c r="D150">
        <v>28</v>
      </c>
      <c r="E150">
        <v>25</v>
      </c>
      <c r="F150">
        <v>13</v>
      </c>
      <c r="G150">
        <v>2908</v>
      </c>
      <c r="H150">
        <v>2908</v>
      </c>
      <c r="I150">
        <v>3</v>
      </c>
      <c r="J150">
        <v>3</v>
      </c>
      <c r="K150" s="2">
        <v>0.56318299999999999</v>
      </c>
      <c r="L150" s="2">
        <v>0.702685</v>
      </c>
      <c r="M150">
        <v>7392</v>
      </c>
      <c r="N150">
        <v>27</v>
      </c>
      <c r="O150">
        <v>2</v>
      </c>
      <c r="P150">
        <v>26</v>
      </c>
      <c r="Q150">
        <v>6</v>
      </c>
      <c r="R150" t="str">
        <f t="shared" si="10"/>
        <v>2026-09</v>
      </c>
      <c r="S150" s="3">
        <f t="shared" si="11"/>
        <v>3.3480480000000004</v>
      </c>
      <c r="T150" s="3">
        <f t="shared" si="12"/>
        <v>4.5629629629629624</v>
      </c>
      <c r="U150" s="4">
        <f t="shared" si="13"/>
        <v>116.32</v>
      </c>
      <c r="V150" s="5">
        <f t="shared" si="14"/>
        <v>0.8928571428571429</v>
      </c>
    </row>
    <row r="151" spans="1:22">
      <c r="A151" s="1">
        <v>46272</v>
      </c>
      <c r="B151" t="s">
        <v>20</v>
      </c>
      <c r="C151">
        <v>1</v>
      </c>
      <c r="D151">
        <v>82</v>
      </c>
      <c r="E151">
        <v>63</v>
      </c>
      <c r="F151">
        <v>28</v>
      </c>
      <c r="G151">
        <v>9219</v>
      </c>
      <c r="H151">
        <v>9890</v>
      </c>
      <c r="I151">
        <v>15</v>
      </c>
      <c r="J151">
        <v>14</v>
      </c>
      <c r="K151" s="2">
        <v>0.35924800000000001</v>
      </c>
      <c r="L151" s="2">
        <v>0.76690999999999998</v>
      </c>
      <c r="M151">
        <v>13115</v>
      </c>
      <c r="N151">
        <v>80</v>
      </c>
      <c r="O151">
        <v>2</v>
      </c>
      <c r="P151">
        <v>66</v>
      </c>
      <c r="Q151">
        <v>28</v>
      </c>
      <c r="R151" t="str">
        <f t="shared" si="10"/>
        <v>2026-09</v>
      </c>
      <c r="S151" s="3">
        <f t="shared" si="11"/>
        <v>9.7838879999999993</v>
      </c>
      <c r="T151" s="3">
        <f t="shared" si="12"/>
        <v>2.7322916666666668</v>
      </c>
      <c r="U151" s="4">
        <f t="shared" si="13"/>
        <v>146.33333333333334</v>
      </c>
      <c r="V151" s="5">
        <f t="shared" si="14"/>
        <v>0.76829268292682928</v>
      </c>
    </row>
    <row r="152" spans="1:22">
      <c r="A152" s="1">
        <v>46273</v>
      </c>
      <c r="B152" t="s">
        <v>20</v>
      </c>
      <c r="C152">
        <v>1</v>
      </c>
      <c r="D152">
        <v>18</v>
      </c>
      <c r="E152">
        <v>17</v>
      </c>
      <c r="F152">
        <v>11</v>
      </c>
      <c r="G152">
        <v>5806</v>
      </c>
      <c r="H152">
        <v>5879</v>
      </c>
      <c r="I152">
        <v>6</v>
      </c>
      <c r="J152">
        <v>5</v>
      </c>
      <c r="K152" s="2">
        <v>0.47185199999999999</v>
      </c>
      <c r="L152" s="2">
        <v>0.70766200000000001</v>
      </c>
      <c r="M152">
        <v>6208</v>
      </c>
      <c r="N152">
        <v>16</v>
      </c>
      <c r="O152">
        <v>1</v>
      </c>
      <c r="P152">
        <v>15</v>
      </c>
      <c r="Q152">
        <v>8</v>
      </c>
      <c r="R152" t="str">
        <f t="shared" si="10"/>
        <v>2026-09</v>
      </c>
      <c r="S152" s="3">
        <f t="shared" si="11"/>
        <v>5.65944</v>
      </c>
      <c r="T152" s="3">
        <f t="shared" si="12"/>
        <v>6.4666666666666668</v>
      </c>
      <c r="U152" s="4">
        <f t="shared" si="13"/>
        <v>341.52941176470586</v>
      </c>
      <c r="V152" s="5">
        <f t="shared" si="14"/>
        <v>0.94444444444444442</v>
      </c>
    </row>
    <row r="153" spans="1:22">
      <c r="A153" s="1">
        <v>46274</v>
      </c>
      <c r="B153" t="s">
        <v>20</v>
      </c>
      <c r="C153">
        <v>1</v>
      </c>
      <c r="D153">
        <v>53</v>
      </c>
      <c r="E153">
        <v>41</v>
      </c>
      <c r="F153">
        <v>19</v>
      </c>
      <c r="G153">
        <v>4022</v>
      </c>
      <c r="H153">
        <v>4162</v>
      </c>
      <c r="I153">
        <v>6</v>
      </c>
      <c r="J153">
        <v>5</v>
      </c>
      <c r="K153" s="2">
        <v>0.43697900000000001</v>
      </c>
      <c r="L153" s="2">
        <v>0.78325199999999995</v>
      </c>
      <c r="M153">
        <v>13701</v>
      </c>
      <c r="N153">
        <v>49</v>
      </c>
      <c r="O153">
        <v>4</v>
      </c>
      <c r="P153">
        <v>45</v>
      </c>
      <c r="Q153">
        <v>23</v>
      </c>
      <c r="R153" t="str">
        <f t="shared" si="10"/>
        <v>2026-09</v>
      </c>
      <c r="S153" s="3">
        <f t="shared" si="11"/>
        <v>8.3105519999999977</v>
      </c>
      <c r="T153" s="3">
        <f t="shared" si="12"/>
        <v>4.6602040816326529</v>
      </c>
      <c r="U153" s="4">
        <f t="shared" si="13"/>
        <v>98.097560975609753</v>
      </c>
      <c r="V153" s="5">
        <f t="shared" si="14"/>
        <v>0.77358490566037741</v>
      </c>
    </row>
    <row r="154" spans="1:22">
      <c r="A154" s="1">
        <v>46275</v>
      </c>
      <c r="B154" t="s">
        <v>20</v>
      </c>
      <c r="C154">
        <v>1</v>
      </c>
      <c r="D154">
        <v>15</v>
      </c>
      <c r="E154">
        <v>13</v>
      </c>
      <c r="F154">
        <v>7</v>
      </c>
      <c r="G154">
        <v>1719</v>
      </c>
      <c r="H154">
        <v>1719</v>
      </c>
      <c r="I154">
        <v>2</v>
      </c>
      <c r="J154">
        <v>2</v>
      </c>
      <c r="K154" s="2">
        <v>0.57599500000000003</v>
      </c>
      <c r="L154" s="2">
        <v>0.74746500000000005</v>
      </c>
      <c r="M154">
        <v>5129</v>
      </c>
      <c r="N154">
        <v>14</v>
      </c>
      <c r="O154">
        <v>1</v>
      </c>
      <c r="P154">
        <v>15</v>
      </c>
      <c r="Q154">
        <v>7</v>
      </c>
      <c r="R154" t="str">
        <f t="shared" si="10"/>
        <v>2026-09</v>
      </c>
      <c r="S154" s="3">
        <f t="shared" si="11"/>
        <v>4.1152800000000003</v>
      </c>
      <c r="T154" s="3">
        <f t="shared" si="12"/>
        <v>6.1059523809523801</v>
      </c>
      <c r="U154" s="4">
        <f t="shared" si="13"/>
        <v>132.23076923076923</v>
      </c>
      <c r="V154" s="5">
        <f t="shared" si="14"/>
        <v>0.8666666666666667</v>
      </c>
    </row>
    <row r="155" spans="1:22">
      <c r="A155" s="1">
        <v>46276</v>
      </c>
      <c r="B155" t="s">
        <v>20</v>
      </c>
      <c r="C155">
        <v>1</v>
      </c>
      <c r="D155">
        <v>42</v>
      </c>
      <c r="E155">
        <v>32</v>
      </c>
      <c r="F155">
        <v>15</v>
      </c>
      <c r="G155">
        <v>6689</v>
      </c>
      <c r="H155">
        <v>6789</v>
      </c>
      <c r="I155">
        <v>8</v>
      </c>
      <c r="J155">
        <v>7</v>
      </c>
      <c r="K155" s="2">
        <v>0.45297500000000002</v>
      </c>
      <c r="L155" s="2">
        <v>0.79691000000000001</v>
      </c>
      <c r="M155">
        <v>12545</v>
      </c>
      <c r="N155">
        <v>39</v>
      </c>
      <c r="O155">
        <v>3</v>
      </c>
      <c r="P155">
        <v>34</v>
      </c>
      <c r="Q155">
        <v>21</v>
      </c>
      <c r="R155" t="str">
        <f t="shared" si="10"/>
        <v>2026-09</v>
      </c>
      <c r="S155" s="3">
        <f t="shared" si="11"/>
        <v>8.2544399999999989</v>
      </c>
      <c r="T155" s="3">
        <f t="shared" si="12"/>
        <v>5.3611111111111116</v>
      </c>
      <c r="U155" s="4">
        <f t="shared" si="13"/>
        <v>209.03125</v>
      </c>
      <c r="V155" s="5">
        <f t="shared" si="14"/>
        <v>0.76190476190476186</v>
      </c>
    </row>
    <row r="156" spans="1:22">
      <c r="A156" s="1">
        <v>46277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3</v>
      </c>
      <c r="K156" s="2"/>
      <c r="L156" s="2"/>
      <c r="M156">
        <v>0</v>
      </c>
      <c r="N156">
        <v>0</v>
      </c>
      <c r="O156">
        <v>0</v>
      </c>
      <c r="P156">
        <v>0</v>
      </c>
      <c r="Q156">
        <v>0</v>
      </c>
      <c r="R156" t="str">
        <f t="shared" si="10"/>
        <v>2026-09</v>
      </c>
      <c r="S156" s="3" t="str">
        <f t="shared" si="11"/>
        <v/>
      </c>
      <c r="T156" s="3" t="str">
        <f t="shared" si="12"/>
        <v/>
      </c>
      <c r="U156" s="4" t="str">
        <f t="shared" si="13"/>
        <v/>
      </c>
      <c r="V156" s="5" t="str">
        <f t="shared" si="14"/>
        <v/>
      </c>
    </row>
    <row r="157" spans="1:22">
      <c r="A157" s="1">
        <v>46278</v>
      </c>
      <c r="B157" t="s">
        <v>20</v>
      </c>
      <c r="C157">
        <v>0</v>
      </c>
      <c r="D157">
        <v>15</v>
      </c>
      <c r="E157">
        <v>11</v>
      </c>
      <c r="F157">
        <v>5</v>
      </c>
      <c r="G157">
        <v>3320</v>
      </c>
      <c r="H157">
        <v>3320</v>
      </c>
      <c r="I157">
        <v>1</v>
      </c>
      <c r="J157">
        <v>1</v>
      </c>
      <c r="K157" s="2">
        <v>0.64980300000000002</v>
      </c>
      <c r="L157" s="2">
        <v>0.70647000000000004</v>
      </c>
      <c r="M157">
        <v>2291</v>
      </c>
      <c r="N157">
        <v>14</v>
      </c>
      <c r="O157">
        <v>0</v>
      </c>
      <c r="P157">
        <v>14</v>
      </c>
      <c r="Q157">
        <v>5</v>
      </c>
      <c r="R157" t="str">
        <f t="shared" si="10"/>
        <v>2026-09</v>
      </c>
      <c r="S157" s="3">
        <f t="shared" si="11"/>
        <v>1.3600080000000005</v>
      </c>
      <c r="T157" s="3">
        <f t="shared" si="12"/>
        <v>2.7273809523809525</v>
      </c>
      <c r="U157" s="4">
        <f t="shared" si="13"/>
        <v>301.81818181818181</v>
      </c>
      <c r="V157" s="5">
        <f t="shared" si="14"/>
        <v>0.73333333333333328</v>
      </c>
    </row>
    <row r="158" spans="1:22">
      <c r="A158" s="1">
        <v>46248</v>
      </c>
      <c r="B158" t="s">
        <v>21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283</v>
      </c>
      <c r="I158">
        <v>3</v>
      </c>
      <c r="J158">
        <v>0</v>
      </c>
      <c r="K158" s="2"/>
      <c r="L158" s="2"/>
      <c r="M158">
        <v>0</v>
      </c>
      <c r="N158">
        <v>0</v>
      </c>
      <c r="O158">
        <v>0</v>
      </c>
      <c r="P158">
        <v>0</v>
      </c>
      <c r="Q158">
        <v>0</v>
      </c>
      <c r="R158" t="str">
        <f t="shared" si="10"/>
        <v>2026-08</v>
      </c>
      <c r="S158" s="3" t="str">
        <f t="shared" si="11"/>
        <v/>
      </c>
      <c r="T158" s="3" t="str">
        <f t="shared" si="12"/>
        <v/>
      </c>
      <c r="U158" s="4" t="str">
        <f t="shared" si="13"/>
        <v/>
      </c>
      <c r="V158" s="5" t="str">
        <f t="shared" si="14"/>
        <v/>
      </c>
    </row>
    <row r="159" spans="1:22">
      <c r="A159" s="1">
        <v>46252</v>
      </c>
      <c r="B159" t="s">
        <v>21</v>
      </c>
      <c r="C159">
        <v>1</v>
      </c>
      <c r="D159">
        <v>19</v>
      </c>
      <c r="E159">
        <v>18</v>
      </c>
      <c r="F159">
        <v>9</v>
      </c>
      <c r="G159">
        <v>2991</v>
      </c>
      <c r="H159">
        <v>3159</v>
      </c>
      <c r="I159">
        <v>3</v>
      </c>
      <c r="J159">
        <v>2</v>
      </c>
      <c r="K159" s="2">
        <v>0.443299</v>
      </c>
      <c r="L159" s="2">
        <v>0.74232600000000004</v>
      </c>
      <c r="M159">
        <v>10671</v>
      </c>
      <c r="N159">
        <v>17</v>
      </c>
      <c r="O159">
        <v>2</v>
      </c>
      <c r="P159">
        <v>17</v>
      </c>
      <c r="Q159">
        <v>2</v>
      </c>
      <c r="R159" t="str">
        <f t="shared" si="10"/>
        <v>2026-08</v>
      </c>
      <c r="S159" s="3">
        <f t="shared" si="11"/>
        <v>7.176648000000001</v>
      </c>
      <c r="T159" s="3">
        <f t="shared" si="12"/>
        <v>10.461764705882354</v>
      </c>
      <c r="U159" s="4">
        <f t="shared" si="13"/>
        <v>166.16666666666666</v>
      </c>
      <c r="V159" s="5">
        <f t="shared" si="14"/>
        <v>0.94736842105263153</v>
      </c>
    </row>
    <row r="160" spans="1:22">
      <c r="A160" s="1">
        <v>46253</v>
      </c>
      <c r="B160" t="s">
        <v>21</v>
      </c>
      <c r="C160">
        <v>1</v>
      </c>
      <c r="D160">
        <v>6</v>
      </c>
      <c r="E160">
        <v>6</v>
      </c>
      <c r="F160">
        <v>5</v>
      </c>
      <c r="G160">
        <v>1568</v>
      </c>
      <c r="H160">
        <v>1568</v>
      </c>
      <c r="I160">
        <v>1</v>
      </c>
      <c r="J160">
        <v>1</v>
      </c>
      <c r="K160" s="2">
        <v>0.45482600000000001</v>
      </c>
      <c r="L160" s="2">
        <v>0.78032400000000002</v>
      </c>
      <c r="M160">
        <v>1688</v>
      </c>
      <c r="N160">
        <v>3</v>
      </c>
      <c r="O160">
        <v>2</v>
      </c>
      <c r="P160">
        <v>6</v>
      </c>
      <c r="Q160">
        <v>1</v>
      </c>
      <c r="R160" t="str">
        <f t="shared" si="10"/>
        <v>2026-08</v>
      </c>
      <c r="S160" s="3">
        <f t="shared" si="11"/>
        <v>7.8119519999999998</v>
      </c>
      <c r="T160" s="3">
        <f t="shared" si="12"/>
        <v>9.3777777777777764</v>
      </c>
      <c r="U160" s="4">
        <f t="shared" si="13"/>
        <v>261.33333333333331</v>
      </c>
      <c r="V160" s="5">
        <f t="shared" si="14"/>
        <v>1</v>
      </c>
    </row>
    <row r="161" spans="1:22">
      <c r="A161" s="1">
        <v>46254</v>
      </c>
      <c r="B161" t="s">
        <v>21</v>
      </c>
      <c r="C161">
        <v>1</v>
      </c>
      <c r="D161">
        <v>34</v>
      </c>
      <c r="E161">
        <v>25</v>
      </c>
      <c r="F161">
        <v>15</v>
      </c>
      <c r="G161">
        <v>3499</v>
      </c>
      <c r="H161">
        <v>3675</v>
      </c>
      <c r="I161">
        <v>4</v>
      </c>
      <c r="J161">
        <v>2</v>
      </c>
      <c r="K161" s="2">
        <v>0.55049800000000004</v>
      </c>
      <c r="L161" s="2">
        <v>0.78515000000000001</v>
      </c>
      <c r="M161">
        <v>16144</v>
      </c>
      <c r="N161">
        <v>33</v>
      </c>
      <c r="O161">
        <v>3</v>
      </c>
      <c r="P161">
        <v>28</v>
      </c>
      <c r="Q161">
        <v>7</v>
      </c>
      <c r="R161" t="str">
        <f t="shared" si="10"/>
        <v>2026-08</v>
      </c>
      <c r="S161" s="3">
        <f t="shared" si="11"/>
        <v>5.6316479999999993</v>
      </c>
      <c r="T161" s="3">
        <f t="shared" si="12"/>
        <v>8.1535353535353536</v>
      </c>
      <c r="U161" s="4">
        <f t="shared" si="13"/>
        <v>139.96</v>
      </c>
      <c r="V161" s="5">
        <f t="shared" si="14"/>
        <v>0.73529411764705888</v>
      </c>
    </row>
    <row r="162" spans="1:22">
      <c r="A162" s="1">
        <v>46255</v>
      </c>
      <c r="B162" t="s">
        <v>21</v>
      </c>
      <c r="C162">
        <v>1</v>
      </c>
      <c r="D162">
        <v>49</v>
      </c>
      <c r="E162">
        <v>31</v>
      </c>
      <c r="F162">
        <v>16</v>
      </c>
      <c r="G162">
        <v>2882</v>
      </c>
      <c r="H162">
        <v>3014</v>
      </c>
      <c r="I162">
        <v>5</v>
      </c>
      <c r="J162">
        <v>4</v>
      </c>
      <c r="K162" s="2">
        <v>0.43697900000000001</v>
      </c>
      <c r="L162" s="2">
        <v>0.72910900000000001</v>
      </c>
      <c r="M162">
        <v>13803</v>
      </c>
      <c r="N162">
        <v>48</v>
      </c>
      <c r="O162">
        <v>2</v>
      </c>
      <c r="P162">
        <v>44</v>
      </c>
      <c r="Q162">
        <v>11</v>
      </c>
      <c r="R162" t="str">
        <f t="shared" si="10"/>
        <v>2026-08</v>
      </c>
      <c r="S162" s="3">
        <f t="shared" si="11"/>
        <v>7.01112</v>
      </c>
      <c r="T162" s="3">
        <f t="shared" si="12"/>
        <v>4.7927083333333336</v>
      </c>
      <c r="U162" s="4">
        <f t="shared" si="13"/>
        <v>92.967741935483872</v>
      </c>
      <c r="V162" s="5">
        <f t="shared" si="14"/>
        <v>0.63265306122448983</v>
      </c>
    </row>
    <row r="163" spans="1:22">
      <c r="A163" s="1">
        <v>46256</v>
      </c>
      <c r="B163" t="s">
        <v>21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 s="2"/>
      <c r="L163" s="2"/>
      <c r="M163">
        <v>0</v>
      </c>
      <c r="N163">
        <v>0</v>
      </c>
      <c r="O163">
        <v>0</v>
      </c>
      <c r="P163">
        <v>0</v>
      </c>
      <c r="Q163">
        <v>0</v>
      </c>
      <c r="R163" t="str">
        <f t="shared" si="10"/>
        <v>2026-08</v>
      </c>
      <c r="S163" s="3" t="str">
        <f t="shared" si="11"/>
        <v/>
      </c>
      <c r="T163" s="3" t="str">
        <f t="shared" si="12"/>
        <v/>
      </c>
      <c r="U163" s="4" t="str">
        <f t="shared" si="13"/>
        <v/>
      </c>
      <c r="V163" s="5" t="str">
        <f t="shared" si="14"/>
        <v/>
      </c>
    </row>
    <row r="164" spans="1:22">
      <c r="A164" s="1">
        <v>46258</v>
      </c>
      <c r="B164" t="s">
        <v>21</v>
      </c>
      <c r="C164">
        <v>1</v>
      </c>
      <c r="D164">
        <v>60</v>
      </c>
      <c r="E164">
        <v>41</v>
      </c>
      <c r="F164">
        <v>12</v>
      </c>
      <c r="G164">
        <v>2360</v>
      </c>
      <c r="H164">
        <v>2360</v>
      </c>
      <c r="I164">
        <v>1</v>
      </c>
      <c r="J164">
        <v>1</v>
      </c>
      <c r="K164" s="2">
        <v>0.56008100000000005</v>
      </c>
      <c r="L164" s="2">
        <v>0.75131899999999996</v>
      </c>
      <c r="M164">
        <v>13100</v>
      </c>
      <c r="N164">
        <v>59</v>
      </c>
      <c r="O164">
        <v>1</v>
      </c>
      <c r="P164">
        <v>57</v>
      </c>
      <c r="Q164">
        <v>18</v>
      </c>
      <c r="R164" t="str">
        <f t="shared" si="10"/>
        <v>2026-08</v>
      </c>
      <c r="S164" s="3">
        <f t="shared" si="11"/>
        <v>4.5897119999999978</v>
      </c>
      <c r="T164" s="3">
        <f t="shared" si="12"/>
        <v>3.7005649717514122</v>
      </c>
      <c r="U164" s="4">
        <f t="shared" si="13"/>
        <v>57.560975609756099</v>
      </c>
      <c r="V164" s="5">
        <f t="shared" si="14"/>
        <v>0.68333333333333335</v>
      </c>
    </row>
    <row r="165" spans="1:22">
      <c r="A165" s="1">
        <v>46259</v>
      </c>
      <c r="B165" t="s">
        <v>21</v>
      </c>
      <c r="C165">
        <v>1</v>
      </c>
      <c r="D165">
        <v>74</v>
      </c>
      <c r="E165">
        <v>57</v>
      </c>
      <c r="F165">
        <v>19</v>
      </c>
      <c r="G165">
        <v>4728</v>
      </c>
      <c r="H165">
        <v>6264</v>
      </c>
      <c r="I165">
        <v>8</v>
      </c>
      <c r="J165">
        <v>2</v>
      </c>
      <c r="K165" s="2">
        <v>0.42886600000000002</v>
      </c>
      <c r="L165" s="2">
        <v>0.80660900000000002</v>
      </c>
      <c r="M165">
        <v>14813</v>
      </c>
      <c r="N165">
        <v>71</v>
      </c>
      <c r="O165">
        <v>3</v>
      </c>
      <c r="P165">
        <v>71</v>
      </c>
      <c r="Q165">
        <v>24</v>
      </c>
      <c r="R165" t="str">
        <f t="shared" si="10"/>
        <v>2026-08</v>
      </c>
      <c r="S165" s="3">
        <f t="shared" si="11"/>
        <v>9.0658320000000003</v>
      </c>
      <c r="T165" s="3">
        <f t="shared" si="12"/>
        <v>3.4772300469483568</v>
      </c>
      <c r="U165" s="4">
        <f t="shared" si="13"/>
        <v>82.94736842105263</v>
      </c>
      <c r="V165" s="5">
        <f t="shared" si="14"/>
        <v>0.77027027027027029</v>
      </c>
    </row>
    <row r="166" spans="1:22">
      <c r="A166" s="1">
        <v>46260</v>
      </c>
      <c r="B166" t="s">
        <v>21</v>
      </c>
      <c r="C166">
        <v>1</v>
      </c>
      <c r="D166">
        <v>69</v>
      </c>
      <c r="E166">
        <v>51</v>
      </c>
      <c r="F166">
        <v>13</v>
      </c>
      <c r="G166">
        <v>3556</v>
      </c>
      <c r="H166">
        <v>4368</v>
      </c>
      <c r="I166">
        <v>7</v>
      </c>
      <c r="J166">
        <v>4</v>
      </c>
      <c r="K166" s="2">
        <v>0.54887699999999995</v>
      </c>
      <c r="L166" s="2">
        <v>0.77803199999999995</v>
      </c>
      <c r="M166">
        <v>15059</v>
      </c>
      <c r="N166">
        <v>69</v>
      </c>
      <c r="O166">
        <v>2</v>
      </c>
      <c r="P166">
        <v>68</v>
      </c>
      <c r="Q166">
        <v>35</v>
      </c>
      <c r="R166" t="str">
        <f t="shared" si="10"/>
        <v>2026-08</v>
      </c>
      <c r="S166" s="3">
        <f t="shared" si="11"/>
        <v>5.4997199999999999</v>
      </c>
      <c r="T166" s="3">
        <f t="shared" si="12"/>
        <v>3.6374396135265696</v>
      </c>
      <c r="U166" s="4">
        <f t="shared" si="13"/>
        <v>69.725490196078425</v>
      </c>
      <c r="V166" s="5">
        <f t="shared" si="14"/>
        <v>0.73913043478260865</v>
      </c>
    </row>
    <row r="167" spans="1:22">
      <c r="A167" s="1">
        <v>46261</v>
      </c>
      <c r="B167" t="s">
        <v>21</v>
      </c>
      <c r="C167">
        <v>1</v>
      </c>
      <c r="D167">
        <v>70</v>
      </c>
      <c r="E167">
        <v>56</v>
      </c>
      <c r="F167">
        <v>21</v>
      </c>
      <c r="G167">
        <v>4502</v>
      </c>
      <c r="H167">
        <v>4502</v>
      </c>
      <c r="I167">
        <v>2</v>
      </c>
      <c r="J167">
        <v>2</v>
      </c>
      <c r="K167" s="2">
        <v>0.447766</v>
      </c>
      <c r="L167" s="2">
        <v>0.79078700000000002</v>
      </c>
      <c r="M167">
        <v>17576</v>
      </c>
      <c r="N167">
        <v>68</v>
      </c>
      <c r="O167">
        <v>2</v>
      </c>
      <c r="P167">
        <v>67</v>
      </c>
      <c r="Q167">
        <v>34</v>
      </c>
      <c r="R167" t="str">
        <f t="shared" si="10"/>
        <v>2026-08</v>
      </c>
      <c r="S167" s="3">
        <f t="shared" si="11"/>
        <v>8.2325040000000005</v>
      </c>
      <c r="T167" s="3">
        <f t="shared" si="12"/>
        <v>4.3078431372549026</v>
      </c>
      <c r="U167" s="4">
        <f t="shared" si="13"/>
        <v>80.392857142857139</v>
      </c>
      <c r="V167" s="5">
        <f t="shared" si="14"/>
        <v>0.8</v>
      </c>
    </row>
    <row r="168" spans="1:22">
      <c r="A168" s="1">
        <v>46262</v>
      </c>
      <c r="B168" t="s">
        <v>21</v>
      </c>
      <c r="C168">
        <v>1</v>
      </c>
      <c r="D168">
        <v>66</v>
      </c>
      <c r="E168">
        <v>53</v>
      </c>
      <c r="F168">
        <v>33</v>
      </c>
      <c r="G168">
        <v>5755</v>
      </c>
      <c r="H168">
        <v>5964</v>
      </c>
      <c r="I168">
        <v>6</v>
      </c>
      <c r="J168">
        <v>5</v>
      </c>
      <c r="K168" s="2">
        <v>0.47922500000000001</v>
      </c>
      <c r="L168" s="2">
        <v>0.79347199999999996</v>
      </c>
      <c r="M168">
        <v>15162</v>
      </c>
      <c r="N168">
        <v>64</v>
      </c>
      <c r="O168">
        <v>2</v>
      </c>
      <c r="P168">
        <v>65</v>
      </c>
      <c r="Q168">
        <v>5</v>
      </c>
      <c r="R168" t="str">
        <f t="shared" si="10"/>
        <v>2026-08</v>
      </c>
      <c r="S168" s="3">
        <f t="shared" si="11"/>
        <v>7.5419279999999986</v>
      </c>
      <c r="T168" s="3">
        <f t="shared" si="12"/>
        <v>3.9484374999999998</v>
      </c>
      <c r="U168" s="4">
        <f t="shared" si="13"/>
        <v>108.58490566037736</v>
      </c>
      <c r="V168" s="5">
        <f t="shared" si="14"/>
        <v>0.80303030303030298</v>
      </c>
    </row>
    <row r="169" spans="1:22">
      <c r="A169" s="1">
        <v>46265</v>
      </c>
      <c r="B169" t="s">
        <v>21</v>
      </c>
      <c r="C169">
        <v>1</v>
      </c>
      <c r="D169">
        <v>55</v>
      </c>
      <c r="E169">
        <v>41</v>
      </c>
      <c r="F169">
        <v>17</v>
      </c>
      <c r="G169">
        <v>4325</v>
      </c>
      <c r="H169">
        <v>4614</v>
      </c>
      <c r="I169">
        <v>3</v>
      </c>
      <c r="J169">
        <v>1</v>
      </c>
      <c r="K169" s="2">
        <v>0.47331000000000001</v>
      </c>
      <c r="L169" s="2">
        <v>0.79005800000000004</v>
      </c>
      <c r="M169">
        <v>16391</v>
      </c>
      <c r="N169">
        <v>53</v>
      </c>
      <c r="O169">
        <v>2</v>
      </c>
      <c r="P169">
        <v>54</v>
      </c>
      <c r="Q169">
        <v>30</v>
      </c>
      <c r="R169" t="str">
        <f t="shared" si="10"/>
        <v>2026-08</v>
      </c>
      <c r="S169" s="3">
        <f t="shared" si="11"/>
        <v>7.6019520000000007</v>
      </c>
      <c r="T169" s="3">
        <f t="shared" si="12"/>
        <v>5.1544025157232705</v>
      </c>
      <c r="U169" s="4">
        <f t="shared" si="13"/>
        <v>105.48780487804878</v>
      </c>
      <c r="V169" s="5">
        <f t="shared" si="14"/>
        <v>0.74545454545454548</v>
      </c>
    </row>
    <row r="170" spans="1:22">
      <c r="A170" s="1">
        <v>46266</v>
      </c>
      <c r="B170" t="s">
        <v>21</v>
      </c>
      <c r="C170">
        <v>1</v>
      </c>
      <c r="D170">
        <v>68</v>
      </c>
      <c r="E170">
        <v>51</v>
      </c>
      <c r="F170">
        <v>21</v>
      </c>
      <c r="G170">
        <v>3892</v>
      </c>
      <c r="H170">
        <v>4098</v>
      </c>
      <c r="I170">
        <v>3</v>
      </c>
      <c r="J170">
        <v>1</v>
      </c>
      <c r="K170" s="2">
        <v>0.46365699999999999</v>
      </c>
      <c r="L170" s="2">
        <v>0.74369200000000002</v>
      </c>
      <c r="M170">
        <v>14853</v>
      </c>
      <c r="N170">
        <v>66</v>
      </c>
      <c r="O170">
        <v>3</v>
      </c>
      <c r="P170">
        <v>67</v>
      </c>
      <c r="Q170">
        <v>1</v>
      </c>
      <c r="R170" t="str">
        <f t="shared" si="10"/>
        <v>2026-09</v>
      </c>
      <c r="S170" s="3">
        <f t="shared" si="11"/>
        <v>6.7208400000000008</v>
      </c>
      <c r="T170" s="3">
        <f t="shared" si="12"/>
        <v>3.7507575757575755</v>
      </c>
      <c r="U170" s="4">
        <f t="shared" si="13"/>
        <v>76.313725490196077</v>
      </c>
      <c r="V170" s="5">
        <f t="shared" si="14"/>
        <v>0.75</v>
      </c>
    </row>
    <row r="171" spans="1:22">
      <c r="A171" s="1">
        <v>46267</v>
      </c>
      <c r="B171" t="s">
        <v>21</v>
      </c>
      <c r="C171">
        <v>1</v>
      </c>
      <c r="D171">
        <v>49</v>
      </c>
      <c r="E171">
        <v>33</v>
      </c>
      <c r="F171">
        <v>10</v>
      </c>
      <c r="G171">
        <v>2608</v>
      </c>
      <c r="H171">
        <v>3277</v>
      </c>
      <c r="I171">
        <v>3</v>
      </c>
      <c r="J171">
        <v>2</v>
      </c>
      <c r="K171" s="2">
        <v>0.44961800000000002</v>
      </c>
      <c r="L171" s="2">
        <v>0.81542800000000004</v>
      </c>
      <c r="M171">
        <v>20742</v>
      </c>
      <c r="N171">
        <v>48</v>
      </c>
      <c r="O171">
        <v>6</v>
      </c>
      <c r="P171">
        <v>47</v>
      </c>
      <c r="Q171">
        <v>20</v>
      </c>
      <c r="R171" t="str">
        <f t="shared" si="10"/>
        <v>2026-09</v>
      </c>
      <c r="S171" s="3">
        <f t="shared" si="11"/>
        <v>8.779440000000001</v>
      </c>
      <c r="T171" s="3">
        <f t="shared" si="12"/>
        <v>7.2020833333333334</v>
      </c>
      <c r="U171" s="4">
        <f t="shared" si="13"/>
        <v>79.030303030303031</v>
      </c>
      <c r="V171" s="5">
        <f t="shared" si="14"/>
        <v>0.67346938775510201</v>
      </c>
    </row>
    <row r="172" spans="1:22">
      <c r="A172" s="1">
        <v>46268</v>
      </c>
      <c r="B172" t="s">
        <v>21</v>
      </c>
      <c r="C172">
        <v>1</v>
      </c>
      <c r="D172">
        <v>37</v>
      </c>
      <c r="E172">
        <v>31</v>
      </c>
      <c r="F172">
        <v>17</v>
      </c>
      <c r="G172">
        <v>2626</v>
      </c>
      <c r="H172">
        <v>3152</v>
      </c>
      <c r="I172">
        <v>9</v>
      </c>
      <c r="J172">
        <v>6</v>
      </c>
      <c r="K172" s="2">
        <v>0.481678</v>
      </c>
      <c r="L172" s="2">
        <v>0.74010399999999998</v>
      </c>
      <c r="M172">
        <v>9119</v>
      </c>
      <c r="N172">
        <v>34</v>
      </c>
      <c r="O172">
        <v>2</v>
      </c>
      <c r="P172">
        <v>35</v>
      </c>
      <c r="Q172">
        <v>8</v>
      </c>
      <c r="R172" t="str">
        <f t="shared" si="10"/>
        <v>2026-09</v>
      </c>
      <c r="S172" s="3">
        <f t="shared" si="11"/>
        <v>6.2022239999999993</v>
      </c>
      <c r="T172" s="3">
        <f t="shared" si="12"/>
        <v>4.4700980392156859</v>
      </c>
      <c r="U172" s="4">
        <f t="shared" si="13"/>
        <v>84.709677419354833</v>
      </c>
      <c r="V172" s="5">
        <f t="shared" si="14"/>
        <v>0.83783783783783783</v>
      </c>
    </row>
    <row r="173" spans="1:22">
      <c r="A173" s="1">
        <v>46269</v>
      </c>
      <c r="B173" t="s">
        <v>21</v>
      </c>
      <c r="C173">
        <v>1</v>
      </c>
      <c r="D173">
        <v>50</v>
      </c>
      <c r="E173">
        <v>44</v>
      </c>
      <c r="F173">
        <v>24</v>
      </c>
      <c r="G173">
        <v>5549</v>
      </c>
      <c r="H173">
        <v>7623</v>
      </c>
      <c r="I173">
        <v>8</v>
      </c>
      <c r="J173">
        <v>3</v>
      </c>
      <c r="K173" s="2">
        <v>0.47732599999999997</v>
      </c>
      <c r="L173" s="2">
        <v>0.83625000000000005</v>
      </c>
      <c r="M173">
        <v>15499</v>
      </c>
      <c r="N173">
        <v>49</v>
      </c>
      <c r="O173">
        <v>2</v>
      </c>
      <c r="P173">
        <v>46</v>
      </c>
      <c r="Q173">
        <v>15</v>
      </c>
      <c r="R173" t="str">
        <f t="shared" si="10"/>
        <v>2026-09</v>
      </c>
      <c r="S173" s="3">
        <f t="shared" si="11"/>
        <v>8.6141760000000023</v>
      </c>
      <c r="T173" s="3">
        <f t="shared" si="12"/>
        <v>5.2717687074829929</v>
      </c>
      <c r="U173" s="4">
        <f t="shared" si="13"/>
        <v>126.11363636363636</v>
      </c>
      <c r="V173" s="5">
        <f t="shared" si="14"/>
        <v>0.88</v>
      </c>
    </row>
    <row r="174" spans="1:22">
      <c r="A174" s="1">
        <v>46272</v>
      </c>
      <c r="B174" t="s">
        <v>21</v>
      </c>
      <c r="C174">
        <v>1</v>
      </c>
      <c r="D174">
        <v>46</v>
      </c>
      <c r="E174">
        <v>37</v>
      </c>
      <c r="F174">
        <v>19</v>
      </c>
      <c r="G174">
        <v>7365</v>
      </c>
      <c r="H174">
        <v>7755</v>
      </c>
      <c r="I174">
        <v>7</v>
      </c>
      <c r="J174">
        <v>4</v>
      </c>
      <c r="K174" s="2">
        <v>0.46564800000000001</v>
      </c>
      <c r="L174" s="2">
        <v>0.79738399999999998</v>
      </c>
      <c r="M174">
        <v>12860</v>
      </c>
      <c r="N174">
        <v>45</v>
      </c>
      <c r="O174">
        <v>1</v>
      </c>
      <c r="P174">
        <v>44</v>
      </c>
      <c r="Q174">
        <v>9</v>
      </c>
      <c r="R174" t="str">
        <f t="shared" si="10"/>
        <v>2026-09</v>
      </c>
      <c r="S174" s="3">
        <f t="shared" si="11"/>
        <v>7.961663999999999</v>
      </c>
      <c r="T174" s="3">
        <f t="shared" si="12"/>
        <v>4.7629629629629626</v>
      </c>
      <c r="U174" s="4">
        <f t="shared" si="13"/>
        <v>199.05405405405406</v>
      </c>
      <c r="V174" s="5">
        <f t="shared" si="14"/>
        <v>0.80434782608695654</v>
      </c>
    </row>
    <row r="175" spans="1:22">
      <c r="A175" s="1">
        <v>46273</v>
      </c>
      <c r="B175" t="s">
        <v>21</v>
      </c>
      <c r="C175">
        <v>1</v>
      </c>
      <c r="D175">
        <v>27</v>
      </c>
      <c r="E175">
        <v>22</v>
      </c>
      <c r="F175">
        <v>13</v>
      </c>
      <c r="G175">
        <v>3643</v>
      </c>
      <c r="H175">
        <v>5700</v>
      </c>
      <c r="I175">
        <v>9</v>
      </c>
      <c r="J175">
        <v>3</v>
      </c>
      <c r="K175" s="2">
        <v>0.45283600000000002</v>
      </c>
      <c r="L175" s="2">
        <v>0.70672500000000005</v>
      </c>
      <c r="M175">
        <v>9656</v>
      </c>
      <c r="N175">
        <v>25</v>
      </c>
      <c r="O175">
        <v>2</v>
      </c>
      <c r="P175">
        <v>23</v>
      </c>
      <c r="Q175">
        <v>8</v>
      </c>
      <c r="R175" t="str">
        <f t="shared" si="10"/>
        <v>2026-09</v>
      </c>
      <c r="S175" s="3">
        <f t="shared" si="11"/>
        <v>6.0933360000000008</v>
      </c>
      <c r="T175" s="3">
        <f t="shared" si="12"/>
        <v>6.4373333333333331</v>
      </c>
      <c r="U175" s="4">
        <f t="shared" si="13"/>
        <v>165.59090909090909</v>
      </c>
      <c r="V175" s="5">
        <f t="shared" si="14"/>
        <v>0.81481481481481477</v>
      </c>
    </row>
    <row r="176" spans="1:22">
      <c r="A176" s="1">
        <v>46274</v>
      </c>
      <c r="B176" t="s">
        <v>21</v>
      </c>
      <c r="C176">
        <v>1</v>
      </c>
      <c r="D176">
        <v>38</v>
      </c>
      <c r="E176">
        <v>25</v>
      </c>
      <c r="F176">
        <v>12</v>
      </c>
      <c r="G176">
        <v>2493</v>
      </c>
      <c r="H176">
        <v>2493</v>
      </c>
      <c r="I176">
        <v>5</v>
      </c>
      <c r="J176">
        <v>5</v>
      </c>
      <c r="K176" s="2">
        <v>0.44903900000000002</v>
      </c>
      <c r="L176" s="2">
        <v>0.78275499999999998</v>
      </c>
      <c r="M176">
        <v>9742</v>
      </c>
      <c r="N176">
        <v>36</v>
      </c>
      <c r="O176">
        <v>4</v>
      </c>
      <c r="P176">
        <v>35</v>
      </c>
      <c r="Q176">
        <v>18</v>
      </c>
      <c r="R176" t="str">
        <f t="shared" si="10"/>
        <v>2026-09</v>
      </c>
      <c r="S176" s="3">
        <f t="shared" si="11"/>
        <v>8.0091839999999994</v>
      </c>
      <c r="T176" s="3">
        <f t="shared" si="12"/>
        <v>4.5101851851851844</v>
      </c>
      <c r="U176" s="4">
        <f t="shared" si="13"/>
        <v>99.72</v>
      </c>
      <c r="V176" s="5">
        <f t="shared" si="14"/>
        <v>0.65789473684210531</v>
      </c>
    </row>
    <row r="177" spans="1:22">
      <c r="A177" s="1">
        <v>46275</v>
      </c>
      <c r="B177" t="s">
        <v>21</v>
      </c>
      <c r="C177">
        <v>1</v>
      </c>
      <c r="D177">
        <v>51</v>
      </c>
      <c r="E177">
        <v>41</v>
      </c>
      <c r="F177">
        <v>16</v>
      </c>
      <c r="G177">
        <v>3161</v>
      </c>
      <c r="H177">
        <v>3214</v>
      </c>
      <c r="I177">
        <v>1</v>
      </c>
      <c r="J177">
        <v>0</v>
      </c>
      <c r="K177" s="2">
        <v>0.458588</v>
      </c>
      <c r="L177" s="2">
        <v>0.79978000000000005</v>
      </c>
      <c r="M177">
        <v>18404</v>
      </c>
      <c r="N177">
        <v>49</v>
      </c>
      <c r="O177">
        <v>4</v>
      </c>
      <c r="P177">
        <v>47</v>
      </c>
      <c r="Q177">
        <v>29</v>
      </c>
      <c r="R177" t="str">
        <f t="shared" si="10"/>
        <v>2026-09</v>
      </c>
      <c r="S177" s="3">
        <f t="shared" si="11"/>
        <v>8.1886080000000021</v>
      </c>
      <c r="T177" s="3">
        <f t="shared" si="12"/>
        <v>6.259863945578231</v>
      </c>
      <c r="U177" s="4">
        <f t="shared" si="13"/>
        <v>77.097560975609753</v>
      </c>
      <c r="V177" s="5">
        <f t="shared" si="14"/>
        <v>0.80392156862745101</v>
      </c>
    </row>
    <row r="178" spans="1:22">
      <c r="A178" s="1">
        <v>46276</v>
      </c>
      <c r="B178" t="s">
        <v>21</v>
      </c>
      <c r="C178">
        <v>1</v>
      </c>
      <c r="D178">
        <v>12</v>
      </c>
      <c r="E178">
        <v>10</v>
      </c>
      <c r="F178">
        <v>4</v>
      </c>
      <c r="G178">
        <v>457</v>
      </c>
      <c r="H178">
        <v>1430</v>
      </c>
      <c r="I178">
        <v>4</v>
      </c>
      <c r="J178">
        <v>3</v>
      </c>
      <c r="K178" s="2">
        <v>0.44733800000000001</v>
      </c>
      <c r="L178" s="2">
        <v>0.49567099999999997</v>
      </c>
      <c r="M178">
        <v>2595</v>
      </c>
      <c r="N178">
        <v>11</v>
      </c>
      <c r="O178">
        <v>0</v>
      </c>
      <c r="P178">
        <v>12</v>
      </c>
      <c r="Q178">
        <v>10</v>
      </c>
      <c r="R178" t="str">
        <f t="shared" si="10"/>
        <v>2026-09</v>
      </c>
      <c r="S178" s="3">
        <f t="shared" si="11"/>
        <v>1.159991999999999</v>
      </c>
      <c r="T178" s="3">
        <f t="shared" si="12"/>
        <v>3.9318181818181817</v>
      </c>
      <c r="U178" s="4">
        <f t="shared" si="13"/>
        <v>45.7</v>
      </c>
      <c r="V178" s="5">
        <f t="shared" si="14"/>
        <v>0.83333333333333337</v>
      </c>
    </row>
    <row r="179" spans="1:22">
      <c r="A179" s="1">
        <v>46277</v>
      </c>
      <c r="B179" t="s">
        <v>21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 s="2"/>
      <c r="L179" s="2"/>
      <c r="M179">
        <v>0</v>
      </c>
      <c r="N179">
        <v>0</v>
      </c>
      <c r="O179">
        <v>0</v>
      </c>
      <c r="P179">
        <v>0</v>
      </c>
      <c r="Q179">
        <v>0</v>
      </c>
      <c r="R179" t="str">
        <f t="shared" si="10"/>
        <v>2026-09</v>
      </c>
      <c r="S179" s="3" t="str">
        <f t="shared" si="11"/>
        <v/>
      </c>
      <c r="T179" s="3" t="str">
        <f t="shared" si="12"/>
        <v/>
      </c>
      <c r="U179" s="4" t="str">
        <f t="shared" si="13"/>
        <v/>
      </c>
      <c r="V179" s="5" t="str">
        <f t="shared" si="14"/>
        <v/>
      </c>
    </row>
    <row r="180" spans="1:22">
      <c r="A180" s="1">
        <v>46241</v>
      </c>
      <c r="B180" t="s">
        <v>22</v>
      </c>
      <c r="C180">
        <v>1</v>
      </c>
      <c r="D180">
        <v>70</v>
      </c>
      <c r="E180">
        <v>49</v>
      </c>
      <c r="F180">
        <v>30</v>
      </c>
      <c r="G180">
        <v>7205</v>
      </c>
      <c r="H180">
        <v>8842</v>
      </c>
      <c r="I180">
        <v>9</v>
      </c>
      <c r="J180">
        <v>3</v>
      </c>
      <c r="K180" s="2">
        <v>0.42877300000000002</v>
      </c>
      <c r="L180" s="2">
        <v>0.74876200000000004</v>
      </c>
      <c r="M180">
        <v>12789</v>
      </c>
      <c r="N180">
        <v>69</v>
      </c>
      <c r="O180">
        <v>0</v>
      </c>
      <c r="P180">
        <v>59</v>
      </c>
      <c r="Q180">
        <v>11</v>
      </c>
      <c r="R180" t="str">
        <f t="shared" si="10"/>
        <v>2026-08</v>
      </c>
      <c r="S180" s="3">
        <f t="shared" si="11"/>
        <v>7.6797360000000001</v>
      </c>
      <c r="T180" s="3">
        <f t="shared" si="12"/>
        <v>3.089130434782609</v>
      </c>
      <c r="U180" s="4">
        <f t="shared" si="13"/>
        <v>147.0408163265306</v>
      </c>
      <c r="V180" s="5">
        <f t="shared" si="14"/>
        <v>0.7</v>
      </c>
    </row>
    <row r="181" spans="1:22">
      <c r="A181" s="1">
        <v>46244</v>
      </c>
      <c r="B181" t="s">
        <v>22</v>
      </c>
      <c r="C181">
        <v>1</v>
      </c>
      <c r="D181">
        <v>80</v>
      </c>
      <c r="E181">
        <v>67</v>
      </c>
      <c r="F181">
        <v>30</v>
      </c>
      <c r="G181">
        <v>5801</v>
      </c>
      <c r="H181">
        <v>6495</v>
      </c>
      <c r="I181">
        <v>6</v>
      </c>
      <c r="J181">
        <v>4</v>
      </c>
      <c r="K181" s="2">
        <v>0.44677099999999997</v>
      </c>
      <c r="L181" s="2">
        <v>0.74750000000000005</v>
      </c>
      <c r="M181">
        <v>12965</v>
      </c>
      <c r="N181">
        <v>78</v>
      </c>
      <c r="O181">
        <v>1</v>
      </c>
      <c r="P181">
        <v>75</v>
      </c>
      <c r="Q181">
        <v>19</v>
      </c>
      <c r="R181" t="str">
        <f t="shared" si="10"/>
        <v>2026-08</v>
      </c>
      <c r="S181" s="3">
        <f t="shared" si="11"/>
        <v>7.2174960000000024</v>
      </c>
      <c r="T181" s="3">
        <f t="shared" si="12"/>
        <v>2.7702991452991457</v>
      </c>
      <c r="U181" s="4">
        <f t="shared" si="13"/>
        <v>86.582089552238813</v>
      </c>
      <c r="V181" s="5">
        <f t="shared" si="14"/>
        <v>0.83750000000000002</v>
      </c>
    </row>
    <row r="182" spans="1:22">
      <c r="A182" s="1">
        <v>46245</v>
      </c>
      <c r="B182" t="s">
        <v>22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 s="2"/>
      <c r="L182" s="2"/>
      <c r="M182">
        <v>0</v>
      </c>
      <c r="N182">
        <v>0</v>
      </c>
      <c r="O182">
        <v>0</v>
      </c>
      <c r="P182">
        <v>0</v>
      </c>
      <c r="Q182">
        <v>0</v>
      </c>
      <c r="R182" t="str">
        <f t="shared" si="10"/>
        <v>2026-08</v>
      </c>
      <c r="S182" s="3" t="str">
        <f t="shared" si="11"/>
        <v/>
      </c>
      <c r="T182" s="3" t="str">
        <f t="shared" si="12"/>
        <v/>
      </c>
      <c r="U182" s="4" t="str">
        <f t="shared" si="13"/>
        <v/>
      </c>
      <c r="V182" s="5" t="str">
        <f t="shared" si="14"/>
        <v/>
      </c>
    </row>
    <row r="183" spans="1:22">
      <c r="A183" s="1">
        <v>46246</v>
      </c>
      <c r="B183" t="s">
        <v>22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2</v>
      </c>
      <c r="K183" s="2"/>
      <c r="L183" s="2"/>
      <c r="M183">
        <v>0</v>
      </c>
      <c r="N183">
        <v>0</v>
      </c>
      <c r="O183">
        <v>0</v>
      </c>
      <c r="P183">
        <v>0</v>
      </c>
      <c r="Q183">
        <v>0</v>
      </c>
      <c r="R183" t="str">
        <f t="shared" si="10"/>
        <v>2026-08</v>
      </c>
      <c r="S183" s="3" t="str">
        <f t="shared" si="11"/>
        <v/>
      </c>
      <c r="T183" s="3" t="str">
        <f t="shared" si="12"/>
        <v/>
      </c>
      <c r="U183" s="4" t="str">
        <f t="shared" si="13"/>
        <v/>
      </c>
      <c r="V183" s="5" t="str">
        <f t="shared" si="14"/>
        <v/>
      </c>
    </row>
    <row r="184" spans="1:22">
      <c r="A184" s="1">
        <v>46247</v>
      </c>
      <c r="B184" t="s">
        <v>22</v>
      </c>
      <c r="C184">
        <v>1</v>
      </c>
      <c r="D184">
        <v>31</v>
      </c>
      <c r="E184">
        <v>26</v>
      </c>
      <c r="F184">
        <v>16</v>
      </c>
      <c r="G184">
        <v>2723</v>
      </c>
      <c r="H184">
        <v>4793</v>
      </c>
      <c r="I184">
        <v>3</v>
      </c>
      <c r="J184">
        <v>2</v>
      </c>
      <c r="K184" s="2">
        <v>0.58462999999999998</v>
      </c>
      <c r="L184" s="2">
        <v>0.74278900000000003</v>
      </c>
      <c r="M184">
        <v>6015</v>
      </c>
      <c r="N184">
        <v>30</v>
      </c>
      <c r="O184">
        <v>0</v>
      </c>
      <c r="P184">
        <v>29</v>
      </c>
      <c r="Q184">
        <v>17</v>
      </c>
      <c r="R184" t="str">
        <f t="shared" si="10"/>
        <v>2026-08</v>
      </c>
      <c r="S184" s="3">
        <f t="shared" si="11"/>
        <v>3.7958160000000012</v>
      </c>
      <c r="T184" s="3">
        <f t="shared" si="12"/>
        <v>3.3416666666666668</v>
      </c>
      <c r="U184" s="4">
        <f t="shared" si="13"/>
        <v>104.73076923076923</v>
      </c>
      <c r="V184" s="5">
        <f t="shared" si="14"/>
        <v>0.83870967741935487</v>
      </c>
    </row>
    <row r="185" spans="1:22">
      <c r="A185" s="1">
        <v>46248</v>
      </c>
      <c r="B185" t="s">
        <v>22</v>
      </c>
      <c r="C185">
        <v>1</v>
      </c>
      <c r="D185">
        <v>69</v>
      </c>
      <c r="E185">
        <v>54</v>
      </c>
      <c r="F185">
        <v>19</v>
      </c>
      <c r="G185">
        <v>5401</v>
      </c>
      <c r="H185">
        <v>6445</v>
      </c>
      <c r="I185">
        <v>8</v>
      </c>
      <c r="J185">
        <v>3</v>
      </c>
      <c r="K185" s="2">
        <v>0.41866900000000001</v>
      </c>
      <c r="L185" s="2">
        <v>0.74113399999999996</v>
      </c>
      <c r="M185">
        <v>11190</v>
      </c>
      <c r="N185">
        <v>67</v>
      </c>
      <c r="O185">
        <v>1</v>
      </c>
      <c r="P185">
        <v>64</v>
      </c>
      <c r="Q185">
        <v>17</v>
      </c>
      <c r="R185" t="str">
        <f t="shared" si="10"/>
        <v>2026-08</v>
      </c>
      <c r="S185" s="3">
        <f t="shared" si="11"/>
        <v>7.7391599999999983</v>
      </c>
      <c r="T185" s="3">
        <f t="shared" si="12"/>
        <v>2.783582089552239</v>
      </c>
      <c r="U185" s="4">
        <f t="shared" si="13"/>
        <v>100.01851851851852</v>
      </c>
      <c r="V185" s="5">
        <f t="shared" si="14"/>
        <v>0.78260869565217395</v>
      </c>
    </row>
    <row r="186" spans="1:22">
      <c r="A186" s="1">
        <v>46249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2</v>
      </c>
      <c r="K186" s="2"/>
      <c r="L186" s="2"/>
      <c r="M186">
        <v>0</v>
      </c>
      <c r="N186">
        <v>0</v>
      </c>
      <c r="O186">
        <v>0</v>
      </c>
      <c r="P186">
        <v>0</v>
      </c>
      <c r="Q186">
        <v>0</v>
      </c>
      <c r="R186" t="str">
        <f t="shared" si="10"/>
        <v>2026-08</v>
      </c>
      <c r="S186" s="3" t="str">
        <f t="shared" si="11"/>
        <v/>
      </c>
      <c r="T186" s="3" t="str">
        <f t="shared" si="12"/>
        <v/>
      </c>
      <c r="U186" s="4" t="str">
        <f t="shared" si="13"/>
        <v/>
      </c>
      <c r="V186" s="5" t="str">
        <f t="shared" si="14"/>
        <v/>
      </c>
    </row>
    <row r="187" spans="1:22">
      <c r="A187" s="1">
        <v>46251</v>
      </c>
      <c r="B187" t="s">
        <v>22</v>
      </c>
      <c r="C187">
        <v>1</v>
      </c>
      <c r="D187">
        <v>68</v>
      </c>
      <c r="E187">
        <v>56</v>
      </c>
      <c r="F187">
        <v>22</v>
      </c>
      <c r="G187">
        <v>5454</v>
      </c>
      <c r="H187">
        <v>5454</v>
      </c>
      <c r="I187">
        <v>2</v>
      </c>
      <c r="J187">
        <v>2</v>
      </c>
      <c r="K187" s="2">
        <v>0.40984999999999999</v>
      </c>
      <c r="L187" s="2">
        <v>0.74967600000000001</v>
      </c>
      <c r="M187">
        <v>10817</v>
      </c>
      <c r="N187">
        <v>65</v>
      </c>
      <c r="O187">
        <v>2</v>
      </c>
      <c r="P187">
        <v>59</v>
      </c>
      <c r="Q187">
        <v>28</v>
      </c>
      <c r="R187" t="str">
        <f t="shared" si="10"/>
        <v>2026-08</v>
      </c>
      <c r="S187" s="3">
        <f t="shared" si="11"/>
        <v>8.1558240000000009</v>
      </c>
      <c r="T187" s="3">
        <f t="shared" si="12"/>
        <v>2.7735897435897439</v>
      </c>
      <c r="U187" s="4">
        <f t="shared" si="13"/>
        <v>97.392857142857139</v>
      </c>
      <c r="V187" s="5">
        <f t="shared" si="14"/>
        <v>0.82352941176470584</v>
      </c>
    </row>
    <row r="188" spans="1:22">
      <c r="A188" s="1">
        <v>46252</v>
      </c>
      <c r="B188" t="s">
        <v>22</v>
      </c>
      <c r="C188">
        <v>1</v>
      </c>
      <c r="D188">
        <v>67</v>
      </c>
      <c r="E188">
        <v>48</v>
      </c>
      <c r="F188">
        <v>17</v>
      </c>
      <c r="G188">
        <v>4580</v>
      </c>
      <c r="H188">
        <v>7333</v>
      </c>
      <c r="I188">
        <v>10</v>
      </c>
      <c r="J188">
        <v>5</v>
      </c>
      <c r="K188" s="2">
        <v>0.38208300000000001</v>
      </c>
      <c r="L188" s="2">
        <v>0.74745399999999995</v>
      </c>
      <c r="M188">
        <v>18327</v>
      </c>
      <c r="N188">
        <v>66</v>
      </c>
      <c r="O188">
        <v>2</v>
      </c>
      <c r="P188">
        <v>58</v>
      </c>
      <c r="Q188">
        <v>33</v>
      </c>
      <c r="R188" t="str">
        <f t="shared" si="10"/>
        <v>2026-08</v>
      </c>
      <c r="S188" s="3">
        <f t="shared" si="11"/>
        <v>8.7689039999999991</v>
      </c>
      <c r="T188" s="3">
        <f t="shared" si="12"/>
        <v>4.6280303030303029</v>
      </c>
      <c r="U188" s="4">
        <f t="shared" si="13"/>
        <v>95.416666666666671</v>
      </c>
      <c r="V188" s="5">
        <f t="shared" si="14"/>
        <v>0.71641791044776115</v>
      </c>
    </row>
    <row r="189" spans="1:22">
      <c r="A189" s="1">
        <v>46253</v>
      </c>
      <c r="B189" t="s">
        <v>22</v>
      </c>
      <c r="C189">
        <v>1</v>
      </c>
      <c r="D189">
        <v>56</v>
      </c>
      <c r="E189">
        <v>49</v>
      </c>
      <c r="F189">
        <v>19</v>
      </c>
      <c r="G189">
        <v>3681</v>
      </c>
      <c r="H189">
        <v>3686</v>
      </c>
      <c r="I189">
        <v>2</v>
      </c>
      <c r="J189">
        <v>2</v>
      </c>
      <c r="K189" s="2">
        <v>0.42392400000000002</v>
      </c>
      <c r="L189" s="2">
        <v>0.63465300000000002</v>
      </c>
      <c r="M189">
        <v>8541</v>
      </c>
      <c r="N189">
        <v>54</v>
      </c>
      <c r="O189">
        <v>2</v>
      </c>
      <c r="P189">
        <v>50</v>
      </c>
      <c r="Q189">
        <v>32</v>
      </c>
      <c r="R189" t="str">
        <f t="shared" si="10"/>
        <v>2026-08</v>
      </c>
      <c r="S189" s="3">
        <f t="shared" si="11"/>
        <v>5.0574960000000004</v>
      </c>
      <c r="T189" s="3">
        <f t="shared" si="12"/>
        <v>2.6361111111111111</v>
      </c>
      <c r="U189" s="4">
        <f t="shared" si="13"/>
        <v>75.122448979591837</v>
      </c>
      <c r="V189" s="5">
        <f t="shared" si="14"/>
        <v>0.875</v>
      </c>
    </row>
    <row r="190" spans="1:22">
      <c r="A190" s="1">
        <v>46254</v>
      </c>
      <c r="B190" t="s">
        <v>22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4</v>
      </c>
      <c r="J190">
        <v>4</v>
      </c>
      <c r="K190" s="2"/>
      <c r="L190" s="2"/>
      <c r="M190">
        <v>0</v>
      </c>
      <c r="N190">
        <v>0</v>
      </c>
      <c r="O190">
        <v>0</v>
      </c>
      <c r="P190">
        <v>0</v>
      </c>
      <c r="Q190">
        <v>0</v>
      </c>
      <c r="R190" t="str">
        <f t="shared" si="10"/>
        <v>2026-08</v>
      </c>
      <c r="S190" s="3" t="str">
        <f t="shared" si="11"/>
        <v/>
      </c>
      <c r="T190" s="3" t="str">
        <f t="shared" si="12"/>
        <v/>
      </c>
      <c r="U190" s="4" t="str">
        <f t="shared" si="13"/>
        <v/>
      </c>
      <c r="V190" s="5" t="str">
        <f t="shared" si="14"/>
        <v/>
      </c>
    </row>
    <row r="191" spans="1:22">
      <c r="A191" s="1">
        <v>46255</v>
      </c>
      <c r="B191" t="s">
        <v>22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 s="2"/>
      <c r="L191" s="2"/>
      <c r="M191">
        <v>0</v>
      </c>
      <c r="N191">
        <v>0</v>
      </c>
      <c r="O191">
        <v>0</v>
      </c>
      <c r="P191">
        <v>0</v>
      </c>
      <c r="Q191">
        <v>0</v>
      </c>
      <c r="R191" t="str">
        <f t="shared" si="10"/>
        <v>2026-08</v>
      </c>
      <c r="S191" s="3" t="str">
        <f t="shared" si="11"/>
        <v/>
      </c>
      <c r="T191" s="3" t="str">
        <f t="shared" si="12"/>
        <v/>
      </c>
      <c r="U191" s="4" t="str">
        <f t="shared" si="13"/>
        <v/>
      </c>
      <c r="V191" s="5" t="str">
        <f t="shared" si="14"/>
        <v/>
      </c>
    </row>
    <row r="192" spans="1:22">
      <c r="A192" s="1">
        <v>46258</v>
      </c>
      <c r="B192" t="s">
        <v>22</v>
      </c>
      <c r="C192">
        <v>1</v>
      </c>
      <c r="D192">
        <v>49</v>
      </c>
      <c r="E192">
        <v>30</v>
      </c>
      <c r="F192">
        <v>15</v>
      </c>
      <c r="G192">
        <v>2885</v>
      </c>
      <c r="H192">
        <v>3567</v>
      </c>
      <c r="I192">
        <v>3</v>
      </c>
      <c r="J192">
        <v>1</v>
      </c>
      <c r="K192" s="2">
        <v>0.458785</v>
      </c>
      <c r="L192" s="2">
        <v>0.64559</v>
      </c>
      <c r="M192">
        <v>11591</v>
      </c>
      <c r="N192">
        <v>48</v>
      </c>
      <c r="O192">
        <v>2</v>
      </c>
      <c r="P192">
        <v>44</v>
      </c>
      <c r="Q192">
        <v>32</v>
      </c>
      <c r="R192" t="str">
        <f t="shared" si="10"/>
        <v>2026-08</v>
      </c>
      <c r="S192" s="3">
        <f t="shared" si="11"/>
        <v>4.48332</v>
      </c>
      <c r="T192" s="3">
        <f t="shared" si="12"/>
        <v>4.0246527777777779</v>
      </c>
      <c r="U192" s="4">
        <f t="shared" si="13"/>
        <v>96.166666666666671</v>
      </c>
      <c r="V192" s="5">
        <f t="shared" si="14"/>
        <v>0.61224489795918369</v>
      </c>
    </row>
    <row r="193" spans="1:22">
      <c r="A193" s="1">
        <v>46259</v>
      </c>
      <c r="B193" t="s">
        <v>22</v>
      </c>
      <c r="C193">
        <v>1</v>
      </c>
      <c r="D193">
        <v>111</v>
      </c>
      <c r="E193">
        <v>76</v>
      </c>
      <c r="F193">
        <v>21</v>
      </c>
      <c r="G193">
        <v>5601</v>
      </c>
      <c r="H193">
        <v>6400</v>
      </c>
      <c r="I193">
        <v>7</v>
      </c>
      <c r="J193">
        <v>3</v>
      </c>
      <c r="K193" s="2">
        <v>0.429398</v>
      </c>
      <c r="L193" s="2">
        <v>0.83780100000000002</v>
      </c>
      <c r="M193">
        <v>15110</v>
      </c>
      <c r="N193">
        <v>108</v>
      </c>
      <c r="O193">
        <v>2</v>
      </c>
      <c r="P193">
        <v>96</v>
      </c>
      <c r="Q193">
        <v>68</v>
      </c>
      <c r="R193" t="str">
        <f t="shared" si="10"/>
        <v>2026-08</v>
      </c>
      <c r="S193" s="3">
        <f t="shared" si="11"/>
        <v>9.8016719999999999</v>
      </c>
      <c r="T193" s="3">
        <f t="shared" si="12"/>
        <v>2.3317901234567904</v>
      </c>
      <c r="U193" s="4">
        <f t="shared" si="13"/>
        <v>73.69736842105263</v>
      </c>
      <c r="V193" s="5">
        <f t="shared" si="14"/>
        <v>0.68468468468468469</v>
      </c>
    </row>
    <row r="194" spans="1:22">
      <c r="A194" s="1">
        <v>46260</v>
      </c>
      <c r="B194" t="s">
        <v>22</v>
      </c>
      <c r="C194">
        <v>1</v>
      </c>
      <c r="D194">
        <v>72</v>
      </c>
      <c r="E194">
        <v>56</v>
      </c>
      <c r="F194">
        <v>20</v>
      </c>
      <c r="G194">
        <v>4102</v>
      </c>
      <c r="H194">
        <v>4438</v>
      </c>
      <c r="I194">
        <v>6</v>
      </c>
      <c r="J194">
        <v>3</v>
      </c>
      <c r="K194" s="2">
        <v>0.38902799999999998</v>
      </c>
      <c r="L194" s="2">
        <v>0.74456</v>
      </c>
      <c r="M194">
        <v>21203</v>
      </c>
      <c r="N194">
        <v>71</v>
      </c>
      <c r="O194">
        <v>2</v>
      </c>
      <c r="P194">
        <v>66</v>
      </c>
      <c r="Q194">
        <v>40</v>
      </c>
      <c r="R194" t="str">
        <f t="shared" si="10"/>
        <v>2026-08</v>
      </c>
      <c r="S194" s="3">
        <f t="shared" si="11"/>
        <v>8.5327680000000008</v>
      </c>
      <c r="T194" s="3">
        <f t="shared" si="12"/>
        <v>4.9772300469483577</v>
      </c>
      <c r="U194" s="4">
        <f t="shared" si="13"/>
        <v>73.25</v>
      </c>
      <c r="V194" s="5">
        <f t="shared" si="14"/>
        <v>0.77777777777777779</v>
      </c>
    </row>
    <row r="195" spans="1:22">
      <c r="A195" s="1">
        <v>46261</v>
      </c>
      <c r="B195" t="s">
        <v>22</v>
      </c>
      <c r="C195">
        <v>1</v>
      </c>
      <c r="D195">
        <v>68</v>
      </c>
      <c r="E195">
        <v>54</v>
      </c>
      <c r="F195">
        <v>20</v>
      </c>
      <c r="G195">
        <v>4979</v>
      </c>
      <c r="H195">
        <v>5539</v>
      </c>
      <c r="I195">
        <v>8</v>
      </c>
      <c r="J195">
        <v>5</v>
      </c>
      <c r="K195" s="2">
        <v>0.42213000000000001</v>
      </c>
      <c r="L195" s="2">
        <v>0.73592599999999997</v>
      </c>
      <c r="M195">
        <v>16263</v>
      </c>
      <c r="N195">
        <v>68</v>
      </c>
      <c r="O195">
        <v>2</v>
      </c>
      <c r="P195">
        <v>63</v>
      </c>
      <c r="Q195">
        <v>42</v>
      </c>
      <c r="R195" t="str">
        <f t="shared" ref="R195:R209" si="15">TEXT(A195,"yyyy-mm")</f>
        <v>2026-08</v>
      </c>
      <c r="S195" s="3">
        <f t="shared" ref="S195:S209" si="16">IF(K195="","",(L195-K195)*24)</f>
        <v>7.5311039999999991</v>
      </c>
      <c r="T195" s="3">
        <f t="shared" ref="T195:T209" si="17">IF(N195=0,"",M195/N195/60)</f>
        <v>3.9860294117647057</v>
      </c>
      <c r="U195" s="4">
        <f t="shared" ref="U195:U209" si="18">IF(E195=0,"",G195/E195)</f>
        <v>92.203703703703709</v>
      </c>
      <c r="V195" s="5">
        <f t="shared" ref="V195:V209" si="19">IF(D195=0,"",E195/D195)</f>
        <v>0.79411764705882348</v>
      </c>
    </row>
    <row r="196" spans="1:22">
      <c r="A196" s="1">
        <v>46262</v>
      </c>
      <c r="B196" t="s">
        <v>22</v>
      </c>
      <c r="C196">
        <v>1</v>
      </c>
      <c r="D196">
        <v>50</v>
      </c>
      <c r="E196">
        <v>42</v>
      </c>
      <c r="F196">
        <v>21</v>
      </c>
      <c r="G196">
        <v>4244</v>
      </c>
      <c r="H196">
        <v>4440</v>
      </c>
      <c r="I196">
        <v>1</v>
      </c>
      <c r="J196">
        <v>0</v>
      </c>
      <c r="K196" s="2">
        <v>0.447627</v>
      </c>
      <c r="L196" s="2">
        <v>0.69013899999999995</v>
      </c>
      <c r="M196">
        <v>10961</v>
      </c>
      <c r="N196">
        <v>48</v>
      </c>
      <c r="O196">
        <v>1</v>
      </c>
      <c r="P196">
        <v>49</v>
      </c>
      <c r="Q196">
        <v>20</v>
      </c>
      <c r="R196" t="str">
        <f t="shared" si="15"/>
        <v>2026-08</v>
      </c>
      <c r="S196" s="3">
        <f t="shared" si="16"/>
        <v>5.8202879999999988</v>
      </c>
      <c r="T196" s="3">
        <f t="shared" si="17"/>
        <v>3.8059027777777774</v>
      </c>
      <c r="U196" s="4">
        <f t="shared" si="18"/>
        <v>101.04761904761905</v>
      </c>
      <c r="V196" s="5">
        <f t="shared" si="19"/>
        <v>0.84</v>
      </c>
    </row>
    <row r="197" spans="1:22">
      <c r="A197" s="1">
        <v>46265</v>
      </c>
      <c r="B197" t="s">
        <v>22</v>
      </c>
      <c r="C197">
        <v>1</v>
      </c>
      <c r="D197">
        <v>34</v>
      </c>
      <c r="E197">
        <v>25</v>
      </c>
      <c r="F197">
        <v>13</v>
      </c>
      <c r="G197">
        <v>2795</v>
      </c>
      <c r="H197">
        <v>2800</v>
      </c>
      <c r="I197">
        <v>1</v>
      </c>
      <c r="J197">
        <v>1</v>
      </c>
      <c r="K197" s="2">
        <v>0.45863399999999999</v>
      </c>
      <c r="L197" s="2">
        <v>0.66432899999999995</v>
      </c>
      <c r="M197">
        <v>8126</v>
      </c>
      <c r="N197">
        <v>32</v>
      </c>
      <c r="O197">
        <v>2</v>
      </c>
      <c r="P197">
        <v>31</v>
      </c>
      <c r="Q197">
        <v>23</v>
      </c>
      <c r="R197" t="str">
        <f t="shared" si="15"/>
        <v>2026-08</v>
      </c>
      <c r="S197" s="3">
        <f t="shared" si="16"/>
        <v>4.9366799999999991</v>
      </c>
      <c r="T197" s="3">
        <f t="shared" si="17"/>
        <v>4.2322916666666668</v>
      </c>
      <c r="U197" s="4">
        <f t="shared" si="18"/>
        <v>111.8</v>
      </c>
      <c r="V197" s="5">
        <f t="shared" si="19"/>
        <v>0.73529411764705888</v>
      </c>
    </row>
    <row r="198" spans="1:22">
      <c r="A198" s="1">
        <v>46266</v>
      </c>
      <c r="B198" t="s">
        <v>22</v>
      </c>
      <c r="C198">
        <v>1</v>
      </c>
      <c r="D198">
        <v>51</v>
      </c>
      <c r="E198">
        <v>39</v>
      </c>
      <c r="F198">
        <v>15</v>
      </c>
      <c r="G198">
        <v>4018</v>
      </c>
      <c r="H198">
        <v>4946</v>
      </c>
      <c r="I198">
        <v>4</v>
      </c>
      <c r="J198">
        <v>0</v>
      </c>
      <c r="K198" s="2">
        <v>0.437662</v>
      </c>
      <c r="L198" s="2">
        <v>0.74118099999999998</v>
      </c>
      <c r="M198">
        <v>14506</v>
      </c>
      <c r="N198">
        <v>49</v>
      </c>
      <c r="O198">
        <v>3</v>
      </c>
      <c r="P198">
        <v>45</v>
      </c>
      <c r="Q198">
        <v>6</v>
      </c>
      <c r="R198" t="str">
        <f t="shared" si="15"/>
        <v>2026-09</v>
      </c>
      <c r="S198" s="3">
        <f t="shared" si="16"/>
        <v>7.2844559999999996</v>
      </c>
      <c r="T198" s="3">
        <f t="shared" si="17"/>
        <v>4.9340136054421766</v>
      </c>
      <c r="U198" s="4">
        <f t="shared" si="18"/>
        <v>103.02564102564102</v>
      </c>
      <c r="V198" s="5">
        <f t="shared" si="19"/>
        <v>0.76470588235294112</v>
      </c>
    </row>
    <row r="199" spans="1:22">
      <c r="A199" s="1">
        <v>46267</v>
      </c>
      <c r="B199" t="s">
        <v>22</v>
      </c>
      <c r="C199">
        <v>1</v>
      </c>
      <c r="D199">
        <v>49</v>
      </c>
      <c r="E199">
        <v>39</v>
      </c>
      <c r="F199">
        <v>19</v>
      </c>
      <c r="G199">
        <v>4335</v>
      </c>
      <c r="H199">
        <v>5924</v>
      </c>
      <c r="I199">
        <v>5</v>
      </c>
      <c r="J199">
        <v>2</v>
      </c>
      <c r="K199" s="2">
        <v>0.43300899999999998</v>
      </c>
      <c r="L199" s="2">
        <v>0.74253499999999995</v>
      </c>
      <c r="M199">
        <v>7984</v>
      </c>
      <c r="N199">
        <v>46</v>
      </c>
      <c r="O199">
        <v>2</v>
      </c>
      <c r="P199">
        <v>45</v>
      </c>
      <c r="Q199">
        <v>7</v>
      </c>
      <c r="R199" t="str">
        <f t="shared" si="15"/>
        <v>2026-09</v>
      </c>
      <c r="S199" s="3">
        <f t="shared" si="16"/>
        <v>7.4286239999999992</v>
      </c>
      <c r="T199" s="3">
        <f t="shared" si="17"/>
        <v>2.8927536231884057</v>
      </c>
      <c r="U199" s="4">
        <f t="shared" si="18"/>
        <v>111.15384615384616</v>
      </c>
      <c r="V199" s="5">
        <f t="shared" si="19"/>
        <v>0.79591836734693877</v>
      </c>
    </row>
    <row r="200" spans="1:22">
      <c r="A200" s="1">
        <v>46268</v>
      </c>
      <c r="B200" t="s">
        <v>22</v>
      </c>
      <c r="C200">
        <v>1</v>
      </c>
      <c r="D200">
        <v>37</v>
      </c>
      <c r="E200">
        <v>31</v>
      </c>
      <c r="F200">
        <v>19</v>
      </c>
      <c r="G200">
        <v>4615</v>
      </c>
      <c r="H200">
        <v>6946</v>
      </c>
      <c r="I200">
        <v>5</v>
      </c>
      <c r="J200">
        <v>3</v>
      </c>
      <c r="K200" s="2">
        <v>0.43281199999999997</v>
      </c>
      <c r="L200" s="2">
        <v>0.77767399999999998</v>
      </c>
      <c r="M200">
        <v>9934</v>
      </c>
      <c r="N200">
        <v>34</v>
      </c>
      <c r="O200">
        <v>3</v>
      </c>
      <c r="P200">
        <v>35</v>
      </c>
      <c r="Q200">
        <v>8</v>
      </c>
      <c r="R200" t="str">
        <f t="shared" si="15"/>
        <v>2026-09</v>
      </c>
      <c r="S200" s="3">
        <f t="shared" si="16"/>
        <v>8.276688</v>
      </c>
      <c r="T200" s="3">
        <f t="shared" si="17"/>
        <v>4.8696078431372554</v>
      </c>
      <c r="U200" s="4">
        <f t="shared" si="18"/>
        <v>148.87096774193549</v>
      </c>
      <c r="V200" s="5">
        <f t="shared" si="19"/>
        <v>0.83783783783783783</v>
      </c>
    </row>
    <row r="201" spans="1:22">
      <c r="A201" s="1">
        <v>46269</v>
      </c>
      <c r="B201" t="s">
        <v>22</v>
      </c>
      <c r="C201">
        <v>1</v>
      </c>
      <c r="D201">
        <v>40</v>
      </c>
      <c r="E201">
        <v>34</v>
      </c>
      <c r="F201">
        <v>16</v>
      </c>
      <c r="G201">
        <v>4079</v>
      </c>
      <c r="H201">
        <v>5092</v>
      </c>
      <c r="I201">
        <v>11</v>
      </c>
      <c r="J201">
        <v>6</v>
      </c>
      <c r="K201" s="2">
        <v>0.38083299999999998</v>
      </c>
      <c r="L201" s="2">
        <v>0.70410899999999998</v>
      </c>
      <c r="M201">
        <v>11473</v>
      </c>
      <c r="N201">
        <v>38</v>
      </c>
      <c r="O201">
        <v>2</v>
      </c>
      <c r="P201">
        <v>36</v>
      </c>
      <c r="Q201">
        <v>10</v>
      </c>
      <c r="R201" t="str">
        <f t="shared" si="15"/>
        <v>2026-09</v>
      </c>
      <c r="S201" s="3">
        <f t="shared" si="16"/>
        <v>7.7586240000000002</v>
      </c>
      <c r="T201" s="3">
        <f t="shared" si="17"/>
        <v>5.0320175438596495</v>
      </c>
      <c r="U201" s="4">
        <f t="shared" si="18"/>
        <v>119.97058823529412</v>
      </c>
      <c r="V201" s="5">
        <f t="shared" si="19"/>
        <v>0.85</v>
      </c>
    </row>
    <row r="202" spans="1:22">
      <c r="A202" s="1">
        <v>46271</v>
      </c>
      <c r="B202" t="s">
        <v>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 s="2"/>
      <c r="L202" s="2"/>
      <c r="M202">
        <v>0</v>
      </c>
      <c r="N202">
        <v>0</v>
      </c>
      <c r="O202">
        <v>0</v>
      </c>
      <c r="P202">
        <v>0</v>
      </c>
      <c r="Q202">
        <v>0</v>
      </c>
      <c r="R202" t="str">
        <f t="shared" si="15"/>
        <v>2026-09</v>
      </c>
      <c r="S202" s="3" t="str">
        <f t="shared" si="16"/>
        <v/>
      </c>
      <c r="T202" s="3" t="str">
        <f t="shared" si="17"/>
        <v/>
      </c>
      <c r="U202" s="4" t="str">
        <f t="shared" si="18"/>
        <v/>
      </c>
      <c r="V202" s="5" t="str">
        <f t="shared" si="19"/>
        <v/>
      </c>
    </row>
    <row r="203" spans="1:22">
      <c r="A203" s="1">
        <v>46272</v>
      </c>
      <c r="B203" t="s">
        <v>22</v>
      </c>
      <c r="C203">
        <v>1</v>
      </c>
      <c r="D203">
        <v>52</v>
      </c>
      <c r="E203">
        <v>41</v>
      </c>
      <c r="F203">
        <v>17</v>
      </c>
      <c r="G203">
        <v>3519</v>
      </c>
      <c r="H203">
        <v>3519</v>
      </c>
      <c r="I203">
        <v>4</v>
      </c>
      <c r="J203">
        <v>4</v>
      </c>
      <c r="K203" s="2">
        <v>0.45913199999999998</v>
      </c>
      <c r="L203" s="2">
        <v>0.73104199999999997</v>
      </c>
      <c r="M203">
        <v>8277</v>
      </c>
      <c r="N203">
        <v>49</v>
      </c>
      <c r="O203">
        <v>3</v>
      </c>
      <c r="P203">
        <v>43</v>
      </c>
      <c r="Q203">
        <v>22</v>
      </c>
      <c r="R203" t="str">
        <f t="shared" si="15"/>
        <v>2026-09</v>
      </c>
      <c r="S203" s="3">
        <f t="shared" si="16"/>
        <v>6.5258399999999996</v>
      </c>
      <c r="T203" s="3">
        <f t="shared" si="17"/>
        <v>2.8153061224489795</v>
      </c>
      <c r="U203" s="4">
        <f t="shared" si="18"/>
        <v>85.829268292682926</v>
      </c>
      <c r="V203" s="5">
        <f t="shared" si="19"/>
        <v>0.78846153846153844</v>
      </c>
    </row>
    <row r="204" spans="1:22">
      <c r="A204" s="1">
        <v>46273</v>
      </c>
      <c r="B204" t="s">
        <v>22</v>
      </c>
      <c r="C204">
        <v>1</v>
      </c>
      <c r="D204">
        <v>30</v>
      </c>
      <c r="E204">
        <v>26</v>
      </c>
      <c r="F204">
        <v>17</v>
      </c>
      <c r="G204">
        <v>3034</v>
      </c>
      <c r="H204">
        <v>3465</v>
      </c>
      <c r="I204">
        <v>4</v>
      </c>
      <c r="J204">
        <v>2</v>
      </c>
      <c r="K204" s="2">
        <v>0.61619199999999996</v>
      </c>
      <c r="L204" s="2">
        <v>0.70747700000000002</v>
      </c>
      <c r="M204">
        <v>5519</v>
      </c>
      <c r="N204">
        <v>30</v>
      </c>
      <c r="O204">
        <v>0</v>
      </c>
      <c r="P204">
        <v>29</v>
      </c>
      <c r="Q204">
        <v>12</v>
      </c>
      <c r="R204" t="str">
        <f t="shared" si="15"/>
        <v>2026-09</v>
      </c>
      <c r="S204" s="3">
        <f t="shared" si="16"/>
        <v>2.1908400000000015</v>
      </c>
      <c r="T204" s="3">
        <f t="shared" si="17"/>
        <v>3.0661111111111112</v>
      </c>
      <c r="U204" s="4">
        <f t="shared" si="18"/>
        <v>116.69230769230769</v>
      </c>
      <c r="V204" s="5">
        <f t="shared" si="19"/>
        <v>0.8666666666666667</v>
      </c>
    </row>
    <row r="205" spans="1:22">
      <c r="A205" s="1">
        <v>46274</v>
      </c>
      <c r="B205" t="s">
        <v>22</v>
      </c>
      <c r="C205">
        <v>1</v>
      </c>
      <c r="D205">
        <v>51</v>
      </c>
      <c r="E205">
        <v>35</v>
      </c>
      <c r="F205">
        <v>12</v>
      </c>
      <c r="G205">
        <v>5473</v>
      </c>
      <c r="H205">
        <v>6505</v>
      </c>
      <c r="I205">
        <v>10</v>
      </c>
      <c r="J205">
        <v>5</v>
      </c>
      <c r="K205" s="2">
        <v>0.42834499999999998</v>
      </c>
      <c r="L205" s="2">
        <v>0.74697899999999995</v>
      </c>
      <c r="M205">
        <v>7987</v>
      </c>
      <c r="N205">
        <v>48</v>
      </c>
      <c r="O205">
        <v>2</v>
      </c>
      <c r="P205">
        <v>39</v>
      </c>
      <c r="Q205">
        <v>28</v>
      </c>
      <c r="R205" t="str">
        <f t="shared" si="15"/>
        <v>2026-09</v>
      </c>
      <c r="S205" s="3">
        <f t="shared" si="16"/>
        <v>7.6472159999999993</v>
      </c>
      <c r="T205" s="3">
        <f t="shared" si="17"/>
        <v>2.7732638888888892</v>
      </c>
      <c r="U205" s="4">
        <f t="shared" si="18"/>
        <v>156.37142857142857</v>
      </c>
      <c r="V205" s="5">
        <f t="shared" si="19"/>
        <v>0.68627450980392157</v>
      </c>
    </row>
    <row r="206" spans="1:22">
      <c r="A206" s="1">
        <v>46275</v>
      </c>
      <c r="B206" t="s">
        <v>22</v>
      </c>
      <c r="C206">
        <v>1</v>
      </c>
      <c r="D206">
        <v>44</v>
      </c>
      <c r="E206">
        <v>35</v>
      </c>
      <c r="F206">
        <v>21</v>
      </c>
      <c r="G206">
        <v>4919</v>
      </c>
      <c r="H206">
        <v>6248</v>
      </c>
      <c r="I206">
        <v>5</v>
      </c>
      <c r="J206">
        <v>2</v>
      </c>
      <c r="K206" s="2">
        <v>0.38209500000000002</v>
      </c>
      <c r="L206" s="2">
        <v>0.65701399999999999</v>
      </c>
      <c r="M206">
        <v>6740</v>
      </c>
      <c r="N206">
        <v>42</v>
      </c>
      <c r="O206">
        <v>2</v>
      </c>
      <c r="P206">
        <v>39</v>
      </c>
      <c r="Q206">
        <v>29</v>
      </c>
      <c r="R206" t="str">
        <f t="shared" si="15"/>
        <v>2026-09</v>
      </c>
      <c r="S206" s="3">
        <f t="shared" si="16"/>
        <v>6.5980559999999997</v>
      </c>
      <c r="T206" s="3">
        <f t="shared" si="17"/>
        <v>2.6746031746031749</v>
      </c>
      <c r="U206" s="4">
        <f t="shared" si="18"/>
        <v>140.54285714285714</v>
      </c>
      <c r="V206" s="5">
        <f t="shared" si="19"/>
        <v>0.79545454545454541</v>
      </c>
    </row>
    <row r="207" spans="1:22">
      <c r="A207" s="1">
        <v>46276</v>
      </c>
      <c r="B207" t="s">
        <v>22</v>
      </c>
      <c r="C207">
        <v>1</v>
      </c>
      <c r="D207">
        <v>51</v>
      </c>
      <c r="E207">
        <v>40</v>
      </c>
      <c r="F207">
        <v>15</v>
      </c>
      <c r="G207">
        <v>3474</v>
      </c>
      <c r="H207">
        <v>4009</v>
      </c>
      <c r="I207">
        <v>5</v>
      </c>
      <c r="J207">
        <v>1</v>
      </c>
      <c r="K207" s="2">
        <v>0.43053200000000003</v>
      </c>
      <c r="L207" s="2">
        <v>0.745197</v>
      </c>
      <c r="M207">
        <v>10685</v>
      </c>
      <c r="N207">
        <v>48</v>
      </c>
      <c r="O207">
        <v>2</v>
      </c>
      <c r="P207">
        <v>48</v>
      </c>
      <c r="Q207">
        <v>18</v>
      </c>
      <c r="R207" t="str">
        <f t="shared" si="15"/>
        <v>2026-09</v>
      </c>
      <c r="S207" s="3">
        <f t="shared" si="16"/>
        <v>7.5519599999999993</v>
      </c>
      <c r="T207" s="3">
        <f t="shared" si="17"/>
        <v>3.7100694444444442</v>
      </c>
      <c r="U207" s="4">
        <f t="shared" si="18"/>
        <v>86.85</v>
      </c>
      <c r="V207" s="5">
        <f t="shared" si="19"/>
        <v>0.78431372549019607</v>
      </c>
    </row>
    <row r="208" spans="1:22">
      <c r="A208" s="1">
        <v>46277</v>
      </c>
      <c r="B208" t="s">
        <v>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 s="2"/>
      <c r="L208" s="2"/>
      <c r="M208">
        <v>0</v>
      </c>
      <c r="N208">
        <v>0</v>
      </c>
      <c r="O208">
        <v>0</v>
      </c>
      <c r="P208">
        <v>0</v>
      </c>
      <c r="Q208">
        <v>0</v>
      </c>
      <c r="R208" t="str">
        <f t="shared" si="15"/>
        <v>2026-09</v>
      </c>
      <c r="S208" s="3" t="str">
        <f t="shared" si="16"/>
        <v/>
      </c>
      <c r="T208" s="3" t="str">
        <f t="shared" si="17"/>
        <v/>
      </c>
      <c r="U208" s="4" t="str">
        <f t="shared" si="18"/>
        <v/>
      </c>
      <c r="V208" s="5" t="str">
        <f t="shared" si="19"/>
        <v/>
      </c>
    </row>
    <row r="209" spans="1:22">
      <c r="A209" s="1">
        <v>46278</v>
      </c>
      <c r="B209" t="s">
        <v>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 s="2"/>
      <c r="L209" s="2"/>
      <c r="M209">
        <v>0</v>
      </c>
      <c r="N209">
        <v>0</v>
      </c>
      <c r="O209">
        <v>0</v>
      </c>
      <c r="P209">
        <v>0</v>
      </c>
      <c r="Q209">
        <v>0</v>
      </c>
      <c r="R209" t="str">
        <f t="shared" si="15"/>
        <v>2026-09</v>
      </c>
      <c r="S209" s="3" t="str">
        <f t="shared" si="16"/>
        <v/>
      </c>
      <c r="T209" s="3" t="str">
        <f t="shared" si="17"/>
        <v/>
      </c>
      <c r="U209" s="4" t="str">
        <f t="shared" si="18"/>
        <v/>
      </c>
      <c r="V209" s="5" t="str">
        <f t="shared" si="19"/>
        <v/>
      </c>
    </row>
  </sheetData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BC9E-850F-8546-ABE9-2A4412DFDD4A}">
  <dimension ref="A1:V30"/>
  <sheetViews>
    <sheetView workbookViewId="0">
      <pane xSplit="1" topLeftCell="J1" activePane="topRight" state="frozen"/>
      <selection pane="topRight"/>
    </sheetView>
  </sheetViews>
  <sheetFormatPr baseColWidth="10" defaultRowHeight="20"/>
  <cols>
    <col min="1" max="1" width="87.5703125" bestFit="1" customWidth="1"/>
    <col min="2" max="2" width="21.42578125" bestFit="1" customWidth="1"/>
    <col min="3" max="3" width="8.5703125" bestFit="1" customWidth="1"/>
    <col min="4" max="4" width="8.42578125" bestFit="1" customWidth="1"/>
    <col min="5" max="5" width="9.42578125" bestFit="1" customWidth="1"/>
    <col min="6" max="6" width="13.7109375" bestFit="1" customWidth="1"/>
    <col min="7" max="7" width="9.28515625" bestFit="1" customWidth="1"/>
    <col min="8" max="9" width="9.42578125" bestFit="1" customWidth="1"/>
    <col min="10" max="10" width="6.85546875" bestFit="1" customWidth="1"/>
    <col min="11" max="11" width="10.28515625" bestFit="1" customWidth="1"/>
    <col min="12" max="12" width="10.42578125" bestFit="1" customWidth="1"/>
    <col min="13" max="13" width="10.28515625" bestFit="1" customWidth="1"/>
    <col min="14" max="14" width="9.42578125" bestFit="1" customWidth="1"/>
    <col min="15" max="15" width="10.28515625" bestFit="1" customWidth="1"/>
    <col min="16" max="16" width="10.42578125" bestFit="1" customWidth="1"/>
    <col min="17" max="17" width="9.42578125" bestFit="1" customWidth="1"/>
    <col min="18" max="18" width="10.28515625" bestFit="1" customWidth="1"/>
    <col min="19" max="19" width="6.85546875" bestFit="1" customWidth="1"/>
    <col min="20" max="21" width="10.28515625" bestFit="1" customWidth="1"/>
    <col min="22" max="22" width="8.5703125" bestFit="1" customWidth="1"/>
  </cols>
  <sheetData>
    <row r="1" spans="1:22" ht="24">
      <c r="A1" s="9" t="s">
        <v>28</v>
      </c>
    </row>
    <row r="2" spans="1:22">
      <c r="A2" s="10" t="s">
        <v>29</v>
      </c>
    </row>
    <row r="3" spans="1:22">
      <c r="B3" s="6" t="s">
        <v>30</v>
      </c>
      <c r="D3" t="s">
        <v>31</v>
      </c>
      <c r="E3" s="11">
        <v>20</v>
      </c>
      <c r="F3" t="s">
        <v>32</v>
      </c>
      <c r="G3" s="11">
        <v>9</v>
      </c>
    </row>
    <row r="4" spans="1:22">
      <c r="A4" s="6" t="s">
        <v>33</v>
      </c>
      <c r="B4" s="11" t="s">
        <v>31</v>
      </c>
    </row>
    <row r="5" spans="1:22" ht="34" customHeight="1">
      <c r="A5" s="12" t="s">
        <v>1</v>
      </c>
      <c r="B5" s="12" t="s">
        <v>34</v>
      </c>
      <c r="C5" s="12" t="s">
        <v>35</v>
      </c>
      <c r="D5" s="12" t="s">
        <v>3</v>
      </c>
      <c r="E5" s="12" t="s">
        <v>36</v>
      </c>
      <c r="F5" s="12" t="s">
        <v>37</v>
      </c>
      <c r="G5" s="12" t="s">
        <v>4</v>
      </c>
      <c r="H5" s="12" t="s">
        <v>38</v>
      </c>
      <c r="I5" s="12" t="s">
        <v>39</v>
      </c>
      <c r="J5" s="12" t="s">
        <v>27</v>
      </c>
      <c r="K5" s="12" t="s">
        <v>26</v>
      </c>
      <c r="L5" s="12" t="s">
        <v>40</v>
      </c>
      <c r="M5" s="12" t="s">
        <v>41</v>
      </c>
      <c r="N5" s="12" t="s">
        <v>42</v>
      </c>
      <c r="O5" s="12" t="s">
        <v>25</v>
      </c>
      <c r="P5" s="12" t="s">
        <v>43</v>
      </c>
      <c r="Q5" s="12" t="s">
        <v>44</v>
      </c>
      <c r="R5" s="12" t="s">
        <v>45</v>
      </c>
      <c r="S5" s="12" t="s">
        <v>8</v>
      </c>
      <c r="T5" s="12" t="s">
        <v>46</v>
      </c>
      <c r="U5" s="12" t="s">
        <v>56</v>
      </c>
      <c r="V5" s="12" t="s">
        <v>47</v>
      </c>
    </row>
    <row r="6" spans="1:22">
      <c r="A6" s="13" t="s">
        <v>48</v>
      </c>
      <c r="B6" s="14">
        <f>COUNTIFS(データ!$B:$B,$A6,データ!$R:$R,$B$4,データ!$D:$D,"&gt;0")</f>
        <v>17</v>
      </c>
      <c r="C6" s="14">
        <f>$E$3</f>
        <v>20</v>
      </c>
      <c r="D6" s="15">
        <f>SUMIFS(データ!$D:$D,データ!$B:$B,$A6,データ!$R:$R,$B$4)</f>
        <v>721</v>
      </c>
      <c r="E6" s="16">
        <f>D6/C6</f>
        <v>36.049999999999997</v>
      </c>
      <c r="F6" s="16">
        <f>D6/B6</f>
        <v>42.411764705882355</v>
      </c>
      <c r="G6" s="15">
        <f>SUMIFS(データ!$E:$E,データ!$B:$B,$A6,データ!$R:$R,$B$4)</f>
        <v>602</v>
      </c>
      <c r="H6" s="16">
        <f>G6/C6</f>
        <v>30.1</v>
      </c>
      <c r="I6" s="16">
        <f>G6/B6</f>
        <v>35.411764705882355</v>
      </c>
      <c r="J6" s="17">
        <f>IFERROR(G6/D6,"")</f>
        <v>0.83495145631067957</v>
      </c>
      <c r="K6" s="14">
        <f>IFERROR(SUMIFS(データ!$G:$G,データ!$B:$B,$A6,データ!$R:$R,$B$4)/G6,"")</f>
        <v>185.34219269102991</v>
      </c>
      <c r="L6" s="17">
        <f>IFERROR(SUMIFS(データ!$F:$F,データ!$B:$B,$A6,データ!$R:$R,$B$4)/G6,"")</f>
        <v>0.52657807308970095</v>
      </c>
      <c r="M6" s="16">
        <f>SUMIFS(データ!$G:$G,データ!$B:$B,$A6,データ!$R:$R,$B$4)/3600</f>
        <v>30.993333333333332</v>
      </c>
      <c r="N6" s="18">
        <f>M6/B6</f>
        <v>1.8231372549019607</v>
      </c>
      <c r="O6" s="16">
        <f>IFERROR(SUMIFS(データ!$M:$M,データ!$B:$B,$A6,データ!$R:$R,$B$4)/SUMIFS(データ!$N:$N,データ!$B:$B,$A6,データ!$R:$R,$B$4)/60,"")</f>
        <v>5.3314047619047624</v>
      </c>
      <c r="P6" s="16">
        <f>SUMIFS(データ!$O:$O,データ!$B:$B,$A6,データ!$R:$R,$B$4)/B6</f>
        <v>2.1176470588235294</v>
      </c>
      <c r="Q6" s="16">
        <f>IFERROR(AVERAGEIFS(データ!$S:$S,データ!$B:$B,$A6,データ!$R:$R,$B$4,データ!$D:$D,"&gt;0"),"")</f>
        <v>7.9579567058823537</v>
      </c>
      <c r="R6" s="17">
        <f>IFERROR(SUMIFS(データ!$H:$H,データ!$B:$B,$A6,データ!$R:$R,$B$4)/3600/B6/Q6,"")</f>
        <v>0.27578350620984438</v>
      </c>
      <c r="S6" s="15">
        <f>SUMIFS(データ!$I:$I,データ!$B:$B,$A6,データ!$R:$R,$B$4)</f>
        <v>210</v>
      </c>
      <c r="T6" s="17">
        <f>IFERROR(SUMIFS(データ!$J:$J,データ!$B:$B,$A6,データ!$R:$R,$B$4)/S6,"")</f>
        <v>0.67142857142857137</v>
      </c>
      <c r="U6" s="15">
        <f>SUMIFS(データ!$P:$P,データ!$B:$B,$A6,データ!$R:$R,$B$4)</f>
        <v>647</v>
      </c>
      <c r="V6" s="19">
        <f>IFERROR(SUMIFS(データ!$Q:$Q,データ!$B:$B,$A6,データ!$R:$R,$B$4)/D6,"")</f>
        <v>0.42857142857142855</v>
      </c>
    </row>
    <row r="7" spans="1:22">
      <c r="A7" s="13" t="s">
        <v>49</v>
      </c>
      <c r="B7" s="14">
        <f>COUNTIFS(データ!$B:$B,$A7,データ!$R:$R,$B$4,データ!$D:$D,"&gt;0")</f>
        <v>20</v>
      </c>
      <c r="C7" s="14">
        <f t="shared" ref="C7:C11" si="0">$E$3</f>
        <v>20</v>
      </c>
      <c r="D7" s="15">
        <f>SUMIFS(データ!$D:$D,データ!$B:$B,$A7,データ!$R:$R,$B$4)</f>
        <v>1130</v>
      </c>
      <c r="E7" s="16">
        <f t="shared" ref="E7:E11" si="1">D7/C7</f>
        <v>56.5</v>
      </c>
      <c r="F7" s="16">
        <f t="shared" ref="F7:F11" si="2">D7/B7</f>
        <v>56.5</v>
      </c>
      <c r="G7" s="15">
        <f>SUMIFS(データ!$E:$E,データ!$B:$B,$A7,データ!$R:$R,$B$4)</f>
        <v>959</v>
      </c>
      <c r="H7" s="16">
        <f t="shared" ref="H7:H11" si="3">G7/C7</f>
        <v>47.95</v>
      </c>
      <c r="I7" s="16">
        <f t="shared" ref="I7:I11" si="4">G7/B7</f>
        <v>47.95</v>
      </c>
      <c r="J7" s="17">
        <f t="shared" ref="J7:J11" si="5">IFERROR(G7/D7,"")</f>
        <v>0.84867256637168142</v>
      </c>
      <c r="K7" s="14">
        <f>IFERROR(SUMIFS(データ!$G:$G,データ!$B:$B,$A7,データ!$R:$R,$B$4)/G7,"")</f>
        <v>214.53597497393119</v>
      </c>
      <c r="L7" s="17">
        <f>IFERROR(SUMIFS(データ!$F:$F,データ!$B:$B,$A7,データ!$R:$R,$B$4)/G7,"")</f>
        <v>0.55578727841501563</v>
      </c>
      <c r="M7" s="16">
        <f>SUMIFS(データ!$G:$G,データ!$B:$B,$A7,データ!$R:$R,$B$4)/3600</f>
        <v>57.15</v>
      </c>
      <c r="N7" s="18">
        <f t="shared" ref="N7:N11" si="6">M7/B7</f>
        <v>2.8574999999999999</v>
      </c>
      <c r="O7" s="16">
        <f>IFERROR(SUMIFS(データ!$M:$M,データ!$B:$B,$A7,データ!$R:$R,$B$4)/SUMIFS(データ!$N:$N,データ!$B:$B,$A7,データ!$R:$R,$B$4)/60,"")</f>
        <v>4.1334834834834835</v>
      </c>
      <c r="P7" s="16">
        <f>SUMIFS(データ!$O:$O,データ!$B:$B,$A7,データ!$R:$R,$B$4)/B7</f>
        <v>1.7</v>
      </c>
      <c r="Q7" s="16">
        <f>IFERROR(AVERAGEIFS(データ!$S:$S,データ!$B:$B,$A7,データ!$R:$R,$B$4,データ!$D:$D,"&gt;0"),"")</f>
        <v>8.423389199999999</v>
      </c>
      <c r="R7" s="17">
        <f>IFERROR(SUMIFS(データ!$H:$H,データ!$B:$B,$A7,データ!$R:$R,$B$4)/3600/B7/Q7,"")</f>
        <v>0.38886762270623015</v>
      </c>
      <c r="S7" s="15">
        <f>SUMIFS(データ!$I:$I,データ!$B:$B,$A7,データ!$R:$R,$B$4)</f>
        <v>258</v>
      </c>
      <c r="T7" s="17">
        <f>IFERROR(SUMIFS(データ!$J:$J,データ!$B:$B,$A7,データ!$R:$R,$B$4)/S7,"")</f>
        <v>0.74031007751937983</v>
      </c>
      <c r="U7" s="15">
        <f>SUMIFS(データ!$P:$P,データ!$B:$B,$A7,データ!$R:$R,$B$4)</f>
        <v>986</v>
      </c>
      <c r="V7" s="19">
        <f>IFERROR(SUMIFS(データ!$Q:$Q,データ!$B:$B,$A7,データ!$R:$R,$B$4)/D7,"")</f>
        <v>0.56283185840707961</v>
      </c>
    </row>
    <row r="8" spans="1:22">
      <c r="A8" s="13" t="s">
        <v>50</v>
      </c>
      <c r="B8" s="14">
        <f>COUNTIFS(データ!$B:$B,$A8,データ!$R:$R,$B$4,データ!$D:$D,"&gt;0")</f>
        <v>20</v>
      </c>
      <c r="C8" s="14">
        <f t="shared" si="0"/>
        <v>20</v>
      </c>
      <c r="D8" s="15">
        <f>SUMIFS(データ!$D:$D,データ!$B:$B,$A8,データ!$R:$R,$B$4)</f>
        <v>760</v>
      </c>
      <c r="E8" s="16">
        <f t="shared" si="1"/>
        <v>38</v>
      </c>
      <c r="F8" s="16">
        <f t="shared" si="2"/>
        <v>38</v>
      </c>
      <c r="G8" s="15">
        <f>SUMIFS(データ!$E:$E,データ!$B:$B,$A8,データ!$R:$R,$B$4)</f>
        <v>595</v>
      </c>
      <c r="H8" s="16">
        <f t="shared" si="3"/>
        <v>29.75</v>
      </c>
      <c r="I8" s="16">
        <f t="shared" si="4"/>
        <v>29.75</v>
      </c>
      <c r="J8" s="17">
        <f t="shared" si="5"/>
        <v>0.78289473684210531</v>
      </c>
      <c r="K8" s="14">
        <f>IFERROR(SUMIFS(データ!$G:$G,データ!$B:$B,$A8,データ!$R:$R,$B$4)/G8,"")</f>
        <v>199.5361344537815</v>
      </c>
      <c r="L8" s="17">
        <f>IFERROR(SUMIFS(データ!$F:$F,データ!$B:$B,$A8,データ!$R:$R,$B$4)/G8,"")</f>
        <v>0.50756302521008401</v>
      </c>
      <c r="M8" s="16">
        <f>SUMIFS(データ!$G:$G,データ!$B:$B,$A8,データ!$R:$R,$B$4)/3600</f>
        <v>32.978888888888889</v>
      </c>
      <c r="N8" s="18">
        <f t="shared" si="6"/>
        <v>1.6489444444444445</v>
      </c>
      <c r="O8" s="16">
        <f>IFERROR(SUMIFS(データ!$M:$M,データ!$B:$B,$A8,データ!$R:$R,$B$4)/SUMIFS(データ!$N:$N,データ!$B:$B,$A8,データ!$R:$R,$B$4)/60,"")</f>
        <v>6.3291666666666666</v>
      </c>
      <c r="P8" s="16">
        <f>SUMIFS(データ!$O:$O,データ!$B:$B,$A8,データ!$R:$R,$B$4)/B8</f>
        <v>2.95</v>
      </c>
      <c r="Q8" s="16">
        <f>IFERROR(AVERAGEIFS(データ!$S:$S,データ!$B:$B,$A8,データ!$R:$R,$B$4,データ!$D:$D,"&gt;0"),"")</f>
        <v>8.0062656000000008</v>
      </c>
      <c r="R8" s="17">
        <f>IFERROR(SUMIFS(データ!$H:$H,データ!$B:$B,$A8,データ!$R:$R,$B$4)/3600/B8/Q8,"")</f>
        <v>0.24297810232803443</v>
      </c>
      <c r="S8" s="15">
        <f>SUMIFS(データ!$I:$I,データ!$B:$B,$A8,データ!$R:$R,$B$4)</f>
        <v>183</v>
      </c>
      <c r="T8" s="17">
        <f>IFERROR(SUMIFS(データ!$J:$J,データ!$B:$B,$A8,データ!$R:$R,$B$4)/S8,"")</f>
        <v>0.79781420765027322</v>
      </c>
      <c r="U8" s="15">
        <f>SUMIFS(データ!$P:$P,データ!$B:$B,$A8,データ!$R:$R,$B$4)</f>
        <v>640</v>
      </c>
      <c r="V8" s="19">
        <f>IFERROR(SUMIFS(データ!$Q:$Q,データ!$B:$B,$A8,データ!$R:$R,$B$4)/D8,"")</f>
        <v>0.49078947368421055</v>
      </c>
    </row>
    <row r="9" spans="1:22">
      <c r="A9" s="13" t="s">
        <v>51</v>
      </c>
      <c r="B9" s="14">
        <f>COUNTIFS(データ!$B:$B,$A9,データ!$R:$R,$B$4,データ!$D:$D,"&gt;0")</f>
        <v>24</v>
      </c>
      <c r="C9" s="14">
        <f t="shared" si="0"/>
        <v>20</v>
      </c>
      <c r="D9" s="15">
        <f>SUMIFS(データ!$D:$D,データ!$B:$B,$A9,データ!$R:$R,$B$4)</f>
        <v>889</v>
      </c>
      <c r="E9" s="16">
        <f t="shared" si="1"/>
        <v>44.45</v>
      </c>
      <c r="F9" s="16">
        <f t="shared" si="2"/>
        <v>37.041666666666664</v>
      </c>
      <c r="G9" s="15">
        <f>SUMIFS(データ!$E:$E,データ!$B:$B,$A9,データ!$R:$R,$B$4)</f>
        <v>713</v>
      </c>
      <c r="H9" s="16">
        <f t="shared" si="3"/>
        <v>35.65</v>
      </c>
      <c r="I9" s="16">
        <f t="shared" si="4"/>
        <v>29.708333333333332</v>
      </c>
      <c r="J9" s="17">
        <f t="shared" si="5"/>
        <v>0.80202474690663672</v>
      </c>
      <c r="K9" s="14">
        <f>IFERROR(SUMIFS(データ!$G:$G,データ!$B:$B,$A9,データ!$R:$R,$B$4)/G9,"")</f>
        <v>184.63394109396916</v>
      </c>
      <c r="L9" s="17">
        <f>IFERROR(SUMIFS(データ!$F:$F,データ!$B:$B,$A9,データ!$R:$R,$B$4)/G9,"")</f>
        <v>0.54698457223001407</v>
      </c>
      <c r="M9" s="16">
        <f>SUMIFS(データ!$G:$G,データ!$B:$B,$A9,データ!$R:$R,$B$4)/3600</f>
        <v>36.567777777777778</v>
      </c>
      <c r="N9" s="18">
        <f t="shared" si="6"/>
        <v>1.5236574074074074</v>
      </c>
      <c r="O9" s="16">
        <f>IFERROR(SUMIFS(データ!$M:$M,データ!$B:$B,$A9,データ!$R:$R,$B$4)/SUMIFS(データ!$N:$N,データ!$B:$B,$A9,データ!$R:$R,$B$4)/60,"")</f>
        <v>4.4951568627450973</v>
      </c>
      <c r="P9" s="16">
        <f>SUMIFS(データ!$O:$O,データ!$B:$B,$A9,データ!$R:$R,$B$4)/B9</f>
        <v>2.125</v>
      </c>
      <c r="Q9" s="16">
        <f>IFERROR(AVERAGEIFS(データ!$S:$S,データ!$B:$B,$A9,データ!$R:$R,$B$4,データ!$D:$D,"&gt;0"),"")</f>
        <v>6.4893399999999994</v>
      </c>
      <c r="R9" s="17">
        <f>IFERROR(SUMIFS(データ!$H:$H,データ!$B:$B,$A9,データ!$R:$R,$B$4)/3600/B9/Q9,"")</f>
        <v>0.25041067350454749</v>
      </c>
      <c r="S9" s="15">
        <f>SUMIFS(データ!$I:$I,データ!$B:$B,$A9,データ!$R:$R,$B$4)</f>
        <v>188</v>
      </c>
      <c r="T9" s="17">
        <f>IFERROR(SUMIFS(データ!$J:$J,データ!$B:$B,$A9,データ!$R:$R,$B$4)/S9,"")</f>
        <v>0.87765957446808507</v>
      </c>
      <c r="U9" s="15">
        <f>SUMIFS(データ!$P:$P,データ!$B:$B,$A9,データ!$R:$R,$B$4)</f>
        <v>753</v>
      </c>
      <c r="V9" s="19">
        <f>IFERROR(SUMIFS(データ!$Q:$Q,データ!$B:$B,$A9,データ!$R:$R,$B$4)/D9,"")</f>
        <v>0.47244094488188976</v>
      </c>
    </row>
    <row r="10" spans="1:22">
      <c r="A10" s="13" t="s">
        <v>52</v>
      </c>
      <c r="B10" s="14">
        <f>COUNTIFS(データ!$B:$B,$A10,データ!$R:$R,$B$4,データ!$D:$D,"&gt;0")</f>
        <v>10</v>
      </c>
      <c r="C10" s="14">
        <f t="shared" si="0"/>
        <v>20</v>
      </c>
      <c r="D10" s="15">
        <f>SUMIFS(データ!$D:$D,データ!$B:$B,$A10,データ!$R:$R,$B$4)</f>
        <v>502</v>
      </c>
      <c r="E10" s="16">
        <f t="shared" si="1"/>
        <v>25.1</v>
      </c>
      <c r="F10" s="16">
        <f t="shared" si="2"/>
        <v>50.2</v>
      </c>
      <c r="G10" s="15">
        <f>SUMIFS(データ!$E:$E,データ!$B:$B,$A10,データ!$R:$R,$B$4)</f>
        <v>379</v>
      </c>
      <c r="H10" s="16">
        <f t="shared" si="3"/>
        <v>18.95</v>
      </c>
      <c r="I10" s="16">
        <f t="shared" si="4"/>
        <v>37.9</v>
      </c>
      <c r="J10" s="17">
        <f t="shared" si="5"/>
        <v>0.7549800796812749</v>
      </c>
      <c r="K10" s="14">
        <f>IFERROR(SUMIFS(データ!$G:$G,データ!$B:$B,$A10,データ!$R:$R,$B$4)/G10,"")</f>
        <v>95.424802110817936</v>
      </c>
      <c r="L10" s="17">
        <f>IFERROR(SUMIFS(データ!$F:$F,データ!$B:$B,$A10,データ!$R:$R,$B$4)/G10,"")</f>
        <v>0.42216358839050133</v>
      </c>
      <c r="M10" s="16">
        <f>SUMIFS(データ!$G:$G,データ!$B:$B,$A10,データ!$R:$R,$B$4)/3600</f>
        <v>10.046111111111111</v>
      </c>
      <c r="N10" s="18">
        <f t="shared" si="6"/>
        <v>1.0046111111111111</v>
      </c>
      <c r="O10" s="16">
        <f>IFERROR(SUMIFS(データ!$M:$M,データ!$B:$B,$A10,データ!$R:$R,$B$4)/SUMIFS(データ!$N:$N,データ!$B:$B,$A10,データ!$R:$R,$B$4)/60,"")</f>
        <v>4.6187972508591066</v>
      </c>
      <c r="P10" s="16">
        <f>SUMIFS(データ!$O:$O,データ!$B:$B,$A10,データ!$R:$R,$B$4)/B10</f>
        <v>2.1</v>
      </c>
      <c r="Q10" s="16">
        <f>IFERROR(AVERAGEIFS(データ!$S:$S,データ!$B:$B,$A10,データ!$R:$R,$B$4,データ!$D:$D,"&gt;0"),"")</f>
        <v>7.0163016000000002</v>
      </c>
      <c r="R10" s="17">
        <f>IFERROR(SUMIFS(データ!$H:$H,データ!$B:$B,$A10,データ!$R:$R,$B$4)/3600/B10/Q10,"")</f>
        <v>0.15745474795439235</v>
      </c>
      <c r="S10" s="15">
        <f>SUMIFS(データ!$I:$I,データ!$B:$B,$A10,データ!$R:$R,$B$4)</f>
        <v>44</v>
      </c>
      <c r="T10" s="17">
        <f>IFERROR(SUMIFS(データ!$J:$J,データ!$B:$B,$A10,データ!$R:$R,$B$4)/S10,"")</f>
        <v>0.56818181818181823</v>
      </c>
      <c r="U10" s="15">
        <f>SUMIFS(データ!$P:$P,データ!$B:$B,$A10,データ!$R:$R,$B$4)</f>
        <v>477</v>
      </c>
      <c r="V10" s="19">
        <f>IFERROR(SUMIFS(データ!$Q:$Q,データ!$B:$B,$A10,データ!$R:$R,$B$4)/D10,"")</f>
        <v>0.33266932270916333</v>
      </c>
    </row>
    <row r="11" spans="1:22">
      <c r="A11" s="13" t="s">
        <v>53</v>
      </c>
      <c r="B11" s="14">
        <f>COUNTIFS(データ!$B:$B,$A11,データ!$R:$R,$B$4,データ!$D:$D,"&gt;0")</f>
        <v>13</v>
      </c>
      <c r="C11" s="14">
        <f t="shared" si="0"/>
        <v>20</v>
      </c>
      <c r="D11" s="15">
        <f>SUMIFS(データ!$D:$D,データ!$B:$B,$A11,データ!$R:$R,$B$4)</f>
        <v>825</v>
      </c>
      <c r="E11" s="16">
        <f t="shared" si="1"/>
        <v>41.25</v>
      </c>
      <c r="F11" s="16">
        <f t="shared" si="2"/>
        <v>63.46153846153846</v>
      </c>
      <c r="G11" s="15">
        <f>SUMIFS(データ!$E:$E,データ!$B:$B,$A11,データ!$R:$R,$B$4)</f>
        <v>632</v>
      </c>
      <c r="H11" s="16">
        <f t="shared" si="3"/>
        <v>31.6</v>
      </c>
      <c r="I11" s="16">
        <f t="shared" si="4"/>
        <v>48.615384615384613</v>
      </c>
      <c r="J11" s="17">
        <f t="shared" si="5"/>
        <v>0.76606060606060611</v>
      </c>
      <c r="K11" s="14">
        <f>IFERROR(SUMIFS(データ!$G:$G,データ!$B:$B,$A11,データ!$R:$R,$B$4)/G11,"")</f>
        <v>94.068037974683548</v>
      </c>
      <c r="L11" s="17">
        <f>IFERROR(SUMIFS(データ!$F:$F,データ!$B:$B,$A11,データ!$R:$R,$B$4)/G11,"")</f>
        <v>0.41613924050632911</v>
      </c>
      <c r="M11" s="16">
        <f>SUMIFS(データ!$G:$G,データ!$B:$B,$A11,データ!$R:$R,$B$4)/3600</f>
        <v>16.514166666666668</v>
      </c>
      <c r="N11" s="18">
        <f t="shared" si="6"/>
        <v>1.2703205128205128</v>
      </c>
      <c r="O11" s="16">
        <f>IFERROR(SUMIFS(データ!$M:$M,データ!$B:$B,$A11,データ!$R:$R,$B$4)/SUMIFS(データ!$N:$N,データ!$B:$B,$A11,データ!$R:$R,$B$4)/60,"")</f>
        <v>3.3975538971807628</v>
      </c>
      <c r="P11" s="16">
        <f>SUMIFS(データ!$O:$O,データ!$B:$B,$A11,データ!$R:$R,$B$4)/B11</f>
        <v>1.4615384615384615</v>
      </c>
      <c r="Q11" s="16">
        <f>IFERROR(AVERAGEIFS(データ!$S:$S,データ!$B:$B,$A11,データ!$R:$R,$B$4,データ!$D:$D,"&gt;0"),"")</f>
        <v>6.8861741538461549</v>
      </c>
      <c r="R11" s="17">
        <f>IFERROR(SUMIFS(データ!$H:$H,データ!$B:$B,$A11,データ!$R:$R,$B$4)/3600/B11/Q11,"")</f>
        <v>0.2179270705556553</v>
      </c>
      <c r="S11" s="15">
        <f>SUMIFS(データ!$I:$I,データ!$B:$B,$A11,データ!$R:$R,$B$4)</f>
        <v>76</v>
      </c>
      <c r="T11" s="17">
        <f>IFERROR(SUMIFS(データ!$J:$J,データ!$B:$B,$A11,データ!$R:$R,$B$4)/S11,"")</f>
        <v>0.57894736842105265</v>
      </c>
      <c r="U11" s="15">
        <f>SUMIFS(データ!$P:$P,データ!$B:$B,$A11,データ!$R:$R,$B$4)</f>
        <v>743</v>
      </c>
      <c r="V11" s="19">
        <f>IFERROR(SUMIFS(データ!$Q:$Q,データ!$B:$B,$A11,データ!$R:$R,$B$4)/D11,"")</f>
        <v>0.46303030303030301</v>
      </c>
    </row>
    <row r="13" spans="1:22">
      <c r="A13" s="6" t="s">
        <v>54</v>
      </c>
      <c r="B13" s="11" t="s">
        <v>55</v>
      </c>
    </row>
    <row r="14" spans="1:22" ht="34" customHeight="1">
      <c r="A14" s="12" t="s">
        <v>1</v>
      </c>
      <c r="B14" s="12" t="s">
        <v>34</v>
      </c>
      <c r="C14" s="12" t="s">
        <v>35</v>
      </c>
      <c r="D14" s="12" t="s">
        <v>3</v>
      </c>
      <c r="E14" s="12" t="s">
        <v>36</v>
      </c>
      <c r="F14" s="12" t="s">
        <v>37</v>
      </c>
      <c r="G14" s="12" t="s">
        <v>4</v>
      </c>
      <c r="H14" s="12" t="s">
        <v>38</v>
      </c>
      <c r="I14" s="12" t="s">
        <v>39</v>
      </c>
      <c r="J14" s="12" t="s">
        <v>27</v>
      </c>
      <c r="K14" s="12" t="s">
        <v>26</v>
      </c>
      <c r="L14" s="12" t="s">
        <v>40</v>
      </c>
      <c r="M14" s="12" t="s">
        <v>41</v>
      </c>
      <c r="N14" s="12" t="s">
        <v>42</v>
      </c>
      <c r="O14" s="12" t="s">
        <v>25</v>
      </c>
      <c r="P14" s="12" t="s">
        <v>43</v>
      </c>
      <c r="Q14" s="12" t="s">
        <v>44</v>
      </c>
      <c r="R14" s="12" t="s">
        <v>45</v>
      </c>
      <c r="S14" s="12" t="s">
        <v>8</v>
      </c>
      <c r="T14" s="12" t="s">
        <v>46</v>
      </c>
      <c r="U14" s="12" t="s">
        <v>56</v>
      </c>
      <c r="V14" s="12" t="s">
        <v>47</v>
      </c>
    </row>
    <row r="15" spans="1:22">
      <c r="A15" s="13" t="s">
        <v>48</v>
      </c>
      <c r="B15" s="14">
        <f>COUNTIFS(データ!$B:$B,$A15,データ!$R:$R,$B$13,データ!$D:$D,"&gt;0")</f>
        <v>8</v>
      </c>
      <c r="C15" s="14">
        <f>$G$3</f>
        <v>9</v>
      </c>
      <c r="D15" s="15">
        <f>SUMIFS(データ!$D:$D,データ!$B:$B,$A15,データ!$R:$R,$B$13)</f>
        <v>275</v>
      </c>
      <c r="E15" s="16">
        <f>D15/C15</f>
        <v>30.555555555555557</v>
      </c>
      <c r="F15" s="16">
        <f>D15/B15</f>
        <v>34.375</v>
      </c>
      <c r="G15" s="15">
        <f>SUMIFS(データ!$E:$E,データ!$B:$B,$A15,データ!$R:$R,$B$13)</f>
        <v>231</v>
      </c>
      <c r="H15" s="16">
        <f>G15/C15</f>
        <v>25.666666666666668</v>
      </c>
      <c r="I15" s="16">
        <f>G15/B15</f>
        <v>28.875</v>
      </c>
      <c r="J15" s="17">
        <f>IFERROR(G15/D15,"")</f>
        <v>0.84</v>
      </c>
      <c r="K15" s="14">
        <f>IFERROR(SUMIFS(データ!$G:$G,データ!$B:$B,$A15,データ!$R:$R,$B$13)/G15,"")</f>
        <v>159.62770562770564</v>
      </c>
      <c r="L15" s="17">
        <f>IFERROR(SUMIFS(データ!$F:$F,データ!$B:$B,$A15,データ!$R:$R,$B$13)/G15,"")</f>
        <v>0.51082251082251084</v>
      </c>
      <c r="M15" s="16">
        <f>SUMIFS(データ!$G:$G,データ!$B:$B,$A15,データ!$R:$R,$B$13)/3600</f>
        <v>10.242777777777778</v>
      </c>
      <c r="N15" s="18">
        <f>M15/B15</f>
        <v>1.2803472222222223</v>
      </c>
      <c r="O15" s="16">
        <f>IFERROR(SUMIFS(データ!$M:$M,データ!$B:$B,$A15,データ!$R:$R,$B$13)/SUMIFS(データ!$N:$N,データ!$B:$B,$A15,データ!$R:$R,$B$13)/60,"")</f>
        <v>5.9673052362707528</v>
      </c>
      <c r="P15" s="16">
        <f>SUMIFS(データ!$O:$O,データ!$B:$B,$A15,データ!$R:$R,$B$13)/B15</f>
        <v>2.125</v>
      </c>
      <c r="Q15" s="16">
        <f>IFERROR(AVERAGEIFS(データ!$S:$S,データ!$B:$B,$A15,データ!$R:$R,$B$13,データ!$D:$D,"&gt;0"),"")</f>
        <v>7.8517710000000003</v>
      </c>
      <c r="R15" s="17">
        <f>IFERROR(SUMIFS(データ!$H:$H,データ!$B:$B,$A15,データ!$R:$R,$B$13)/3600/B15/Q15,"")</f>
        <v>0.2191119260440309</v>
      </c>
      <c r="S15" s="15">
        <f>SUMIFS(データ!$I:$I,データ!$B:$B,$A15,データ!$R:$R,$B$13)</f>
        <v>89</v>
      </c>
      <c r="T15" s="17">
        <f>IFERROR(SUMIFS(データ!$J:$J,データ!$B:$B,$A15,データ!$R:$R,$B$13)/S15,"")</f>
        <v>0.6853932584269663</v>
      </c>
      <c r="U15" s="15">
        <f>SUMIFS(データ!$P:$P,データ!$B:$B,$A15,データ!$R:$R,$B$13)</f>
        <v>254</v>
      </c>
      <c r="V15" s="19">
        <f>IFERROR(SUMIFS(データ!$Q:$Q,データ!$B:$B,$A15,データ!$R:$R,$B$13)/D15,"")</f>
        <v>0.28363636363636363</v>
      </c>
    </row>
    <row r="16" spans="1:22">
      <c r="A16" s="13" t="s">
        <v>49</v>
      </c>
      <c r="B16" s="14">
        <f>COUNTIFS(データ!$B:$B,$A16,データ!$R:$R,$B$13,データ!$D:$D,"&gt;0")</f>
        <v>9</v>
      </c>
      <c r="C16" s="14">
        <f>$G$3</f>
        <v>9</v>
      </c>
      <c r="D16" s="15">
        <f>SUMIFS(データ!$D:$D,データ!$B:$B,$A16,データ!$R:$R,$B$13)</f>
        <v>465</v>
      </c>
      <c r="E16" s="16">
        <f>D16/C16</f>
        <v>51.666666666666664</v>
      </c>
      <c r="F16" s="16">
        <f>D16/B16</f>
        <v>51.666666666666664</v>
      </c>
      <c r="G16" s="15">
        <f>SUMIFS(データ!$E:$E,データ!$B:$B,$A16,データ!$R:$R,$B$13)</f>
        <v>370</v>
      </c>
      <c r="H16" s="16">
        <f>G16/C16</f>
        <v>41.111111111111114</v>
      </c>
      <c r="I16" s="16">
        <f>G16/B16</f>
        <v>41.111111111111114</v>
      </c>
      <c r="J16" s="17">
        <f>IFERROR(G16/D16,"")</f>
        <v>0.79569892473118276</v>
      </c>
      <c r="K16" s="14">
        <f>IFERROR(SUMIFS(データ!$G:$G,データ!$B:$B,$A16,データ!$R:$R,$B$13)/G16,"")</f>
        <v>202.53783783783783</v>
      </c>
      <c r="L16" s="17">
        <f>IFERROR(SUMIFS(データ!$F:$F,データ!$B:$B,$A16,データ!$R:$R,$B$13)/G16,"")</f>
        <v>0.572972972972973</v>
      </c>
      <c r="M16" s="16">
        <f>SUMIFS(データ!$G:$G,データ!$B:$B,$A16,データ!$R:$R,$B$13)/3600</f>
        <v>20.816388888888888</v>
      </c>
      <c r="N16" s="18">
        <f>M16/B16</f>
        <v>2.3129320987654318</v>
      </c>
      <c r="O16" s="16">
        <f>IFERROR(SUMIFS(データ!$M:$M,データ!$B:$B,$A16,データ!$R:$R,$B$13)/SUMIFS(データ!$N:$N,データ!$B:$B,$A16,データ!$R:$R,$B$13)/60,"")</f>
        <v>5.3145602365114559</v>
      </c>
      <c r="P16" s="16">
        <f>SUMIFS(データ!$O:$O,データ!$B:$B,$A16,データ!$R:$R,$B$13)/B16</f>
        <v>2.8888888888888888</v>
      </c>
      <c r="Q16" s="16">
        <f>IFERROR(AVERAGEIFS(データ!$S:$S,データ!$B:$B,$A16,データ!$R:$R,$B$13,データ!$D:$D,"&gt;0"),"")</f>
        <v>8.609472000000002</v>
      </c>
      <c r="R16" s="17">
        <f>IFERROR(SUMIFS(データ!$H:$H,データ!$B:$B,$A16,データ!$R:$R,$B$13)/3600/B16/Q16,"")</f>
        <v>0.29241049857645157</v>
      </c>
      <c r="S16" s="15">
        <f>SUMIFS(データ!$I:$I,データ!$B:$B,$A16,データ!$R:$R,$B$13)</f>
        <v>78</v>
      </c>
      <c r="T16" s="17">
        <f>IFERROR(SUMIFS(データ!$J:$J,データ!$B:$B,$A16,データ!$R:$R,$B$13)/S16,"")</f>
        <v>0.79487179487179482</v>
      </c>
      <c r="U16" s="15">
        <f>SUMIFS(データ!$P:$P,データ!$B:$B,$A16,データ!$R:$R,$B$13)</f>
        <v>399</v>
      </c>
      <c r="V16" s="19">
        <f>IFERROR(SUMIFS(データ!$Q:$Q,データ!$B:$B,$A16,データ!$R:$R,$B$13)/D16,"")</f>
        <v>0.50752688172043015</v>
      </c>
    </row>
    <row r="17" spans="1:22">
      <c r="A17" s="13" t="s">
        <v>50</v>
      </c>
      <c r="B17" s="14">
        <f>COUNTIFS(データ!$B:$B,$A17,データ!$R:$R,$B$13,データ!$D:$D,"&gt;0")</f>
        <v>9</v>
      </c>
      <c r="C17" s="14">
        <f>$G$3</f>
        <v>9</v>
      </c>
      <c r="D17" s="15">
        <f>SUMIFS(データ!$D:$D,データ!$B:$B,$A17,データ!$R:$R,$B$13)</f>
        <v>295</v>
      </c>
      <c r="E17" s="16">
        <f>D17/C17</f>
        <v>32.777777777777779</v>
      </c>
      <c r="F17" s="16">
        <f>D17/B17</f>
        <v>32.777777777777779</v>
      </c>
      <c r="G17" s="15">
        <f>SUMIFS(データ!$E:$E,データ!$B:$B,$A17,データ!$R:$R,$B$13)</f>
        <v>248</v>
      </c>
      <c r="H17" s="16">
        <f>G17/C17</f>
        <v>27.555555555555557</v>
      </c>
      <c r="I17" s="16">
        <f>G17/B17</f>
        <v>27.555555555555557</v>
      </c>
      <c r="J17" s="17">
        <f>IFERROR(G17/D17,"")</f>
        <v>0.84067796610169487</v>
      </c>
      <c r="K17" s="14">
        <f>IFERROR(SUMIFS(データ!$G:$G,データ!$B:$B,$A17,データ!$R:$R,$B$13)/G17,"")</f>
        <v>205.46370967741936</v>
      </c>
      <c r="L17" s="17">
        <f>IFERROR(SUMIFS(データ!$F:$F,データ!$B:$B,$A17,データ!$R:$R,$B$13)/G17,"")</f>
        <v>0.53629032258064513</v>
      </c>
      <c r="M17" s="16">
        <f>SUMIFS(データ!$G:$G,データ!$B:$B,$A17,データ!$R:$R,$B$13)/3600</f>
        <v>14.154166666666667</v>
      </c>
      <c r="N17" s="18">
        <f>M17/B17</f>
        <v>1.5726851851851853</v>
      </c>
      <c r="O17" s="16">
        <f>IFERROR(SUMIFS(データ!$M:$M,データ!$B:$B,$A17,データ!$R:$R,$B$13)/SUMIFS(データ!$N:$N,データ!$B:$B,$A17,データ!$R:$R,$B$13)/60,"")</f>
        <v>6.0654888103651361</v>
      </c>
      <c r="P17" s="16">
        <f>SUMIFS(データ!$O:$O,データ!$B:$B,$A17,データ!$R:$R,$B$13)/B17</f>
        <v>2.2222222222222223</v>
      </c>
      <c r="Q17" s="16">
        <f>IFERROR(AVERAGEIFS(データ!$S:$S,データ!$B:$B,$A17,データ!$R:$R,$B$13,データ!$D:$D,"&gt;0"),"")</f>
        <v>6.8105173333333333</v>
      </c>
      <c r="R17" s="17">
        <f>IFERROR(SUMIFS(データ!$H:$H,データ!$B:$B,$A17,データ!$R:$R,$B$13)/3600/B17/Q17,"")</f>
        <v>0.25199314820093505</v>
      </c>
      <c r="S17" s="15">
        <f>SUMIFS(データ!$I:$I,データ!$B:$B,$A17,データ!$R:$R,$B$13)</f>
        <v>87</v>
      </c>
      <c r="T17" s="17">
        <f>IFERROR(SUMIFS(データ!$J:$J,データ!$B:$B,$A17,データ!$R:$R,$B$13)/S17,"")</f>
        <v>0.83908045977011492</v>
      </c>
      <c r="U17" s="15">
        <f>SUMIFS(データ!$P:$P,データ!$B:$B,$A17,データ!$R:$R,$B$13)</f>
        <v>250</v>
      </c>
      <c r="V17" s="19">
        <f>IFERROR(SUMIFS(データ!$Q:$Q,データ!$B:$B,$A17,データ!$R:$R,$B$13)/D17,"")</f>
        <v>0.3728813559322034</v>
      </c>
    </row>
    <row r="18" spans="1:22">
      <c r="A18" s="13" t="s">
        <v>51</v>
      </c>
      <c r="B18" s="14">
        <f>COUNTIFS(データ!$B:$B,$A18,データ!$R:$R,$B$13,データ!$D:$D,"&gt;0")</f>
        <v>11</v>
      </c>
      <c r="C18" s="14">
        <f>$G$3</f>
        <v>9</v>
      </c>
      <c r="D18" s="15">
        <f>SUMIFS(データ!$D:$D,データ!$B:$B,$A18,データ!$R:$R,$B$13)</f>
        <v>376</v>
      </c>
      <c r="E18" s="16">
        <f>D18/C18</f>
        <v>41.777777777777779</v>
      </c>
      <c r="F18" s="16">
        <f>D18/B18</f>
        <v>34.18181818181818</v>
      </c>
      <c r="G18" s="15">
        <f>SUMIFS(データ!$E:$E,データ!$B:$B,$A18,データ!$R:$R,$B$13)</f>
        <v>304</v>
      </c>
      <c r="H18" s="16">
        <f>G18/C18</f>
        <v>33.777777777777779</v>
      </c>
      <c r="I18" s="16">
        <f>G18/B18</f>
        <v>27.636363636363637</v>
      </c>
      <c r="J18" s="17">
        <f>IFERROR(G18/D18,"")</f>
        <v>0.80851063829787229</v>
      </c>
      <c r="K18" s="14">
        <f>IFERROR(SUMIFS(データ!$G:$G,データ!$B:$B,$A18,データ!$R:$R,$B$13)/G18,"")</f>
        <v>183.65131578947367</v>
      </c>
      <c r="L18" s="17">
        <f>IFERROR(SUMIFS(データ!$F:$F,データ!$B:$B,$A18,データ!$R:$R,$B$13)/G18,"")</f>
        <v>0.5</v>
      </c>
      <c r="M18" s="16">
        <f>SUMIFS(データ!$G:$G,データ!$B:$B,$A18,データ!$R:$R,$B$13)/3600</f>
        <v>15.508333333333333</v>
      </c>
      <c r="N18" s="18">
        <f>M18/B18</f>
        <v>1.4098484848484849</v>
      </c>
      <c r="O18" s="16">
        <f>IFERROR(SUMIFS(データ!$M:$M,データ!$B:$B,$A18,データ!$R:$R,$B$13)/SUMIFS(データ!$N:$N,データ!$B:$B,$A18,データ!$R:$R,$B$13)/60,"")</f>
        <v>5.1303921568627446</v>
      </c>
      <c r="P18" s="16">
        <f>SUMIFS(データ!$O:$O,データ!$B:$B,$A18,データ!$R:$R,$B$13)/B18</f>
        <v>2.0909090909090908</v>
      </c>
      <c r="Q18" s="16">
        <f>IFERROR(AVERAGEIFS(データ!$S:$S,データ!$B:$B,$A18,データ!$R:$R,$B$13,データ!$D:$D,"&gt;0"),"")</f>
        <v>6.2878036363636367</v>
      </c>
      <c r="R18" s="17">
        <f>IFERROR(SUMIFS(データ!$H:$H,データ!$B:$B,$A18,データ!$R:$R,$B$13)/3600/B18/Q18,"")</f>
        <v>0.22874168969987368</v>
      </c>
      <c r="S18" s="15">
        <f>SUMIFS(データ!$I:$I,データ!$B:$B,$A18,データ!$R:$R,$B$13)</f>
        <v>85</v>
      </c>
      <c r="T18" s="17">
        <f>IFERROR(SUMIFS(データ!$J:$J,データ!$B:$B,$A18,データ!$R:$R,$B$13)/S18,"")</f>
        <v>0.92941176470588238</v>
      </c>
      <c r="U18" s="15">
        <f>SUMIFS(データ!$P:$P,データ!$B:$B,$A18,データ!$R:$R,$B$13)</f>
        <v>321</v>
      </c>
      <c r="V18" s="19">
        <f>IFERROR(SUMIFS(データ!$Q:$Q,データ!$B:$B,$A18,データ!$R:$R,$B$13)/D18,"")</f>
        <v>0.34574468085106386</v>
      </c>
    </row>
    <row r="19" spans="1:22">
      <c r="A19" s="13" t="s">
        <v>52</v>
      </c>
      <c r="B19" s="14">
        <f>COUNTIFS(データ!$B:$B,$A19,データ!$R:$R,$B$13,データ!$D:$D,"&gt;0")</f>
        <v>9</v>
      </c>
      <c r="C19" s="14">
        <f>$G$3</f>
        <v>9</v>
      </c>
      <c r="D19" s="15">
        <f>SUMIFS(データ!$D:$D,データ!$B:$B,$A19,データ!$R:$R,$B$13)</f>
        <v>378</v>
      </c>
      <c r="E19" s="16">
        <f>D19/C19</f>
        <v>42</v>
      </c>
      <c r="F19" s="16">
        <f>D19/B19</f>
        <v>42</v>
      </c>
      <c r="G19" s="15">
        <f>SUMIFS(データ!$E:$E,データ!$B:$B,$A19,データ!$R:$R,$B$13)</f>
        <v>294</v>
      </c>
      <c r="H19" s="16">
        <f>G19/C19</f>
        <v>32.666666666666664</v>
      </c>
      <c r="I19" s="16">
        <f>G19/B19</f>
        <v>32.666666666666664</v>
      </c>
      <c r="J19" s="17">
        <f>IFERROR(G19/D19,"")</f>
        <v>0.77777777777777779</v>
      </c>
      <c r="K19" s="14">
        <f>IFERROR(SUMIFS(データ!$G:$G,データ!$B:$B,$A19,データ!$R:$R,$B$13)/G19,"")</f>
        <v>108.14285714285714</v>
      </c>
      <c r="L19" s="17">
        <f>IFERROR(SUMIFS(データ!$F:$F,データ!$B:$B,$A19,データ!$R:$R,$B$13)/G19,"")</f>
        <v>0.46258503401360546</v>
      </c>
      <c r="M19" s="16">
        <f>SUMIFS(データ!$G:$G,データ!$B:$B,$A19,データ!$R:$R,$B$13)/3600</f>
        <v>8.831666666666667</v>
      </c>
      <c r="N19" s="18">
        <f>M19/B19</f>
        <v>0.98129629629629633</v>
      </c>
      <c r="O19" s="16">
        <f>IFERROR(SUMIFS(データ!$M:$M,データ!$B:$B,$A19,データ!$R:$R,$B$13)/SUMIFS(データ!$N:$N,データ!$B:$B,$A19,データ!$R:$R,$B$13)/60,"")</f>
        <v>5.2098255280073458</v>
      </c>
      <c r="P19" s="16">
        <f>SUMIFS(データ!$O:$O,データ!$B:$B,$A19,データ!$R:$R,$B$13)/B19</f>
        <v>2.6666666666666665</v>
      </c>
      <c r="Q19" s="16">
        <f>IFERROR(AVERAGEIFS(データ!$S:$S,データ!$B:$B,$A19,データ!$R:$R,$B$13,データ!$D:$D,"&gt;0"),"")</f>
        <v>6.8588293333333343</v>
      </c>
      <c r="R19" s="17">
        <f>IFERROR(SUMIFS(データ!$H:$H,データ!$B:$B,$A19,データ!$R:$R,$B$13)/3600/B19/Q19,"")</f>
        <v>0.17433598105868317</v>
      </c>
      <c r="S19" s="15">
        <f>SUMIFS(データ!$I:$I,データ!$B:$B,$A19,データ!$R:$R,$B$13)</f>
        <v>50</v>
      </c>
      <c r="T19" s="17">
        <f>IFERROR(SUMIFS(データ!$J:$J,データ!$B:$B,$A19,データ!$R:$R,$B$13)/S19,"")</f>
        <v>0.56000000000000005</v>
      </c>
      <c r="U19" s="15">
        <f>SUMIFS(データ!$P:$P,データ!$B:$B,$A19,データ!$R:$R,$B$13)</f>
        <v>356</v>
      </c>
      <c r="V19" s="19">
        <f>IFERROR(SUMIFS(データ!$Q:$Q,データ!$B:$B,$A19,データ!$R:$R,$B$13)/D19,"")</f>
        <v>0.31216931216931215</v>
      </c>
    </row>
    <row r="20" spans="1:22">
      <c r="A20" s="13" t="s">
        <v>53</v>
      </c>
      <c r="B20" s="14">
        <f>COUNTIFS(データ!$B:$B,$A20,データ!$R:$R,$B$13,データ!$D:$D,"&gt;0")</f>
        <v>9</v>
      </c>
      <c r="C20" s="14">
        <f>$G$3</f>
        <v>9</v>
      </c>
      <c r="D20" s="15">
        <f>SUMIFS(データ!$D:$D,データ!$B:$B,$A20,データ!$R:$R,$B$13)</f>
        <v>405</v>
      </c>
      <c r="E20" s="16">
        <f>D20/C20</f>
        <v>45</v>
      </c>
      <c r="F20" s="16">
        <f>D20/B20</f>
        <v>45</v>
      </c>
      <c r="G20" s="15">
        <f>SUMIFS(データ!$E:$E,データ!$B:$B,$A20,データ!$R:$R,$B$13)</f>
        <v>320</v>
      </c>
      <c r="H20" s="16">
        <f>G20/C20</f>
        <v>35.555555555555557</v>
      </c>
      <c r="I20" s="16">
        <f>G20/B20</f>
        <v>35.555555555555557</v>
      </c>
      <c r="J20" s="17">
        <f>IFERROR(G20/D20,"")</f>
        <v>0.79012345679012341</v>
      </c>
      <c r="K20" s="14">
        <f>IFERROR(SUMIFS(データ!$G:$G,データ!$B:$B,$A20,データ!$R:$R,$B$13)/G20,"")</f>
        <v>117.08125</v>
      </c>
      <c r="L20" s="17">
        <f>IFERROR(SUMIFS(データ!$F:$F,データ!$B:$B,$A20,データ!$R:$R,$B$13)/G20,"")</f>
        <v>0.47187499999999999</v>
      </c>
      <c r="M20" s="16">
        <f>SUMIFS(データ!$G:$G,データ!$B:$B,$A20,データ!$R:$R,$B$13)/3600</f>
        <v>10.407222222222222</v>
      </c>
      <c r="N20" s="18">
        <f>M20/B20</f>
        <v>1.1563580246913581</v>
      </c>
      <c r="O20" s="16">
        <f>IFERROR(SUMIFS(データ!$M:$M,データ!$B:$B,$A20,データ!$R:$R,$B$13)/SUMIFS(データ!$N:$N,データ!$B:$B,$A20,データ!$R:$R,$B$13)/60,"")</f>
        <v>3.6069878472222223</v>
      </c>
      <c r="P20" s="16">
        <f>SUMIFS(データ!$O:$O,データ!$B:$B,$A20,データ!$R:$R,$B$13)/B20</f>
        <v>2.1111111111111112</v>
      </c>
      <c r="Q20" s="16">
        <f>IFERROR(AVERAGEIFS(データ!$S:$S,データ!$B:$B,$A20,データ!$R:$R,$B$13,データ!$D:$D,"&gt;0"),"")</f>
        <v>6.8069226666666669</v>
      </c>
      <c r="R20" s="17">
        <f>IFERROR(SUMIFS(データ!$H:$H,データ!$B:$B,$A20,データ!$R:$R,$B$13)/3600/B20/Q20,"")</f>
        <v>0.21154027188472121</v>
      </c>
      <c r="S20" s="15">
        <f>SUMIFS(データ!$I:$I,データ!$B:$B,$A20,データ!$R:$R,$B$13)</f>
        <v>56</v>
      </c>
      <c r="T20" s="17">
        <f>IFERROR(SUMIFS(データ!$J:$J,データ!$B:$B,$A20,データ!$R:$R,$B$13)/S20,"")</f>
        <v>0.5</v>
      </c>
      <c r="U20" s="15">
        <f>SUMIFS(データ!$P:$P,データ!$B:$B,$A20,データ!$R:$R,$B$13)</f>
        <v>359</v>
      </c>
      <c r="V20" s="19">
        <f>IFERROR(SUMIFS(データ!$Q:$Q,データ!$B:$B,$A20,データ!$R:$R,$B$13)/D20,"")</f>
        <v>0.34567901234567899</v>
      </c>
    </row>
    <row r="23" spans="1:22">
      <c r="A23" s="6" t="s">
        <v>108</v>
      </c>
    </row>
    <row r="24" spans="1:22">
      <c r="A24" s="7" t="s">
        <v>1</v>
      </c>
      <c r="B24" s="7" t="s">
        <v>109</v>
      </c>
      <c r="C24" s="7" t="s">
        <v>110</v>
      </c>
      <c r="D24" s="7" t="s">
        <v>111</v>
      </c>
      <c r="E24" s="7" t="s">
        <v>112</v>
      </c>
    </row>
    <row r="25" spans="1:22">
      <c r="A25" t="str">
        <f>A6</f>
        <v>篠﨑 悠</v>
      </c>
      <c r="B25" s="3">
        <f>F6</f>
        <v>42.411764705882355</v>
      </c>
      <c r="C25" s="3">
        <f>F15</f>
        <v>34.375</v>
      </c>
      <c r="D25" s="3">
        <f>I6</f>
        <v>35.411764705882355</v>
      </c>
      <c r="E25" s="3">
        <f>I15</f>
        <v>28.875</v>
      </c>
    </row>
    <row r="26" spans="1:22">
      <c r="A26" t="str">
        <f t="shared" ref="A26:A30" si="7">A7</f>
        <v>森 沙里菜</v>
      </c>
      <c r="B26" s="3">
        <f t="shared" ref="B26:B30" si="8">F7</f>
        <v>56.5</v>
      </c>
      <c r="C26" s="3">
        <f t="shared" ref="C26:C30" si="9">F16</f>
        <v>51.666666666666664</v>
      </c>
      <c r="D26" s="3">
        <f t="shared" ref="D26:D30" si="10">I7</f>
        <v>47.95</v>
      </c>
      <c r="E26" s="3">
        <f t="shared" ref="E26:E30" si="11">I16</f>
        <v>41.111111111111114</v>
      </c>
    </row>
    <row r="27" spans="1:22">
      <c r="A27" t="str">
        <f t="shared" si="7"/>
        <v>小泉 政貴</v>
      </c>
      <c r="B27" s="3">
        <f t="shared" si="8"/>
        <v>38</v>
      </c>
      <c r="C27" s="3">
        <f t="shared" si="9"/>
        <v>32.777777777777779</v>
      </c>
      <c r="D27" s="3">
        <f t="shared" si="10"/>
        <v>29.75</v>
      </c>
      <c r="E27" s="3">
        <f t="shared" si="11"/>
        <v>27.555555555555557</v>
      </c>
    </row>
    <row r="28" spans="1:22">
      <c r="A28" t="str">
        <f t="shared" si="7"/>
        <v>霜田 孝太郎</v>
      </c>
      <c r="B28" s="3">
        <f t="shared" si="8"/>
        <v>37.041666666666664</v>
      </c>
      <c r="C28" s="3">
        <f t="shared" si="9"/>
        <v>34.18181818181818</v>
      </c>
      <c r="D28" s="3">
        <f t="shared" si="10"/>
        <v>29.708333333333332</v>
      </c>
      <c r="E28" s="3">
        <f t="shared" si="11"/>
        <v>27.636363636363637</v>
      </c>
    </row>
    <row r="29" spans="1:22">
      <c r="A29" t="str">
        <f t="shared" si="7"/>
        <v>高橋 采伽</v>
      </c>
      <c r="B29" s="3">
        <f t="shared" si="8"/>
        <v>50.2</v>
      </c>
      <c r="C29" s="3">
        <f t="shared" si="9"/>
        <v>42</v>
      </c>
      <c r="D29" s="3">
        <f t="shared" si="10"/>
        <v>37.9</v>
      </c>
      <c r="E29" s="3">
        <f t="shared" si="11"/>
        <v>32.666666666666664</v>
      </c>
    </row>
    <row r="30" spans="1:22">
      <c r="A30" t="str">
        <f t="shared" si="7"/>
        <v>和田 宗大</v>
      </c>
      <c r="B30" s="3">
        <f t="shared" si="8"/>
        <v>63.46153846153846</v>
      </c>
      <c r="C30" s="3">
        <f t="shared" si="9"/>
        <v>45</v>
      </c>
      <c r="D30" s="3">
        <f t="shared" si="10"/>
        <v>48.615384615384613</v>
      </c>
      <c r="E30" s="3">
        <f t="shared" si="11"/>
        <v>35.555555555555557</v>
      </c>
    </row>
  </sheetData>
  <phoneticPr fontId="2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988A-5198-FD4C-BF1E-113946E7F81B}">
  <dimension ref="A1:A54"/>
  <sheetViews>
    <sheetView tabSelected="1" topLeftCell="A16" workbookViewId="0"/>
  </sheetViews>
  <sheetFormatPr baseColWidth="10" defaultRowHeight="20"/>
  <cols>
    <col min="1" max="1" width="108.5703125" customWidth="1"/>
  </cols>
  <sheetData>
    <row r="1" spans="1:1" ht="25">
      <c r="A1" s="20" t="s">
        <v>57</v>
      </c>
    </row>
    <row r="2" spans="1:1" ht="21">
      <c r="A2" s="21" t="s">
        <v>58</v>
      </c>
    </row>
    <row r="3" spans="1:1">
      <c r="A3" s="22"/>
    </row>
    <row r="4" spans="1:1" ht="21">
      <c r="A4" s="23" t="s">
        <v>59</v>
      </c>
    </row>
    <row r="5" spans="1:1" ht="42">
      <c r="A5" s="22" t="s">
        <v>60</v>
      </c>
    </row>
    <row r="6" spans="1:1" ht="42">
      <c r="A6" s="22" t="s">
        <v>113</v>
      </c>
    </row>
    <row r="7" spans="1:1" ht="42">
      <c r="A7" s="22" t="s">
        <v>61</v>
      </c>
    </row>
    <row r="8" spans="1:1" ht="21">
      <c r="A8" s="22" t="s">
        <v>62</v>
      </c>
    </row>
    <row r="9" spans="1:1" ht="42">
      <c r="A9" s="22" t="s">
        <v>63</v>
      </c>
    </row>
    <row r="10" spans="1:1" ht="42">
      <c r="A10" s="22" t="s">
        <v>64</v>
      </c>
    </row>
    <row r="11" spans="1:1">
      <c r="A11" s="22"/>
    </row>
    <row r="12" spans="1:1" ht="21">
      <c r="A12" s="23" t="s">
        <v>65</v>
      </c>
    </row>
    <row r="13" spans="1:1" ht="21">
      <c r="A13" s="24" t="str">
        <f>サマリ!A6</f>
        <v>篠﨑 悠</v>
      </c>
    </row>
    <row r="14" spans="1:1" ht="42">
      <c r="A14" s="22" t="str">
        <f>"▶ 8月 "&amp;TEXT(サマリ!F6,"0.0")&amp;"件/稼働日 → 9月 "&amp;TEXT(サマリ!F15,"0.0")&amp;"件｜接触 "&amp;TEXT(サマリ!I6,"0.0")&amp;"→"&amp;TEXT(サマリ!I15,"0.0")&amp;"件｜接続率 "&amp;TEXT(サマリ!J15,"0%")&amp;"｜平均通話 "&amp;TEXT(サマリ!K15,"0")&amp;"秒｜架電間隔 "&amp;TEXT(サマリ!O15,"0.0")&amp;"分｜通話占有率 "&amp;TEXT(サマリ!R15,"0%")&amp;"｜稼働日 "&amp;サマリ!B6&amp;"/"&amp;サマリ!C6&amp;"日（9月 "&amp;サマリ!B15&amp;"/"&amp;サマリ!C15&amp;"日）"</f>
        <v>▶ 8月 42.4件/稼働日 → 9月 34.4件｜接触 35.4→28.9件｜接続率 84%｜平均通話 160秒｜架電間隔 6.0分｜通話占有率 22%｜稼働日 17/20日（9月 8/9日）</v>
      </c>
    </row>
    <row r="15" spans="1:1" ht="21">
      <c r="A15" s="22" t="s">
        <v>66</v>
      </c>
    </row>
    <row r="16" spans="1:1" ht="42">
      <c r="A16" s="22" t="s">
        <v>67</v>
      </c>
    </row>
    <row r="17" spans="1:1" ht="21">
      <c r="A17" s="24" t="str">
        <f>サマリ!A7</f>
        <v>森 沙里菜</v>
      </c>
    </row>
    <row r="18" spans="1:1" ht="42">
      <c r="A18" s="22" t="str">
        <f>"▶ 8月 "&amp;TEXT(サマリ!F7,"0.0")&amp;"件/稼働日 → 9月 "&amp;TEXT(サマリ!F16,"0.0")&amp;"件｜接触 "&amp;TEXT(サマリ!I7,"0.0")&amp;"→"&amp;TEXT(サマリ!I16,"0.0")&amp;"件｜接続率 "&amp;TEXT(サマリ!J16,"0%")&amp;"｜平均通話 "&amp;TEXT(サマリ!K16,"0")&amp;"秒｜架電間隔 "&amp;TEXT(サマリ!O16,"0.0")&amp;"分｜通話占有率 "&amp;TEXT(サマリ!R16,"0%")&amp;"｜稼働日 "&amp;サマリ!B7&amp;"/"&amp;サマリ!C7&amp;"日（9月 "&amp;サマリ!B16&amp;"/"&amp;サマリ!C16&amp;"日）"</f>
        <v>▶ 8月 56.5件/稼働日 → 9月 51.7件｜接触 48.0→41.1件｜接続率 80%｜平均通話 203秒｜架電間隔 5.3分｜通話占有率 29%｜稼働日 20/20日（9月 9/9日）</v>
      </c>
    </row>
    <row r="19" spans="1:1" ht="42">
      <c r="A19" s="22" t="s">
        <v>68</v>
      </c>
    </row>
    <row r="20" spans="1:1" ht="42">
      <c r="A20" s="22" t="s">
        <v>69</v>
      </c>
    </row>
    <row r="21" spans="1:1" ht="21">
      <c r="A21" s="24" t="str">
        <f>サマリ!A8</f>
        <v>小泉 政貴</v>
      </c>
    </row>
    <row r="22" spans="1:1" ht="42">
      <c r="A22" s="22" t="str">
        <f>"▶ 8月 "&amp;TEXT(サマリ!F8,"0.0")&amp;"件/稼働日 → 9月 "&amp;TEXT(サマリ!F17,"0.0")&amp;"件｜接触 "&amp;TEXT(サマリ!I8,"0.0")&amp;"→"&amp;TEXT(サマリ!I17,"0.0")&amp;"件｜接続率 "&amp;TEXT(サマリ!J17,"0%")&amp;"｜平均通話 "&amp;TEXT(サマリ!K17,"0")&amp;"秒｜架電間隔 "&amp;TEXT(サマリ!O17,"0.0")&amp;"分｜通話占有率 "&amp;TEXT(サマリ!R17,"0%")&amp;"｜稼働日 "&amp;サマリ!B8&amp;"/"&amp;サマリ!C8&amp;"日（9月 "&amp;サマリ!B17&amp;"/"&amp;サマリ!C17&amp;"日）"</f>
        <v>▶ 8月 38.0件/稼働日 → 9月 32.8件｜接触 29.8→27.6件｜接続率 84%｜平均通話 205秒｜架電間隔 6.1分｜通話占有率 25%｜稼働日 20/20日（9月 9/9日）</v>
      </c>
    </row>
    <row r="23" spans="1:1" ht="21">
      <c r="A23" s="22" t="s">
        <v>70</v>
      </c>
    </row>
    <row r="24" spans="1:1" ht="42">
      <c r="A24" s="22" t="s">
        <v>71</v>
      </c>
    </row>
    <row r="25" spans="1:1" ht="21">
      <c r="A25" s="24" t="str">
        <f>サマリ!A9</f>
        <v>霜田 孝太郎</v>
      </c>
    </row>
    <row r="26" spans="1:1" ht="42">
      <c r="A26" s="22" t="str">
        <f>"▶ 8月 "&amp;TEXT(サマリ!F9,"0.0")&amp;"件/稼働日 → 9月 "&amp;TEXT(サマリ!F18,"0.0")&amp;"件｜接触 "&amp;TEXT(サマリ!I9,"0.0")&amp;"→"&amp;TEXT(サマリ!I18,"0.0")&amp;"件｜接続率 "&amp;TEXT(サマリ!J18,"0%")&amp;"｜平均通話 "&amp;TEXT(サマリ!K18,"0")&amp;"秒｜架電間隔 "&amp;TEXT(サマリ!O18,"0.0")&amp;"分｜通話占有率 "&amp;TEXT(サマリ!R18,"0%")&amp;"｜稼働日 "&amp;サマリ!B9&amp;"/"&amp;サマリ!C9&amp;"日（9月 "&amp;サマリ!B18&amp;"/"&amp;サマリ!C18&amp;"日）"</f>
        <v>▶ 8月 37.0件/稼働日 → 9月 34.2件｜接触 29.7→27.6件｜接続率 81%｜平均通話 184秒｜架電間隔 5.1分｜通話占有率 23%｜稼働日 24/20日（9月 11/9日）</v>
      </c>
    </row>
    <row r="27" spans="1:1" ht="42">
      <c r="A27" s="22" t="s">
        <v>72</v>
      </c>
    </row>
    <row r="28" spans="1:1" ht="63">
      <c r="A28" s="22" t="s">
        <v>73</v>
      </c>
    </row>
    <row r="29" spans="1:1" ht="21">
      <c r="A29" s="24" t="str">
        <f>サマリ!A10</f>
        <v>高橋 采伽</v>
      </c>
    </row>
    <row r="30" spans="1:1" ht="42">
      <c r="A30" s="22" t="str">
        <f>"▶ 8月 "&amp;TEXT(サマリ!F10,"0.0")&amp;"件/稼働日 → 9月 "&amp;TEXT(サマリ!F19,"0.0")&amp;"件｜接触 "&amp;TEXT(サマリ!I10,"0.0")&amp;"→"&amp;TEXT(サマリ!I19,"0.0")&amp;"件｜接続率 "&amp;TEXT(サマリ!J19,"0%")&amp;"｜平均通話 "&amp;TEXT(サマリ!K19,"0")&amp;"秒｜架電間隔 "&amp;TEXT(サマリ!O19,"0.0")&amp;"分｜通話占有率 "&amp;TEXT(サマリ!R19,"0%")&amp;"｜稼働日 "&amp;サマリ!B10&amp;"/"&amp;サマリ!C10&amp;"日（9月 "&amp;サマリ!B19&amp;"/"&amp;サマリ!C19&amp;"日）"</f>
        <v>▶ 8月 50.2件/稼働日 → 9月 42.0件｜接触 37.9→32.7件｜接続率 78%｜平均通話 108秒｜架電間隔 5.2分｜通話占有率 17%｜稼働日 10/20日（9月 9/9日）</v>
      </c>
    </row>
    <row r="31" spans="1:1" ht="21">
      <c r="A31" s="22" t="s">
        <v>74</v>
      </c>
    </row>
    <row r="32" spans="1:1" ht="42">
      <c r="A32" s="22" t="s">
        <v>75</v>
      </c>
    </row>
    <row r="33" spans="1:1" ht="21">
      <c r="A33" s="24" t="str">
        <f>サマリ!A11</f>
        <v>和田 宗大</v>
      </c>
    </row>
    <row r="34" spans="1:1" ht="42">
      <c r="A34" s="22" t="str">
        <f>"▶ 8月 "&amp;TEXT(サマリ!F11,"0.0")&amp;"件/稼働日 → 9月 "&amp;TEXT(サマリ!F20,"0.0")&amp;"件｜接触 "&amp;TEXT(サマリ!I11,"0.0")&amp;"→"&amp;TEXT(サマリ!I20,"0.0")&amp;"件｜接続率 "&amp;TEXT(サマリ!J20,"0%")&amp;"｜平均通話 "&amp;TEXT(サマリ!K20,"0")&amp;"秒｜架電間隔 "&amp;TEXT(サマリ!O20,"0.0")&amp;"分｜通話占有率 "&amp;TEXT(サマリ!R20,"0%")&amp;"｜稼働日 "&amp;サマリ!B11&amp;"/"&amp;サマリ!C11&amp;"日（9月 "&amp;サマリ!B20&amp;"/"&amp;サマリ!C20&amp;"日）"</f>
        <v>▶ 8月 63.5件/稼働日 → 9月 45.0件｜接触 48.6→35.6件｜接続率 79%｜平均通話 117秒｜架電間隔 3.6分｜通話占有率 21%｜稼働日 13/20日（9月 9/9日）</v>
      </c>
    </row>
    <row r="35" spans="1:1" ht="21">
      <c r="A35" s="22" t="s">
        <v>76</v>
      </c>
    </row>
    <row r="36" spans="1:1" ht="63">
      <c r="A36" s="22" t="s">
        <v>77</v>
      </c>
    </row>
    <row r="37" spans="1:1">
      <c r="A37" s="22"/>
    </row>
    <row r="38" spans="1:1" ht="21">
      <c r="A38" s="23" t="s">
        <v>78</v>
      </c>
    </row>
    <row r="39" spans="1:1" ht="42">
      <c r="A39" s="22" t="s">
        <v>79</v>
      </c>
    </row>
    <row r="40" spans="1:1" ht="42">
      <c r="A40" s="22" t="s">
        <v>80</v>
      </c>
    </row>
    <row r="41" spans="1:1" ht="42">
      <c r="A41" s="22" t="s">
        <v>81</v>
      </c>
    </row>
    <row r="42" spans="1:1" ht="42">
      <c r="A42" s="22" t="s">
        <v>82</v>
      </c>
    </row>
    <row r="43" spans="1:1" ht="21">
      <c r="A43" s="22" t="s">
        <v>83</v>
      </c>
    </row>
    <row r="44" spans="1:1">
      <c r="A44" s="22"/>
    </row>
    <row r="45" spans="1:1" ht="21">
      <c r="A45" s="23" t="s">
        <v>84</v>
      </c>
    </row>
    <row r="46" spans="1:1" ht="42">
      <c r="A46" s="22" t="s">
        <v>85</v>
      </c>
    </row>
    <row r="47" spans="1:1" ht="42">
      <c r="A47" s="22" t="s">
        <v>86</v>
      </c>
    </row>
    <row r="48" spans="1:1" ht="42">
      <c r="A48" s="22" t="s">
        <v>87</v>
      </c>
    </row>
    <row r="49" spans="1:1" ht="21">
      <c r="A49" s="22" t="s">
        <v>88</v>
      </c>
    </row>
    <row r="50" spans="1:1" ht="42">
      <c r="A50" s="22" t="s">
        <v>89</v>
      </c>
    </row>
    <row r="51" spans="1:1" ht="21">
      <c r="A51" s="22" t="s">
        <v>90</v>
      </c>
    </row>
    <row r="52" spans="1:1" ht="21">
      <c r="A52" s="22" t="s">
        <v>91</v>
      </c>
    </row>
    <row r="53" spans="1:1" ht="21">
      <c r="A53" s="22" t="s">
        <v>92</v>
      </c>
    </row>
    <row r="54" spans="1:1" ht="21">
      <c r="A54" s="25" t="s">
        <v>93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CE0E-C066-A447-9E4F-F8E0FBEFDFB6}">
  <dimension ref="A1:H2"/>
  <sheetViews>
    <sheetView workbookViewId="0"/>
  </sheetViews>
  <sheetFormatPr baseColWidth="10" defaultRowHeight="20"/>
  <cols>
    <col min="1" max="1" width="14.28515625" bestFit="1" customWidth="1"/>
    <col min="2" max="2" width="19.5703125" bestFit="1" customWidth="1"/>
    <col min="3" max="3" width="29.5703125" bestFit="1" customWidth="1"/>
    <col min="4" max="4" width="12.28515625" bestFit="1" customWidth="1"/>
    <col min="5" max="5" width="99.85546875" bestFit="1" customWidth="1"/>
    <col min="6" max="7" width="10.42578125" bestFit="1" customWidth="1"/>
    <col min="8" max="8" width="100.140625" bestFit="1" customWidth="1"/>
  </cols>
  <sheetData>
    <row r="1" spans="1:8">
      <c r="A1" s="7" t="s">
        <v>94</v>
      </c>
      <c r="B1" s="7" t="s">
        <v>95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7" t="s">
        <v>101</v>
      </c>
    </row>
    <row r="2" spans="1:8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s="26">
        <v>46279</v>
      </c>
      <c r="G2">
        <v>208</v>
      </c>
      <c r="H2" t="s">
        <v>107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データ</vt:lpstr>
      <vt:lpstr>サマリ</vt:lpstr>
      <vt:lpstr>総評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布澤 直人</dc:creator>
  <cp:lastModifiedBy>布澤 直人</cp:lastModifiedBy>
  <dcterms:created xsi:type="dcterms:W3CDTF">2026-09-14T02:19:48Z</dcterms:created>
  <dcterms:modified xsi:type="dcterms:W3CDTF">2026-09-14T03:26:47Z</dcterms:modified>
</cp:coreProperties>
</file>